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0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3.xml" ContentType="application/vnd.openxmlformats-officedocument.drawingml.chart+xml"/>
  <Override PartName="/xl/drawings/drawing21.xml" ContentType="application/vnd.openxmlformats-officedocument.drawing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2.xml" ContentType="application/vnd.openxmlformats-officedocument.drawing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10" documentId="13_ncr:1_{2CD51B32-F2B7-4563-BF9A-41F4482066B2}" xr6:coauthVersionLast="47" xr6:coauthVersionMax="47" xr10:uidLastSave="{EB719B66-30CC-44FB-A7CE-F4A4471CF0AF}"/>
  <bookViews>
    <workbookView xWindow="-120" yWindow="-120" windowWidth="29040" windowHeight="17520" firstSheet="4" activeTab="4" xr2:uid="{00000000-000D-0000-FFFF-FFFF00000000}"/>
  </bookViews>
  <sheets>
    <sheet name="abra02" sheetId="1" r:id="rId1"/>
    <sheet name="abra02_new" sheetId="18" r:id="rId2"/>
    <sheet name="abra05" sheetId="17" r:id="rId3"/>
    <sheet name="abra03" sheetId="8" r:id="rId4"/>
    <sheet name="abra09" sheetId="2" r:id="rId5"/>
    <sheet name="abra10" sheetId="3" r:id="rId6"/>
    <sheet name="GOL01" sheetId="4" r:id="rId7"/>
    <sheet name="GOL01_new" sheetId="10" r:id="rId8"/>
    <sheet name="GOL07ab" sheetId="5" r:id="rId9"/>
    <sheet name="GOL07c" sheetId="6" r:id="rId10"/>
    <sheet name="SUE02" sheetId="7" r:id="rId11"/>
    <sheet name="KUM01" sheetId="13" r:id="rId12"/>
    <sheet name="KUM0203_RST5m" sheetId="9" r:id="rId13"/>
    <sheet name="KUM0203_RST2m" sheetId="14" r:id="rId14"/>
    <sheet name="KUM04_RST5m" sheetId="12" r:id="rId15"/>
    <sheet name="KUM04_RST2m" sheetId="15" r:id="rId16"/>
    <sheet name="abra04_2023-07-20_5m" sheetId="19" r:id="rId17"/>
    <sheet name="abra07" sheetId="20" r:id="rId18"/>
    <sheet name="SUE01_2023" sheetId="21" r:id="rId19"/>
    <sheet name="SUE05_2023" sheetId="22" r:id="rId20"/>
    <sheet name="BUL01_2023" sheetId="23" r:id="rId21"/>
    <sheet name="KAR01_2023" sheetId="24" r:id="rId22"/>
    <sheet name="ZUL01_2023" sheetId="25" r:id="rId23"/>
    <sheet name="no457_01_2023" sheetId="26" r:id="rId24"/>
    <sheet name="KUM04_2023" sheetId="27" r:id="rId25"/>
  </sheets>
  <definedNames>
    <definedName name="_xlnm._FilterDatabase" localSheetId="0" hidden="1">abra02!$O$5:$P$100</definedName>
    <definedName name="_xlnm._FilterDatabase" localSheetId="7" hidden="1">GOL01_new!$H$1:$H$61</definedName>
    <definedName name="_xlnm._FilterDatabase" localSheetId="11" hidden="1">'KUM01'!$AB$1:$AB$472</definedName>
    <definedName name="_xlnm._FilterDatabase" localSheetId="10" hidden="1">'SUE02'!$AF$3:$AH$2353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24" l="1"/>
  <c r="V6" i="24"/>
  <c r="V7" i="24"/>
  <c r="V8" i="24"/>
  <c r="V9" i="24"/>
  <c r="V10" i="24"/>
  <c r="V11" i="24"/>
  <c r="V12" i="24"/>
  <c r="V13" i="24"/>
  <c r="V14" i="24"/>
  <c r="V15" i="24"/>
  <c r="V16" i="24"/>
  <c r="V17" i="24"/>
  <c r="V18" i="24"/>
  <c r="V19" i="24"/>
  <c r="V20" i="24"/>
  <c r="V21" i="24"/>
  <c r="V22" i="24"/>
  <c r="V23" i="24"/>
  <c r="V24" i="24"/>
  <c r="V25" i="24"/>
  <c r="V26" i="24"/>
  <c r="V27" i="24"/>
  <c r="V28" i="24"/>
  <c r="V4" i="24"/>
  <c r="Q6" i="24"/>
  <c r="Q7" i="24"/>
  <c r="Q8" i="24"/>
  <c r="Q9" i="24"/>
  <c r="Q10" i="24"/>
  <c r="Q11" i="24"/>
  <c r="Q12" i="24"/>
  <c r="Q13" i="24"/>
  <c r="Q14" i="24"/>
  <c r="Q15" i="24"/>
  <c r="Q16" i="24"/>
  <c r="Q17" i="24"/>
  <c r="Q18" i="24"/>
  <c r="Q19" i="24"/>
  <c r="Q20" i="24"/>
  <c r="Q21" i="24"/>
  <c r="Q22" i="24"/>
  <c r="Q23" i="24"/>
  <c r="Q24" i="24"/>
  <c r="Q25" i="24"/>
  <c r="Q26" i="24"/>
  <c r="Q27" i="24"/>
  <c r="Q28" i="24"/>
  <c r="Q29" i="24"/>
  <c r="Q30" i="24"/>
  <c r="Q31" i="24"/>
  <c r="Q32" i="24"/>
  <c r="Q33" i="24"/>
  <c r="Q34" i="24"/>
  <c r="Q35" i="24"/>
  <c r="Q36" i="24"/>
  <c r="Q37" i="24"/>
  <c r="Q38" i="24"/>
  <c r="Q39" i="24"/>
  <c r="Q40" i="24"/>
  <c r="Q41" i="24"/>
  <c r="Q42" i="24"/>
  <c r="Q43" i="24"/>
  <c r="Q44" i="24"/>
  <c r="Q45" i="24"/>
  <c r="Q46" i="24"/>
  <c r="Q47" i="24"/>
  <c r="Q48" i="24"/>
  <c r="Q49" i="24"/>
  <c r="Q50" i="24"/>
  <c r="Q51" i="24"/>
  <c r="Q52" i="24"/>
  <c r="Q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5" i="24"/>
  <c r="N53" i="25"/>
  <c r="N54" i="25"/>
  <c r="N55" i="25"/>
  <c r="N56" i="25"/>
  <c r="N57" i="25"/>
  <c r="N58" i="25"/>
  <c r="N59" i="25"/>
  <c r="N60" i="25"/>
  <c r="N61" i="25"/>
  <c r="N62" i="25"/>
  <c r="N63" i="25"/>
  <c r="N64" i="25"/>
  <c r="N65" i="25"/>
  <c r="N66" i="25"/>
  <c r="N67" i="25"/>
  <c r="N68" i="25"/>
  <c r="N69" i="25"/>
  <c r="N70" i="25"/>
  <c r="N71" i="25"/>
  <c r="N72" i="25"/>
  <c r="N73" i="25"/>
  <c r="N74" i="25"/>
  <c r="N75" i="25"/>
  <c r="N76" i="25"/>
  <c r="N52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53" i="25"/>
  <c r="P53" i="25"/>
  <c r="P54" i="25"/>
  <c r="P55" i="25"/>
  <c r="P56" i="25"/>
  <c r="P57" i="25"/>
  <c r="P58" i="25"/>
  <c r="P59" i="25"/>
  <c r="P60" i="25"/>
  <c r="P61" i="25"/>
  <c r="P62" i="25"/>
  <c r="P63" i="25"/>
  <c r="P64" i="25"/>
  <c r="P65" i="25"/>
  <c r="P66" i="25"/>
  <c r="P67" i="25"/>
  <c r="P68" i="25"/>
  <c r="P69" i="25"/>
  <c r="P70" i="25"/>
  <c r="P71" i="25"/>
  <c r="P72" i="25"/>
  <c r="P73" i="25"/>
  <c r="P74" i="25"/>
  <c r="P75" i="25"/>
  <c r="P76" i="25"/>
  <c r="G70" i="19"/>
  <c r="Q67" i="19"/>
  <c r="Q71" i="19"/>
  <c r="Q72" i="19"/>
  <c r="Q73" i="19"/>
  <c r="Q74" i="19"/>
  <c r="Q75" i="19"/>
  <c r="Q76" i="19"/>
  <c r="P76" i="19"/>
  <c r="G58" i="19"/>
  <c r="Q59" i="19" s="1"/>
  <c r="G59" i="19"/>
  <c r="Q60" i="19" s="1"/>
  <c r="G60" i="19"/>
  <c r="G61" i="19"/>
  <c r="G62" i="19"/>
  <c r="G63" i="19"/>
  <c r="Q64" i="19" s="1"/>
  <c r="G64" i="19"/>
  <c r="G65" i="19"/>
  <c r="G66" i="19"/>
  <c r="G67" i="19"/>
  <c r="G68" i="19"/>
  <c r="G69" i="19"/>
  <c r="G71" i="19"/>
  <c r="G72" i="19"/>
  <c r="G73" i="19"/>
  <c r="G74" i="19"/>
  <c r="G75" i="19"/>
  <c r="Q58" i="19"/>
  <c r="Q61" i="19"/>
  <c r="Q62" i="19"/>
  <c r="Q63" i="19"/>
  <c r="Q65" i="19"/>
  <c r="Q66" i="19"/>
  <c r="Q68" i="19"/>
  <c r="Q69" i="19"/>
  <c r="Q70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Y29" i="27"/>
  <c r="X29" i="27"/>
  <c r="V29" i="27"/>
  <c r="U29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41" i="27"/>
  <c r="N17" i="27"/>
  <c r="J41" i="27"/>
  <c r="I41" i="27"/>
  <c r="M41" i="27" s="1"/>
  <c r="I16" i="27"/>
  <c r="E52" i="27"/>
  <c r="G52" i="27" s="1"/>
  <c r="E51" i="27"/>
  <c r="G51" i="27" s="1"/>
  <c r="E50" i="27"/>
  <c r="G50" i="27" s="1"/>
  <c r="E49" i="27"/>
  <c r="G49" i="27" s="1"/>
  <c r="E48" i="27"/>
  <c r="G48" i="27" s="1"/>
  <c r="E47" i="27"/>
  <c r="G47" i="27" s="1"/>
  <c r="E46" i="27"/>
  <c r="G46" i="27" s="1"/>
  <c r="E45" i="27"/>
  <c r="G45" i="27" s="1"/>
  <c r="E44" i="27"/>
  <c r="G44" i="27" s="1"/>
  <c r="E43" i="27"/>
  <c r="G43" i="27" s="1"/>
  <c r="E42" i="27"/>
  <c r="G42" i="27" s="1"/>
  <c r="E41" i="27"/>
  <c r="G41" i="27" s="1"/>
  <c r="E40" i="27"/>
  <c r="G40" i="27" s="1"/>
  <c r="J40" i="27" s="1"/>
  <c r="V28" i="27" s="1"/>
  <c r="Y28" i="27" s="1"/>
  <c r="E39" i="27"/>
  <c r="G39" i="27" s="1"/>
  <c r="G38" i="27"/>
  <c r="E38" i="27"/>
  <c r="E37" i="27"/>
  <c r="G37" i="27" s="1"/>
  <c r="J37" i="27" s="1"/>
  <c r="E36" i="27"/>
  <c r="G36" i="27" s="1"/>
  <c r="G35" i="27"/>
  <c r="E35" i="27"/>
  <c r="E34" i="27"/>
  <c r="G34" i="27" s="1"/>
  <c r="E33" i="27"/>
  <c r="G33" i="27" s="1"/>
  <c r="E32" i="27"/>
  <c r="G32" i="27" s="1"/>
  <c r="J32" i="27" s="1"/>
  <c r="V20" i="27" s="1"/>
  <c r="Y20" i="27" s="1"/>
  <c r="E31" i="27"/>
  <c r="G31" i="27" s="1"/>
  <c r="G30" i="27"/>
  <c r="E30" i="27"/>
  <c r="E29" i="27"/>
  <c r="G29" i="27" s="1"/>
  <c r="G28" i="27"/>
  <c r="J28" i="27" s="1"/>
  <c r="E28" i="27"/>
  <c r="E27" i="27"/>
  <c r="G27" i="27" s="1"/>
  <c r="G26" i="27"/>
  <c r="E26" i="27"/>
  <c r="E25" i="27"/>
  <c r="G25" i="27" s="1"/>
  <c r="E24" i="27"/>
  <c r="G24" i="27" s="1"/>
  <c r="E23" i="27"/>
  <c r="G23" i="27" s="1"/>
  <c r="E22" i="27"/>
  <c r="G22" i="27" s="1"/>
  <c r="E21" i="27"/>
  <c r="G21" i="27" s="1"/>
  <c r="E20" i="27"/>
  <c r="G20" i="27" s="1"/>
  <c r="G19" i="27"/>
  <c r="E19" i="27"/>
  <c r="G18" i="27"/>
  <c r="E18" i="27"/>
  <c r="E17" i="27"/>
  <c r="G17" i="27" s="1"/>
  <c r="E16" i="27"/>
  <c r="G16" i="27" s="1"/>
  <c r="E15" i="27"/>
  <c r="G15" i="27" s="1"/>
  <c r="E14" i="27"/>
  <c r="G14" i="27" s="1"/>
  <c r="E13" i="27"/>
  <c r="G13" i="27" s="1"/>
  <c r="E12" i="27"/>
  <c r="G12" i="27" s="1"/>
  <c r="E11" i="27"/>
  <c r="G11" i="27" s="1"/>
  <c r="E10" i="27"/>
  <c r="G10" i="27" s="1"/>
  <c r="E9" i="27"/>
  <c r="G9" i="27" s="1"/>
  <c r="E8" i="27"/>
  <c r="G8" i="27" s="1"/>
  <c r="E7" i="27"/>
  <c r="G7" i="27" s="1"/>
  <c r="U6" i="27"/>
  <c r="U7" i="27" s="1"/>
  <c r="U8" i="27" s="1"/>
  <c r="U9" i="27" s="1"/>
  <c r="U10" i="27" s="1"/>
  <c r="U11" i="27" s="1"/>
  <c r="U12" i="27" s="1"/>
  <c r="U13" i="27" s="1"/>
  <c r="U14" i="27" s="1"/>
  <c r="U15" i="27" s="1"/>
  <c r="U16" i="27" s="1"/>
  <c r="U17" i="27" s="1"/>
  <c r="U18" i="27" s="1"/>
  <c r="U19" i="27" s="1"/>
  <c r="U20" i="27" s="1"/>
  <c r="U21" i="27" s="1"/>
  <c r="U22" i="27" s="1"/>
  <c r="U23" i="27" s="1"/>
  <c r="U24" i="27" s="1"/>
  <c r="U25" i="27" s="1"/>
  <c r="U26" i="27" s="1"/>
  <c r="U27" i="27" s="1"/>
  <c r="U28" i="27" s="1"/>
  <c r="E6" i="27"/>
  <c r="G6" i="27" s="1"/>
  <c r="B6" i="27"/>
  <c r="B7" i="27" s="1"/>
  <c r="P5" i="27"/>
  <c r="E5" i="27"/>
  <c r="G5" i="27" s="1"/>
  <c r="D5" i="27"/>
  <c r="U4" i="27"/>
  <c r="V4" i="26"/>
  <c r="N16" i="26"/>
  <c r="J16" i="26"/>
  <c r="E52" i="26"/>
  <c r="G52" i="26" s="1"/>
  <c r="E51" i="26"/>
  <c r="G51" i="26" s="1"/>
  <c r="E50" i="26"/>
  <c r="G50" i="26" s="1"/>
  <c r="E49" i="26"/>
  <c r="G49" i="26" s="1"/>
  <c r="G48" i="26"/>
  <c r="E48" i="26"/>
  <c r="E47" i="26"/>
  <c r="G47" i="26" s="1"/>
  <c r="E46" i="26"/>
  <c r="G46" i="26" s="1"/>
  <c r="E45" i="26"/>
  <c r="G45" i="26" s="1"/>
  <c r="E44" i="26"/>
  <c r="G44" i="26" s="1"/>
  <c r="E43" i="26"/>
  <c r="G43" i="26" s="1"/>
  <c r="E42" i="26"/>
  <c r="G42" i="26" s="1"/>
  <c r="E41" i="26"/>
  <c r="G41" i="26" s="1"/>
  <c r="E40" i="26"/>
  <c r="G40" i="26" s="1"/>
  <c r="J40" i="26" s="1"/>
  <c r="E39" i="26"/>
  <c r="G39" i="26" s="1"/>
  <c r="E38" i="26"/>
  <c r="G38" i="26" s="1"/>
  <c r="J38" i="26" s="1"/>
  <c r="E37" i="26"/>
  <c r="G37" i="26" s="1"/>
  <c r="J37" i="26" s="1"/>
  <c r="E36" i="26"/>
  <c r="G36" i="26" s="1"/>
  <c r="E35" i="26"/>
  <c r="G35" i="26" s="1"/>
  <c r="E34" i="26"/>
  <c r="G34" i="26" s="1"/>
  <c r="E33" i="26"/>
  <c r="G33" i="26" s="1"/>
  <c r="E32" i="26"/>
  <c r="G32" i="26" s="1"/>
  <c r="J32" i="26" s="1"/>
  <c r="E31" i="26"/>
  <c r="G31" i="26" s="1"/>
  <c r="E30" i="26"/>
  <c r="G30" i="26" s="1"/>
  <c r="E29" i="26"/>
  <c r="G29" i="26" s="1"/>
  <c r="G28" i="26"/>
  <c r="J28" i="26" s="1"/>
  <c r="V16" i="26" s="1"/>
  <c r="Y16" i="26" s="1"/>
  <c r="E28" i="26"/>
  <c r="E27" i="26"/>
  <c r="G27" i="26" s="1"/>
  <c r="E26" i="26"/>
  <c r="G26" i="26" s="1"/>
  <c r="E25" i="26"/>
  <c r="G25" i="26" s="1"/>
  <c r="E24" i="26"/>
  <c r="G24" i="26" s="1"/>
  <c r="E23" i="26"/>
  <c r="G23" i="26" s="1"/>
  <c r="E22" i="26"/>
  <c r="G22" i="26" s="1"/>
  <c r="E21" i="26"/>
  <c r="G21" i="26" s="1"/>
  <c r="E20" i="26"/>
  <c r="G20" i="26" s="1"/>
  <c r="J20" i="26" s="1"/>
  <c r="V8" i="26" s="1"/>
  <c r="Y8" i="26" s="1"/>
  <c r="E19" i="26"/>
  <c r="G19" i="26" s="1"/>
  <c r="J19" i="26" s="1"/>
  <c r="E18" i="26"/>
  <c r="G18" i="26" s="1"/>
  <c r="E17" i="26"/>
  <c r="G17" i="26" s="1"/>
  <c r="E16" i="26"/>
  <c r="G16" i="26" s="1"/>
  <c r="E15" i="26"/>
  <c r="G15" i="26" s="1"/>
  <c r="E14" i="26"/>
  <c r="G14" i="26" s="1"/>
  <c r="E13" i="26"/>
  <c r="G13" i="26" s="1"/>
  <c r="E12" i="26"/>
  <c r="G12" i="26" s="1"/>
  <c r="E11" i="26"/>
  <c r="G11" i="26" s="1"/>
  <c r="E10" i="26"/>
  <c r="G10" i="26" s="1"/>
  <c r="E9" i="26"/>
  <c r="G9" i="26" s="1"/>
  <c r="E8" i="26"/>
  <c r="G8" i="26" s="1"/>
  <c r="U7" i="26"/>
  <c r="U8" i="26" s="1"/>
  <c r="U9" i="26" s="1"/>
  <c r="U10" i="26" s="1"/>
  <c r="U11" i="26" s="1"/>
  <c r="U12" i="26" s="1"/>
  <c r="U13" i="26" s="1"/>
  <c r="U14" i="26" s="1"/>
  <c r="U15" i="26" s="1"/>
  <c r="U16" i="26" s="1"/>
  <c r="U17" i="26" s="1"/>
  <c r="U18" i="26" s="1"/>
  <c r="U19" i="26" s="1"/>
  <c r="U20" i="26" s="1"/>
  <c r="U21" i="26" s="1"/>
  <c r="U22" i="26" s="1"/>
  <c r="U23" i="26" s="1"/>
  <c r="U24" i="26" s="1"/>
  <c r="U25" i="26" s="1"/>
  <c r="U26" i="26" s="1"/>
  <c r="U27" i="26" s="1"/>
  <c r="U28" i="26" s="1"/>
  <c r="E7" i="26"/>
  <c r="G7" i="26" s="1"/>
  <c r="U6" i="26"/>
  <c r="E6" i="26"/>
  <c r="G6" i="26" s="1"/>
  <c r="B6" i="26"/>
  <c r="P5" i="26"/>
  <c r="E5" i="26"/>
  <c r="G5" i="26" s="1"/>
  <c r="D5" i="26"/>
  <c r="U4" i="26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F53" i="25"/>
  <c r="F54" i="25" s="1"/>
  <c r="F55" i="25" s="1"/>
  <c r="F56" i="25" s="1"/>
  <c r="F57" i="25" s="1"/>
  <c r="F58" i="25" s="1"/>
  <c r="F59" i="25" s="1"/>
  <c r="F60" i="25" s="1"/>
  <c r="F61" i="25" s="1"/>
  <c r="F62" i="25" s="1"/>
  <c r="F63" i="25" s="1"/>
  <c r="F64" i="25" s="1"/>
  <c r="F65" i="25" s="1"/>
  <c r="F66" i="25" s="1"/>
  <c r="F67" i="25" s="1"/>
  <c r="F68" i="25" s="1"/>
  <c r="F69" i="25" s="1"/>
  <c r="F70" i="25" s="1"/>
  <c r="F71" i="25" s="1"/>
  <c r="F72" i="25" s="1"/>
  <c r="F73" i="25" s="1"/>
  <c r="F74" i="25" s="1"/>
  <c r="F75" i="25" s="1"/>
  <c r="F76" i="25" s="1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B53" i="25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E52" i="25"/>
  <c r="G52" i="25" s="1"/>
  <c r="E51" i="25"/>
  <c r="G51" i="25" s="1"/>
  <c r="E50" i="25"/>
  <c r="G50" i="25" s="1"/>
  <c r="E49" i="25"/>
  <c r="G49" i="25" s="1"/>
  <c r="G48" i="25"/>
  <c r="E48" i="25"/>
  <c r="E47" i="25"/>
  <c r="G47" i="25" s="1"/>
  <c r="E46" i="25"/>
  <c r="G46" i="25" s="1"/>
  <c r="E45" i="25"/>
  <c r="G45" i="25" s="1"/>
  <c r="E44" i="25"/>
  <c r="G44" i="25" s="1"/>
  <c r="E43" i="25"/>
  <c r="G43" i="25" s="1"/>
  <c r="E42" i="25"/>
  <c r="G42" i="25" s="1"/>
  <c r="E41" i="25"/>
  <c r="G41" i="25" s="1"/>
  <c r="E40" i="25"/>
  <c r="G40" i="25" s="1"/>
  <c r="E39" i="25"/>
  <c r="G39" i="25" s="1"/>
  <c r="E38" i="25"/>
  <c r="G38" i="25" s="1"/>
  <c r="E37" i="25"/>
  <c r="G37" i="25" s="1"/>
  <c r="E36" i="25"/>
  <c r="G36" i="25" s="1"/>
  <c r="E35" i="25"/>
  <c r="G35" i="25" s="1"/>
  <c r="E34" i="25"/>
  <c r="G34" i="25" s="1"/>
  <c r="E33" i="25"/>
  <c r="G33" i="25" s="1"/>
  <c r="J69" i="25" s="1"/>
  <c r="E32" i="25"/>
  <c r="G32" i="25" s="1"/>
  <c r="E31" i="25"/>
  <c r="G31" i="25" s="1"/>
  <c r="E30" i="25"/>
  <c r="G30" i="25" s="1"/>
  <c r="G29" i="25"/>
  <c r="J65" i="25" s="1"/>
  <c r="E29" i="25"/>
  <c r="E28" i="25"/>
  <c r="G28" i="25" s="1"/>
  <c r="E27" i="25"/>
  <c r="G27" i="25" s="1"/>
  <c r="E26" i="25"/>
  <c r="G26" i="25" s="1"/>
  <c r="E25" i="25"/>
  <c r="G25" i="25" s="1"/>
  <c r="E24" i="25"/>
  <c r="G24" i="25" s="1"/>
  <c r="E23" i="25"/>
  <c r="G23" i="25" s="1"/>
  <c r="E22" i="25"/>
  <c r="G22" i="25" s="1"/>
  <c r="G21" i="25"/>
  <c r="J57" i="25" s="1"/>
  <c r="E21" i="25"/>
  <c r="E20" i="25"/>
  <c r="G20" i="25" s="1"/>
  <c r="E19" i="25"/>
  <c r="G19" i="25" s="1"/>
  <c r="E18" i="25"/>
  <c r="G18" i="25" s="1"/>
  <c r="G17" i="25"/>
  <c r="E17" i="25"/>
  <c r="E16" i="25"/>
  <c r="G16" i="25" s="1"/>
  <c r="E15" i="25"/>
  <c r="G15" i="25" s="1"/>
  <c r="E14" i="25"/>
  <c r="G14" i="25" s="1"/>
  <c r="G13" i="25"/>
  <c r="E13" i="25"/>
  <c r="E12" i="25"/>
  <c r="G12" i="25" s="1"/>
  <c r="E11" i="25"/>
  <c r="G11" i="25" s="1"/>
  <c r="E10" i="25"/>
  <c r="G10" i="25" s="1"/>
  <c r="G9" i="25"/>
  <c r="E9" i="25"/>
  <c r="E8" i="25"/>
  <c r="G8" i="25" s="1"/>
  <c r="E7" i="25"/>
  <c r="G7" i="25" s="1"/>
  <c r="U6" i="25"/>
  <c r="U7" i="25" s="1"/>
  <c r="U8" i="25" s="1"/>
  <c r="U9" i="25" s="1"/>
  <c r="U10" i="25" s="1"/>
  <c r="U11" i="25" s="1"/>
  <c r="U12" i="25" s="1"/>
  <c r="U13" i="25" s="1"/>
  <c r="U14" i="25" s="1"/>
  <c r="U15" i="25" s="1"/>
  <c r="U16" i="25" s="1"/>
  <c r="U17" i="25" s="1"/>
  <c r="U18" i="25" s="1"/>
  <c r="U19" i="25" s="1"/>
  <c r="U20" i="25" s="1"/>
  <c r="U21" i="25" s="1"/>
  <c r="U22" i="25" s="1"/>
  <c r="U23" i="25" s="1"/>
  <c r="U24" i="25" s="1"/>
  <c r="U25" i="25" s="1"/>
  <c r="U26" i="25" s="1"/>
  <c r="U27" i="25" s="1"/>
  <c r="U28" i="25" s="1"/>
  <c r="E6" i="25"/>
  <c r="G6" i="25" s="1"/>
  <c r="D6" i="25"/>
  <c r="B6" i="25"/>
  <c r="B7" i="25" s="1"/>
  <c r="P5" i="25"/>
  <c r="E5" i="25"/>
  <c r="G5" i="25" s="1"/>
  <c r="D5" i="25"/>
  <c r="U4" i="25"/>
  <c r="E52" i="24"/>
  <c r="G52" i="24" s="1"/>
  <c r="E51" i="24"/>
  <c r="G51" i="24" s="1"/>
  <c r="E50" i="24"/>
  <c r="G50" i="24" s="1"/>
  <c r="E49" i="24"/>
  <c r="G49" i="24" s="1"/>
  <c r="E48" i="24"/>
  <c r="G48" i="24" s="1"/>
  <c r="E47" i="24"/>
  <c r="G47" i="24" s="1"/>
  <c r="E46" i="24"/>
  <c r="G46" i="24" s="1"/>
  <c r="E45" i="24"/>
  <c r="G45" i="24" s="1"/>
  <c r="E44" i="24"/>
  <c r="G44" i="24" s="1"/>
  <c r="E43" i="24"/>
  <c r="G43" i="24" s="1"/>
  <c r="E42" i="24"/>
  <c r="G42" i="24" s="1"/>
  <c r="E41" i="24"/>
  <c r="G41" i="24" s="1"/>
  <c r="E40" i="24"/>
  <c r="G40" i="24" s="1"/>
  <c r="E39" i="24"/>
  <c r="G39" i="24" s="1"/>
  <c r="E38" i="24"/>
  <c r="G38" i="24" s="1"/>
  <c r="E37" i="24"/>
  <c r="G37" i="24" s="1"/>
  <c r="E36" i="24"/>
  <c r="G36" i="24" s="1"/>
  <c r="E35" i="24"/>
  <c r="G35" i="24" s="1"/>
  <c r="E34" i="24"/>
  <c r="G34" i="24" s="1"/>
  <c r="E33" i="24"/>
  <c r="G33" i="24" s="1"/>
  <c r="E32" i="24"/>
  <c r="G32" i="24" s="1"/>
  <c r="E31" i="24"/>
  <c r="G31" i="24" s="1"/>
  <c r="E30" i="24"/>
  <c r="G30" i="24" s="1"/>
  <c r="E29" i="24"/>
  <c r="G29" i="24" s="1"/>
  <c r="E28" i="24"/>
  <c r="G28" i="24" s="1"/>
  <c r="E27" i="24"/>
  <c r="G27" i="24" s="1"/>
  <c r="E26" i="24"/>
  <c r="G26" i="24" s="1"/>
  <c r="E25" i="24"/>
  <c r="G25" i="24" s="1"/>
  <c r="E24" i="24"/>
  <c r="G24" i="24" s="1"/>
  <c r="E23" i="24"/>
  <c r="G23" i="24" s="1"/>
  <c r="E22" i="24"/>
  <c r="G22" i="24" s="1"/>
  <c r="E21" i="24"/>
  <c r="G21" i="24" s="1"/>
  <c r="E20" i="24"/>
  <c r="G20" i="24" s="1"/>
  <c r="E19" i="24"/>
  <c r="G19" i="24" s="1"/>
  <c r="E18" i="24"/>
  <c r="G18" i="24" s="1"/>
  <c r="E17" i="24"/>
  <c r="G17" i="24" s="1"/>
  <c r="E16" i="24"/>
  <c r="G16" i="24" s="1"/>
  <c r="E15" i="24"/>
  <c r="G15" i="24" s="1"/>
  <c r="E14" i="24"/>
  <c r="G14" i="24" s="1"/>
  <c r="E13" i="24"/>
  <c r="G13" i="24" s="1"/>
  <c r="E12" i="24"/>
  <c r="G12" i="24" s="1"/>
  <c r="E11" i="24"/>
  <c r="G11" i="24" s="1"/>
  <c r="E10" i="24"/>
  <c r="G10" i="24" s="1"/>
  <c r="E9" i="24"/>
  <c r="G9" i="24" s="1"/>
  <c r="E8" i="24"/>
  <c r="G8" i="24" s="1"/>
  <c r="E7" i="24"/>
  <c r="G7" i="24" s="1"/>
  <c r="B7" i="24"/>
  <c r="B8" i="24" s="1"/>
  <c r="U6" i="24"/>
  <c r="U7" i="24" s="1"/>
  <c r="U8" i="24" s="1"/>
  <c r="U9" i="24" s="1"/>
  <c r="U10" i="24" s="1"/>
  <c r="U11" i="24" s="1"/>
  <c r="U12" i="24" s="1"/>
  <c r="U13" i="24" s="1"/>
  <c r="U14" i="24" s="1"/>
  <c r="U15" i="24" s="1"/>
  <c r="U16" i="24" s="1"/>
  <c r="U17" i="24" s="1"/>
  <c r="U18" i="24" s="1"/>
  <c r="U19" i="24" s="1"/>
  <c r="U20" i="24" s="1"/>
  <c r="U21" i="24" s="1"/>
  <c r="U22" i="24" s="1"/>
  <c r="U23" i="24" s="1"/>
  <c r="U24" i="24" s="1"/>
  <c r="U25" i="24" s="1"/>
  <c r="U26" i="24" s="1"/>
  <c r="U27" i="24" s="1"/>
  <c r="U28" i="24" s="1"/>
  <c r="E6" i="24"/>
  <c r="G6" i="24" s="1"/>
  <c r="B6" i="24"/>
  <c r="D6" i="24" s="1"/>
  <c r="P5" i="24"/>
  <c r="E5" i="24"/>
  <c r="G5" i="24" s="1"/>
  <c r="D5" i="24"/>
  <c r="U4" i="24"/>
  <c r="Y29" i="23"/>
  <c r="X29" i="23"/>
  <c r="V29" i="23"/>
  <c r="U29" i="23"/>
  <c r="N41" i="23"/>
  <c r="J41" i="23"/>
  <c r="I41" i="23"/>
  <c r="M41" i="23"/>
  <c r="U7" i="23"/>
  <c r="U8" i="23"/>
  <c r="U9" i="23" s="1"/>
  <c r="U10" i="23" s="1"/>
  <c r="U11" i="23" s="1"/>
  <c r="U12" i="23" s="1"/>
  <c r="U13" i="23" s="1"/>
  <c r="U14" i="23" s="1"/>
  <c r="U15" i="23" s="1"/>
  <c r="U16" i="23" s="1"/>
  <c r="U17" i="23" s="1"/>
  <c r="U18" i="23" s="1"/>
  <c r="U19" i="23" s="1"/>
  <c r="U20" i="23" s="1"/>
  <c r="U21" i="23" s="1"/>
  <c r="U22" i="23" s="1"/>
  <c r="U23" i="23" s="1"/>
  <c r="U24" i="23" s="1"/>
  <c r="U25" i="23" s="1"/>
  <c r="U26" i="23" s="1"/>
  <c r="U27" i="23" s="1"/>
  <c r="U28" i="23" s="1"/>
  <c r="U6" i="23"/>
  <c r="J16" i="23"/>
  <c r="N16" i="23" s="1"/>
  <c r="S1" i="23"/>
  <c r="E5" i="23"/>
  <c r="E52" i="23"/>
  <c r="G52" i="23" s="1"/>
  <c r="E51" i="23"/>
  <c r="G51" i="23" s="1"/>
  <c r="E50" i="23"/>
  <c r="G50" i="23" s="1"/>
  <c r="E49" i="23"/>
  <c r="G49" i="23" s="1"/>
  <c r="E48" i="23"/>
  <c r="G48" i="23" s="1"/>
  <c r="E47" i="23"/>
  <c r="G47" i="23" s="1"/>
  <c r="G46" i="23"/>
  <c r="E46" i="23"/>
  <c r="E45" i="23"/>
  <c r="G45" i="23" s="1"/>
  <c r="E44" i="23"/>
  <c r="G44" i="23" s="1"/>
  <c r="E43" i="23"/>
  <c r="G43" i="23" s="1"/>
  <c r="E42" i="23"/>
  <c r="G42" i="23" s="1"/>
  <c r="E41" i="23"/>
  <c r="G41" i="23" s="1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J26" i="23" s="1"/>
  <c r="E25" i="23"/>
  <c r="G25" i="23" s="1"/>
  <c r="E24" i="23"/>
  <c r="G24" i="23" s="1"/>
  <c r="J24" i="23" s="1"/>
  <c r="E23" i="23"/>
  <c r="G23" i="23" s="1"/>
  <c r="E22" i="23"/>
  <c r="G22" i="23" s="1"/>
  <c r="J22" i="23" s="1"/>
  <c r="E21" i="23"/>
  <c r="G21" i="23" s="1"/>
  <c r="E20" i="23"/>
  <c r="G20" i="23" s="1"/>
  <c r="E19" i="23"/>
  <c r="G19" i="23" s="1"/>
  <c r="E18" i="23"/>
  <c r="G18" i="23" s="1"/>
  <c r="J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E8" i="23"/>
  <c r="G8" i="23" s="1"/>
  <c r="E7" i="23"/>
  <c r="G7" i="23" s="1"/>
  <c r="E6" i="23"/>
  <c r="G6" i="23" s="1"/>
  <c r="B6" i="23"/>
  <c r="B7" i="23" s="1"/>
  <c r="P5" i="23"/>
  <c r="D5" i="23"/>
  <c r="U4" i="23"/>
  <c r="X4" i="22"/>
  <c r="U29" i="22"/>
  <c r="U4" i="22"/>
  <c r="I41" i="22"/>
  <c r="I16" i="22"/>
  <c r="I17" i="22"/>
  <c r="V4" i="22"/>
  <c r="E5" i="22"/>
  <c r="B7" i="22"/>
  <c r="B8" i="22" s="1"/>
  <c r="B6" i="22"/>
  <c r="D6" i="22"/>
  <c r="E52" i="22"/>
  <c r="G52" i="22" s="1"/>
  <c r="E51" i="22"/>
  <c r="G51" i="22" s="1"/>
  <c r="E50" i="22"/>
  <c r="G50" i="22" s="1"/>
  <c r="E49" i="22"/>
  <c r="G49" i="22" s="1"/>
  <c r="E48" i="22"/>
  <c r="G48" i="22" s="1"/>
  <c r="E47" i="22"/>
  <c r="G47" i="22" s="1"/>
  <c r="E46" i="22"/>
  <c r="G46" i="22" s="1"/>
  <c r="E45" i="22"/>
  <c r="G45" i="22" s="1"/>
  <c r="E44" i="22"/>
  <c r="G44" i="22" s="1"/>
  <c r="G43" i="22"/>
  <c r="E43" i="22"/>
  <c r="E42" i="22"/>
  <c r="G42" i="22" s="1"/>
  <c r="E41" i="22"/>
  <c r="G41" i="22" s="1"/>
  <c r="E40" i="22"/>
  <c r="G40" i="22" s="1"/>
  <c r="J40" i="22" s="1"/>
  <c r="V28" i="22" s="1"/>
  <c r="Y28" i="22" s="1"/>
  <c r="E39" i="22"/>
  <c r="G39" i="22" s="1"/>
  <c r="E38" i="22"/>
  <c r="G38" i="22" s="1"/>
  <c r="E37" i="22"/>
  <c r="G37" i="22" s="1"/>
  <c r="E36" i="22"/>
  <c r="G36" i="22" s="1"/>
  <c r="J36" i="22" s="1"/>
  <c r="V24" i="22" s="1"/>
  <c r="Y24" i="22" s="1"/>
  <c r="E35" i="22"/>
  <c r="G35" i="22" s="1"/>
  <c r="E34" i="22"/>
  <c r="G34" i="22" s="1"/>
  <c r="E33" i="22"/>
  <c r="G33" i="22" s="1"/>
  <c r="E32" i="22"/>
  <c r="G32" i="22" s="1"/>
  <c r="J32" i="22" s="1"/>
  <c r="V20" i="22" s="1"/>
  <c r="Y20" i="22" s="1"/>
  <c r="E31" i="22"/>
  <c r="G31" i="22" s="1"/>
  <c r="E30" i="22"/>
  <c r="G30" i="22" s="1"/>
  <c r="E29" i="22"/>
  <c r="G29" i="22" s="1"/>
  <c r="J29" i="22" s="1"/>
  <c r="V17" i="22" s="1"/>
  <c r="Y17" i="22" s="1"/>
  <c r="E28" i="22"/>
  <c r="G28" i="22" s="1"/>
  <c r="E27" i="22"/>
  <c r="G27" i="22" s="1"/>
  <c r="J27" i="22" s="1"/>
  <c r="V15" i="22" s="1"/>
  <c r="Y15" i="22" s="1"/>
  <c r="E26" i="22"/>
  <c r="G26" i="22" s="1"/>
  <c r="J26" i="22" s="1"/>
  <c r="V14" i="22" s="1"/>
  <c r="Y14" i="22" s="1"/>
  <c r="E25" i="22"/>
  <c r="G25" i="22" s="1"/>
  <c r="E24" i="22"/>
  <c r="G24" i="22" s="1"/>
  <c r="E23" i="22"/>
  <c r="G23" i="22" s="1"/>
  <c r="E22" i="22"/>
  <c r="G22" i="22" s="1"/>
  <c r="G21" i="22"/>
  <c r="J21" i="22" s="1"/>
  <c r="E21" i="22"/>
  <c r="E20" i="22"/>
  <c r="G20" i="22" s="1"/>
  <c r="E19" i="22"/>
  <c r="G19" i="22" s="1"/>
  <c r="E18" i="22"/>
  <c r="G18" i="22" s="1"/>
  <c r="J18" i="22" s="1"/>
  <c r="V6" i="22" s="1"/>
  <c r="Y6" i="22" s="1"/>
  <c r="E17" i="22"/>
  <c r="G17" i="22" s="1"/>
  <c r="N16" i="22"/>
  <c r="E16" i="22"/>
  <c r="G16" i="22" s="1"/>
  <c r="E15" i="22"/>
  <c r="G15" i="22" s="1"/>
  <c r="E14" i="22"/>
  <c r="G14" i="22" s="1"/>
  <c r="E13" i="22"/>
  <c r="G13" i="22" s="1"/>
  <c r="E12" i="22"/>
  <c r="G12" i="22" s="1"/>
  <c r="E11" i="22"/>
  <c r="G11" i="22" s="1"/>
  <c r="E10" i="22"/>
  <c r="G10" i="22" s="1"/>
  <c r="E9" i="22"/>
  <c r="G9" i="22" s="1"/>
  <c r="E8" i="22"/>
  <c r="G8" i="22" s="1"/>
  <c r="E7" i="22"/>
  <c r="G7" i="22" s="1"/>
  <c r="D7" i="22"/>
  <c r="E6" i="22"/>
  <c r="G6" i="22" s="1"/>
  <c r="P5" i="22"/>
  <c r="G5" i="22"/>
  <c r="D5" i="22"/>
  <c r="Y4" i="22"/>
  <c r="X4" i="21"/>
  <c r="X5" i="21"/>
  <c r="X6" i="21"/>
  <c r="X7" i="21"/>
  <c r="X8" i="21"/>
  <c r="X9" i="21"/>
  <c r="X10" i="21"/>
  <c r="X11" i="21"/>
  <c r="X12" i="21"/>
  <c r="X13" i="21"/>
  <c r="X14" i="21"/>
  <c r="X15" i="21"/>
  <c r="X16" i="21"/>
  <c r="X17" i="21"/>
  <c r="X18" i="21"/>
  <c r="X19" i="21"/>
  <c r="X20" i="21"/>
  <c r="X21" i="21"/>
  <c r="X22" i="21"/>
  <c r="X23" i="21"/>
  <c r="X24" i="21"/>
  <c r="X25" i="21"/>
  <c r="X26" i="21"/>
  <c r="X27" i="21"/>
  <c r="X28" i="21"/>
  <c r="X3" i="21"/>
  <c r="X16" i="19"/>
  <c r="V28" i="21"/>
  <c r="Y28" i="21"/>
  <c r="N40" i="21"/>
  <c r="J40" i="21"/>
  <c r="I40" i="21"/>
  <c r="M40" i="21" s="1"/>
  <c r="I15" i="21"/>
  <c r="I39" i="21"/>
  <c r="J39" i="21"/>
  <c r="J17" i="21"/>
  <c r="J18" i="21"/>
  <c r="J19" i="21"/>
  <c r="J20" i="21"/>
  <c r="J21" i="21"/>
  <c r="J22" i="21"/>
  <c r="J23" i="21"/>
  <c r="V11" i="21" s="1"/>
  <c r="Y11" i="21" s="1"/>
  <c r="J24" i="21"/>
  <c r="J25" i="21"/>
  <c r="J26" i="21"/>
  <c r="J27" i="21"/>
  <c r="J28" i="21"/>
  <c r="J29" i="21"/>
  <c r="J30" i="21"/>
  <c r="J31" i="21"/>
  <c r="V19" i="21" s="1"/>
  <c r="Y19" i="21" s="1"/>
  <c r="J32" i="21"/>
  <c r="V20" i="21" s="1"/>
  <c r="Y20" i="21" s="1"/>
  <c r="J33" i="21"/>
  <c r="J34" i="21"/>
  <c r="J35" i="21"/>
  <c r="J36" i="21"/>
  <c r="J37" i="21"/>
  <c r="J38" i="21"/>
  <c r="V27" i="21"/>
  <c r="Y27" i="21" s="1"/>
  <c r="S1" i="21"/>
  <c r="Q4" i="21" s="1"/>
  <c r="J16" i="21"/>
  <c r="V4" i="21" s="1"/>
  <c r="Y4" i="21" s="1"/>
  <c r="Y3" i="21"/>
  <c r="V5" i="21"/>
  <c r="Y5" i="21" s="1"/>
  <c r="V6" i="21"/>
  <c r="Y6" i="21" s="1"/>
  <c r="V7" i="21"/>
  <c r="Y7" i="21" s="1"/>
  <c r="V8" i="21"/>
  <c r="Y8" i="21" s="1"/>
  <c r="V9" i="21"/>
  <c r="Y9" i="21" s="1"/>
  <c r="V10" i="21"/>
  <c r="Y10" i="21" s="1"/>
  <c r="V13" i="21"/>
  <c r="Y13" i="21" s="1"/>
  <c r="V14" i="21"/>
  <c r="Y14" i="21" s="1"/>
  <c r="V15" i="21"/>
  <c r="Y15" i="21" s="1"/>
  <c r="V16" i="21"/>
  <c r="Y16" i="21" s="1"/>
  <c r="V17" i="21"/>
  <c r="Y17" i="21" s="1"/>
  <c r="V18" i="21"/>
  <c r="Y18" i="21" s="1"/>
  <c r="V21" i="21"/>
  <c r="Y21" i="21" s="1"/>
  <c r="V22" i="21"/>
  <c r="Y22" i="21" s="1"/>
  <c r="V23" i="21"/>
  <c r="Y23" i="21" s="1"/>
  <c r="V24" i="21"/>
  <c r="Y24" i="21" s="1"/>
  <c r="V25" i="21"/>
  <c r="Y25" i="21" s="1"/>
  <c r="V26" i="21"/>
  <c r="Y26" i="21" s="1"/>
  <c r="V3" i="21"/>
  <c r="P4" i="21"/>
  <c r="N15" i="21"/>
  <c r="E5" i="21"/>
  <c r="E6" i="21"/>
  <c r="E7" i="21"/>
  <c r="E8" i="21"/>
  <c r="E9" i="21"/>
  <c r="G9" i="21" s="1"/>
  <c r="E10" i="21"/>
  <c r="E11" i="21"/>
  <c r="E12" i="21"/>
  <c r="G12" i="21" s="1"/>
  <c r="E13" i="21"/>
  <c r="E14" i="21"/>
  <c r="E15" i="21"/>
  <c r="E16" i="21"/>
  <c r="E17" i="21"/>
  <c r="G17" i="21" s="1"/>
  <c r="E18" i="21"/>
  <c r="E19" i="21"/>
  <c r="E20" i="21"/>
  <c r="G20" i="21" s="1"/>
  <c r="E21" i="21"/>
  <c r="E22" i="21"/>
  <c r="G22" i="21" s="1"/>
  <c r="E23" i="21"/>
  <c r="E24" i="21"/>
  <c r="E25" i="21"/>
  <c r="G25" i="21" s="1"/>
  <c r="E26" i="21"/>
  <c r="E27" i="21"/>
  <c r="E28" i="21"/>
  <c r="G28" i="21" s="1"/>
  <c r="E29" i="21"/>
  <c r="E30" i="21"/>
  <c r="G30" i="21" s="1"/>
  <c r="E31" i="21"/>
  <c r="E32" i="21"/>
  <c r="E33" i="21"/>
  <c r="G33" i="21" s="1"/>
  <c r="E34" i="21"/>
  <c r="E35" i="21"/>
  <c r="E36" i="21"/>
  <c r="G36" i="21" s="1"/>
  <c r="E37" i="21"/>
  <c r="E38" i="21"/>
  <c r="E39" i="21"/>
  <c r="E40" i="21"/>
  <c r="E41" i="21"/>
  <c r="G41" i="21" s="1"/>
  <c r="E42" i="21"/>
  <c r="E43" i="21"/>
  <c r="E44" i="21"/>
  <c r="G44" i="21" s="1"/>
  <c r="E45" i="21"/>
  <c r="E46" i="21"/>
  <c r="G46" i="21" s="1"/>
  <c r="E47" i="21"/>
  <c r="E48" i="21"/>
  <c r="E49" i="21"/>
  <c r="G49" i="21" s="1"/>
  <c r="E50" i="21"/>
  <c r="E51" i="21"/>
  <c r="E4" i="21"/>
  <c r="G4" i="21" s="1"/>
  <c r="G51" i="21"/>
  <c r="D51" i="21"/>
  <c r="G50" i="21"/>
  <c r="D50" i="21"/>
  <c r="D49" i="21"/>
  <c r="G48" i="21"/>
  <c r="D48" i="21"/>
  <c r="G47" i="21"/>
  <c r="D47" i="21"/>
  <c r="D46" i="21"/>
  <c r="G45" i="21"/>
  <c r="D45" i="21"/>
  <c r="D44" i="21"/>
  <c r="G43" i="21"/>
  <c r="D43" i="21"/>
  <c r="G42" i="21"/>
  <c r="D42" i="21"/>
  <c r="D41" i="21"/>
  <c r="G40" i="21"/>
  <c r="D40" i="21"/>
  <c r="G39" i="21"/>
  <c r="D39" i="21"/>
  <c r="G38" i="21"/>
  <c r="D38" i="21"/>
  <c r="G37" i="21"/>
  <c r="D37" i="21"/>
  <c r="D36" i="21"/>
  <c r="G35" i="21"/>
  <c r="D35" i="21"/>
  <c r="G34" i="21"/>
  <c r="D34" i="21"/>
  <c r="D33" i="21"/>
  <c r="G32" i="21"/>
  <c r="D32" i="21"/>
  <c r="G31" i="21"/>
  <c r="D31" i="21"/>
  <c r="D30" i="21"/>
  <c r="G29" i="21"/>
  <c r="D29" i="21"/>
  <c r="D28" i="21"/>
  <c r="G27" i="21"/>
  <c r="D27" i="21"/>
  <c r="G26" i="21"/>
  <c r="D26" i="21"/>
  <c r="D25" i="21"/>
  <c r="G24" i="21"/>
  <c r="D24" i="21"/>
  <c r="G23" i="21"/>
  <c r="D23" i="21"/>
  <c r="D22" i="21"/>
  <c r="G21" i="21"/>
  <c r="D21" i="21"/>
  <c r="D20" i="21"/>
  <c r="G19" i="21"/>
  <c r="D19" i="21"/>
  <c r="G18" i="21"/>
  <c r="D18" i="21"/>
  <c r="D17" i="21"/>
  <c r="G16" i="21"/>
  <c r="D16" i="21"/>
  <c r="G15" i="21"/>
  <c r="D15" i="21"/>
  <c r="G14" i="21"/>
  <c r="D14" i="21"/>
  <c r="G13" i="21"/>
  <c r="D13" i="21"/>
  <c r="D12" i="21"/>
  <c r="G11" i="21"/>
  <c r="D11" i="21"/>
  <c r="G10" i="21"/>
  <c r="D10" i="21"/>
  <c r="D9" i="21"/>
  <c r="G8" i="21"/>
  <c r="D8" i="21"/>
  <c r="G7" i="21"/>
  <c r="D7" i="21"/>
  <c r="G6" i="21"/>
  <c r="D6" i="21"/>
  <c r="G5" i="21"/>
  <c r="D5" i="21"/>
  <c r="F5" i="21" s="1"/>
  <c r="D4" i="21"/>
  <c r="F5" i="20"/>
  <c r="N4" i="20"/>
  <c r="M3" i="20"/>
  <c r="S1" i="20"/>
  <c r="I4" i="20"/>
  <c r="G4" i="20"/>
  <c r="J4" i="20" s="1"/>
  <c r="G51" i="20"/>
  <c r="D51" i="20"/>
  <c r="G50" i="20"/>
  <c r="D50" i="20"/>
  <c r="G49" i="20"/>
  <c r="D49" i="20"/>
  <c r="G48" i="20"/>
  <c r="D48" i="20"/>
  <c r="G47" i="20"/>
  <c r="D47" i="20"/>
  <c r="G46" i="20"/>
  <c r="D46" i="20"/>
  <c r="G45" i="20"/>
  <c r="D45" i="20"/>
  <c r="G44" i="20"/>
  <c r="D44" i="20"/>
  <c r="G43" i="20"/>
  <c r="D43" i="20"/>
  <c r="G42" i="20"/>
  <c r="D42" i="20"/>
  <c r="G41" i="20"/>
  <c r="D41" i="20"/>
  <c r="G40" i="20"/>
  <c r="D40" i="20"/>
  <c r="G39" i="20"/>
  <c r="D39" i="20"/>
  <c r="G38" i="20"/>
  <c r="D38" i="20"/>
  <c r="G37" i="20"/>
  <c r="D37" i="20"/>
  <c r="G36" i="20"/>
  <c r="D36" i="20"/>
  <c r="G35" i="20"/>
  <c r="D35" i="20"/>
  <c r="G34" i="20"/>
  <c r="D34" i="20"/>
  <c r="G33" i="20"/>
  <c r="D33" i="20"/>
  <c r="G32" i="20"/>
  <c r="D32" i="20"/>
  <c r="G31" i="20"/>
  <c r="D31" i="20"/>
  <c r="G30" i="20"/>
  <c r="D30" i="20"/>
  <c r="G29" i="20"/>
  <c r="D29" i="20"/>
  <c r="G28" i="20"/>
  <c r="D28" i="20"/>
  <c r="G27" i="20"/>
  <c r="J27" i="20" s="1"/>
  <c r="D27" i="20"/>
  <c r="G26" i="20"/>
  <c r="J26" i="20" s="1"/>
  <c r="D26" i="20"/>
  <c r="G25" i="20"/>
  <c r="J25" i="20" s="1"/>
  <c r="D25" i="20"/>
  <c r="G24" i="20"/>
  <c r="J24" i="20" s="1"/>
  <c r="D24" i="20"/>
  <c r="G23" i="20"/>
  <c r="J23" i="20" s="1"/>
  <c r="D23" i="20"/>
  <c r="G22" i="20"/>
  <c r="J22" i="20" s="1"/>
  <c r="D22" i="20"/>
  <c r="G21" i="20"/>
  <c r="J21" i="20" s="1"/>
  <c r="D21" i="20"/>
  <c r="G20" i="20"/>
  <c r="J20" i="20" s="1"/>
  <c r="D20" i="20"/>
  <c r="G19" i="20"/>
  <c r="J19" i="20" s="1"/>
  <c r="D19" i="20"/>
  <c r="G18" i="20"/>
  <c r="J18" i="20" s="1"/>
  <c r="D18" i="20"/>
  <c r="G17" i="20"/>
  <c r="J17" i="20" s="1"/>
  <c r="D17" i="20"/>
  <c r="G16" i="20"/>
  <c r="J16" i="20" s="1"/>
  <c r="D16" i="20"/>
  <c r="G15" i="20"/>
  <c r="J15" i="20" s="1"/>
  <c r="D15" i="20"/>
  <c r="G14" i="20"/>
  <c r="J14" i="20" s="1"/>
  <c r="D14" i="20"/>
  <c r="G13" i="20"/>
  <c r="J13" i="20" s="1"/>
  <c r="D13" i="20"/>
  <c r="G12" i="20"/>
  <c r="J12" i="20" s="1"/>
  <c r="D12" i="20"/>
  <c r="G11" i="20"/>
  <c r="J11" i="20" s="1"/>
  <c r="D11" i="20"/>
  <c r="G10" i="20"/>
  <c r="J10" i="20" s="1"/>
  <c r="D10" i="20"/>
  <c r="G9" i="20"/>
  <c r="J9" i="20" s="1"/>
  <c r="D9" i="20"/>
  <c r="G8" i="20"/>
  <c r="J8" i="20" s="1"/>
  <c r="D8" i="20"/>
  <c r="G7" i="20"/>
  <c r="J7" i="20" s="1"/>
  <c r="D7" i="20"/>
  <c r="G6" i="20"/>
  <c r="J6" i="20" s="1"/>
  <c r="D6" i="20"/>
  <c r="P3" i="20"/>
  <c r="G5" i="20"/>
  <c r="J5" i="20" s="1"/>
  <c r="D5" i="20"/>
  <c r="D4" i="20"/>
  <c r="Y16" i="19"/>
  <c r="Y17" i="19"/>
  <c r="Y18" i="19"/>
  <c r="Y19" i="19"/>
  <c r="Y20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Y36" i="19"/>
  <c r="Y37" i="19"/>
  <c r="Y38" i="19"/>
  <c r="Y39" i="19"/>
  <c r="Y40" i="19"/>
  <c r="Y41" i="19"/>
  <c r="Y42" i="19"/>
  <c r="Y43" i="19"/>
  <c r="Y44" i="19"/>
  <c r="Y45" i="19"/>
  <c r="Y46" i="19"/>
  <c r="Y47" i="19"/>
  <c r="Y48" i="19"/>
  <c r="Y49" i="19"/>
  <c r="Y50" i="19"/>
  <c r="Y51" i="19"/>
  <c r="Y52" i="19"/>
  <c r="Y53" i="19"/>
  <c r="Y54" i="19"/>
  <c r="Y55" i="19"/>
  <c r="Y56" i="19"/>
  <c r="Y57" i="19"/>
  <c r="Y15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X36" i="19"/>
  <c r="X37" i="19"/>
  <c r="X38" i="19"/>
  <c r="X39" i="19"/>
  <c r="X40" i="19"/>
  <c r="X41" i="19"/>
  <c r="X42" i="19"/>
  <c r="X43" i="19"/>
  <c r="X44" i="19"/>
  <c r="X45" i="19"/>
  <c r="X46" i="19"/>
  <c r="X47" i="19"/>
  <c r="X48" i="19"/>
  <c r="X49" i="19"/>
  <c r="X50" i="19"/>
  <c r="X51" i="19"/>
  <c r="X52" i="19"/>
  <c r="X53" i="19"/>
  <c r="X54" i="19"/>
  <c r="X55" i="19"/>
  <c r="X56" i="19"/>
  <c r="X57" i="19"/>
  <c r="V51" i="19"/>
  <c r="V52" i="19"/>
  <c r="V53" i="19"/>
  <c r="V54" i="19"/>
  <c r="V55" i="19"/>
  <c r="V56" i="19"/>
  <c r="V57" i="19"/>
  <c r="P57" i="19"/>
  <c r="Q52" i="19"/>
  <c r="Q53" i="19"/>
  <c r="Q54" i="19"/>
  <c r="Q55" i="19"/>
  <c r="Q56" i="19"/>
  <c r="Q57" i="19"/>
  <c r="P52" i="19"/>
  <c r="P53" i="19"/>
  <c r="P54" i="19"/>
  <c r="P55" i="19"/>
  <c r="P56" i="19"/>
  <c r="N51" i="19"/>
  <c r="N52" i="19"/>
  <c r="N53" i="19"/>
  <c r="N54" i="19"/>
  <c r="N55" i="19"/>
  <c r="N56" i="19"/>
  <c r="N57" i="19"/>
  <c r="M51" i="19"/>
  <c r="M52" i="19"/>
  <c r="M53" i="19"/>
  <c r="M54" i="19"/>
  <c r="M55" i="19"/>
  <c r="M56" i="19"/>
  <c r="M57" i="19"/>
  <c r="G57" i="19"/>
  <c r="I57" i="19"/>
  <c r="J57" i="19"/>
  <c r="J51" i="19"/>
  <c r="J52" i="19"/>
  <c r="J53" i="19"/>
  <c r="J54" i="19"/>
  <c r="J55" i="19"/>
  <c r="J56" i="19"/>
  <c r="I51" i="19"/>
  <c r="I52" i="19"/>
  <c r="I53" i="19"/>
  <c r="I54" i="19"/>
  <c r="I55" i="19"/>
  <c r="I56" i="19"/>
  <c r="G51" i="19"/>
  <c r="G52" i="19"/>
  <c r="G53" i="19"/>
  <c r="G54" i="19"/>
  <c r="G55" i="19"/>
  <c r="G5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16" i="19"/>
  <c r="V15" i="19"/>
  <c r="N40" i="19"/>
  <c r="N41" i="19"/>
  <c r="N42" i="19"/>
  <c r="N43" i="19"/>
  <c r="N44" i="19"/>
  <c r="N45" i="19"/>
  <c r="N46" i="19"/>
  <c r="N47" i="19"/>
  <c r="N48" i="19"/>
  <c r="N49" i="19"/>
  <c r="N50" i="19"/>
  <c r="M40" i="19"/>
  <c r="M41" i="19"/>
  <c r="M42" i="19"/>
  <c r="M43" i="19"/>
  <c r="M44" i="19"/>
  <c r="M45" i="19"/>
  <c r="M46" i="19"/>
  <c r="M47" i="19"/>
  <c r="M48" i="19"/>
  <c r="M49" i="19"/>
  <c r="M50" i="19"/>
  <c r="J40" i="19"/>
  <c r="J41" i="19"/>
  <c r="J42" i="19"/>
  <c r="J43" i="19"/>
  <c r="J44" i="19"/>
  <c r="J45" i="19"/>
  <c r="J46" i="19"/>
  <c r="J47" i="19"/>
  <c r="J48" i="19"/>
  <c r="J49" i="19"/>
  <c r="J50" i="19"/>
  <c r="I40" i="19"/>
  <c r="I41" i="19"/>
  <c r="I42" i="19"/>
  <c r="I43" i="19"/>
  <c r="I44" i="19"/>
  <c r="I45" i="19"/>
  <c r="I46" i="19"/>
  <c r="I47" i="19"/>
  <c r="I48" i="19"/>
  <c r="I49" i="19"/>
  <c r="I50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15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S1" i="19"/>
  <c r="P4" i="19"/>
  <c r="J15" i="19"/>
  <c r="J21" i="19"/>
  <c r="J23" i="19"/>
  <c r="J29" i="19"/>
  <c r="J31" i="19"/>
  <c r="J37" i="19"/>
  <c r="J39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G50" i="19"/>
  <c r="D50" i="19"/>
  <c r="G49" i="19"/>
  <c r="D49" i="19"/>
  <c r="G48" i="19"/>
  <c r="D48" i="19"/>
  <c r="G47" i="19"/>
  <c r="D47" i="19"/>
  <c r="G46" i="19"/>
  <c r="D46" i="19"/>
  <c r="G45" i="19"/>
  <c r="D45" i="19"/>
  <c r="G44" i="19"/>
  <c r="D44" i="19"/>
  <c r="G43" i="19"/>
  <c r="D43" i="19"/>
  <c r="G42" i="19"/>
  <c r="D42" i="19"/>
  <c r="G41" i="19"/>
  <c r="D41" i="19"/>
  <c r="G40" i="19"/>
  <c r="D40" i="19"/>
  <c r="G39" i="19"/>
  <c r="D39" i="19"/>
  <c r="G38" i="19"/>
  <c r="D38" i="19"/>
  <c r="G37" i="19"/>
  <c r="J38" i="19" s="1"/>
  <c r="D37" i="19"/>
  <c r="G36" i="19"/>
  <c r="D36" i="19"/>
  <c r="G35" i="19"/>
  <c r="J36" i="19" s="1"/>
  <c r="D35" i="19"/>
  <c r="G34" i="19"/>
  <c r="J35" i="19" s="1"/>
  <c r="D34" i="19"/>
  <c r="G33" i="19"/>
  <c r="J34" i="19" s="1"/>
  <c r="D33" i="19"/>
  <c r="G32" i="19"/>
  <c r="J33" i="19" s="1"/>
  <c r="D32" i="19"/>
  <c r="G31" i="19"/>
  <c r="J32" i="19" s="1"/>
  <c r="D31" i="19"/>
  <c r="G30" i="19"/>
  <c r="D30" i="19"/>
  <c r="G29" i="19"/>
  <c r="J30" i="19" s="1"/>
  <c r="D29" i="19"/>
  <c r="G28" i="19"/>
  <c r="D28" i="19"/>
  <c r="G27" i="19"/>
  <c r="J28" i="19" s="1"/>
  <c r="D27" i="19"/>
  <c r="G26" i="19"/>
  <c r="J27" i="19" s="1"/>
  <c r="D26" i="19"/>
  <c r="G25" i="19"/>
  <c r="J26" i="19" s="1"/>
  <c r="D25" i="19"/>
  <c r="G24" i="19"/>
  <c r="J25" i="19" s="1"/>
  <c r="D24" i="19"/>
  <c r="G23" i="19"/>
  <c r="J24" i="19" s="1"/>
  <c r="D23" i="19"/>
  <c r="G22" i="19"/>
  <c r="D22" i="19"/>
  <c r="G21" i="19"/>
  <c r="J22" i="19" s="1"/>
  <c r="D21" i="19"/>
  <c r="G20" i="19"/>
  <c r="D20" i="19"/>
  <c r="G19" i="19"/>
  <c r="J20" i="19" s="1"/>
  <c r="D19" i="19"/>
  <c r="G18" i="19"/>
  <c r="J19" i="19" s="1"/>
  <c r="D18" i="19"/>
  <c r="G17" i="19"/>
  <c r="J18" i="19" s="1"/>
  <c r="D17" i="19"/>
  <c r="G16" i="19"/>
  <c r="J17" i="19" s="1"/>
  <c r="D16" i="19"/>
  <c r="G15" i="19"/>
  <c r="J16" i="19" s="1"/>
  <c r="D15" i="19"/>
  <c r="G14" i="19"/>
  <c r="D14" i="19"/>
  <c r="G13" i="19"/>
  <c r="D13" i="19"/>
  <c r="G12" i="19"/>
  <c r="D12" i="19"/>
  <c r="G11" i="19"/>
  <c r="D11" i="19"/>
  <c r="G10" i="19"/>
  <c r="D10" i="19"/>
  <c r="G9" i="19"/>
  <c r="D9" i="19"/>
  <c r="G8" i="19"/>
  <c r="D8" i="19"/>
  <c r="G7" i="19"/>
  <c r="D7" i="19"/>
  <c r="G6" i="19"/>
  <c r="D6" i="19"/>
  <c r="G5" i="19"/>
  <c r="D5" i="19"/>
  <c r="G4" i="19"/>
  <c r="D4" i="19"/>
  <c r="G3" i="19"/>
  <c r="D3" i="19"/>
  <c r="A2" i="8"/>
  <c r="A3" i="8"/>
  <c r="Y19" i="24" l="1"/>
  <c r="Y27" i="24"/>
  <c r="J25" i="27"/>
  <c r="J29" i="27"/>
  <c r="J34" i="27"/>
  <c r="J39" i="27"/>
  <c r="J20" i="27"/>
  <c r="J31" i="27"/>
  <c r="J36" i="27"/>
  <c r="J21" i="27"/>
  <c r="J22" i="27"/>
  <c r="B8" i="27"/>
  <c r="D7" i="27"/>
  <c r="J17" i="27"/>
  <c r="J23" i="27"/>
  <c r="J24" i="27"/>
  <c r="J33" i="27"/>
  <c r="D6" i="27"/>
  <c r="F6" i="27" s="1"/>
  <c r="J19" i="27"/>
  <c r="V25" i="27"/>
  <c r="Y25" i="27" s="1"/>
  <c r="J27" i="27"/>
  <c r="J35" i="27"/>
  <c r="V16" i="27"/>
  <c r="Y16" i="27" s="1"/>
  <c r="J18" i="27"/>
  <c r="J26" i="27"/>
  <c r="J30" i="27"/>
  <c r="J38" i="27"/>
  <c r="J27" i="26"/>
  <c r="J33" i="26"/>
  <c r="V26" i="26"/>
  <c r="Y26" i="26" s="1"/>
  <c r="J24" i="26"/>
  <c r="J30" i="26"/>
  <c r="J39" i="26"/>
  <c r="B7" i="26"/>
  <c r="D6" i="26"/>
  <c r="F6" i="26" s="1"/>
  <c r="J18" i="26"/>
  <c r="J21" i="26"/>
  <c r="J34" i="26"/>
  <c r="J23" i="26"/>
  <c r="J25" i="26"/>
  <c r="J31" i="26"/>
  <c r="J35" i="26"/>
  <c r="V28" i="26"/>
  <c r="Y28" i="26" s="1"/>
  <c r="J36" i="26"/>
  <c r="J17" i="26"/>
  <c r="V7" i="26"/>
  <c r="Y7" i="26" s="1"/>
  <c r="J22" i="26"/>
  <c r="J26" i="26"/>
  <c r="J29" i="26"/>
  <c r="V20" i="26"/>
  <c r="Y20" i="26" s="1"/>
  <c r="V25" i="26"/>
  <c r="Y25" i="26" s="1"/>
  <c r="J55" i="25"/>
  <c r="J67" i="25"/>
  <c r="V17" i="25"/>
  <c r="Y17" i="25" s="1"/>
  <c r="J56" i="25"/>
  <c r="J72" i="25"/>
  <c r="J62" i="25"/>
  <c r="J74" i="25"/>
  <c r="J54" i="25"/>
  <c r="V9" i="25"/>
  <c r="Y9" i="25" s="1"/>
  <c r="J63" i="25"/>
  <c r="J75" i="25"/>
  <c r="J66" i="25"/>
  <c r="B8" i="25"/>
  <c r="D7" i="25"/>
  <c r="J58" i="25"/>
  <c r="J64" i="25"/>
  <c r="V21" i="25"/>
  <c r="Y21" i="25" s="1"/>
  <c r="J71" i="25"/>
  <c r="F6" i="25"/>
  <c r="J59" i="25"/>
  <c r="J70" i="25"/>
  <c r="J53" i="25"/>
  <c r="J61" i="25"/>
  <c r="J73" i="25"/>
  <c r="J60" i="25"/>
  <c r="J68" i="25"/>
  <c r="J76" i="25"/>
  <c r="Y18" i="24"/>
  <c r="Y26" i="24"/>
  <c r="F6" i="24"/>
  <c r="Y16" i="24"/>
  <c r="D8" i="24"/>
  <c r="B9" i="24"/>
  <c r="Y8" i="24"/>
  <c r="Y24" i="24"/>
  <c r="P6" i="24"/>
  <c r="Y7" i="24"/>
  <c r="Y15" i="24"/>
  <c r="D7" i="24"/>
  <c r="F7" i="24" s="1"/>
  <c r="Y10" i="24"/>
  <c r="V4" i="23"/>
  <c r="Y4" i="23" s="1"/>
  <c r="F6" i="23"/>
  <c r="G5" i="23"/>
  <c r="D6" i="23"/>
  <c r="V12" i="23"/>
  <c r="Y12" i="23" s="1"/>
  <c r="J23" i="23"/>
  <c r="J32" i="23"/>
  <c r="J39" i="23"/>
  <c r="J17" i="23"/>
  <c r="J20" i="23"/>
  <c r="J33" i="23"/>
  <c r="J40" i="23"/>
  <c r="B8" i="23"/>
  <c r="D7" i="23"/>
  <c r="V6" i="23"/>
  <c r="Y6" i="23" s="1"/>
  <c r="J21" i="23"/>
  <c r="J28" i="23"/>
  <c r="J35" i="23"/>
  <c r="J27" i="23"/>
  <c r="J29" i="23"/>
  <c r="J36" i="23"/>
  <c r="J34" i="23"/>
  <c r="V10" i="23"/>
  <c r="Y10" i="23" s="1"/>
  <c r="J25" i="23"/>
  <c r="J19" i="23"/>
  <c r="J30" i="23"/>
  <c r="V14" i="23"/>
  <c r="Y14" i="23" s="1"/>
  <c r="J31" i="23"/>
  <c r="J38" i="23"/>
  <c r="J37" i="23"/>
  <c r="B9" i="22"/>
  <c r="D8" i="22"/>
  <c r="F6" i="22"/>
  <c r="P6" i="22" s="1"/>
  <c r="J24" i="22"/>
  <c r="J19" i="22"/>
  <c r="J35" i="22"/>
  <c r="J17" i="22"/>
  <c r="J22" i="22"/>
  <c r="J34" i="22"/>
  <c r="J30" i="22"/>
  <c r="J39" i="22"/>
  <c r="J25" i="22"/>
  <c r="J38" i="22"/>
  <c r="J31" i="22"/>
  <c r="V9" i="22"/>
  <c r="Y9" i="22" s="1"/>
  <c r="J23" i="22"/>
  <c r="J20" i="22"/>
  <c r="J28" i="22"/>
  <c r="J33" i="22"/>
  <c r="J37" i="22"/>
  <c r="J41" i="22"/>
  <c r="V12" i="21"/>
  <c r="Y12" i="21" s="1"/>
  <c r="P5" i="21"/>
  <c r="F6" i="21"/>
  <c r="I5" i="20"/>
  <c r="F6" i="20"/>
  <c r="I6" i="20" s="1"/>
  <c r="F4" i="19"/>
  <c r="P5" i="19" s="1"/>
  <c r="F5" i="19"/>
  <c r="AD27" i="7"/>
  <c r="AD9" i="7"/>
  <c r="X21" i="7"/>
  <c r="AD26" i="7"/>
  <c r="AD19" i="7"/>
  <c r="AD14" i="7"/>
  <c r="AD12" i="7"/>
  <c r="AD4" i="7"/>
  <c r="AD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19" i="7"/>
  <c r="AH120" i="7"/>
  <c r="AH121" i="7"/>
  <c r="AH122" i="7"/>
  <c r="AH123" i="7"/>
  <c r="AH124" i="7"/>
  <c r="AH125" i="7"/>
  <c r="AH126" i="7"/>
  <c r="AH127" i="7"/>
  <c r="AH128" i="7"/>
  <c r="AH129" i="7"/>
  <c r="AH130" i="7"/>
  <c r="AH131" i="7"/>
  <c r="AH132" i="7"/>
  <c r="AH133" i="7"/>
  <c r="AH134" i="7"/>
  <c r="AH135" i="7"/>
  <c r="AH136" i="7"/>
  <c r="AH137" i="7"/>
  <c r="AH138" i="7"/>
  <c r="AH139" i="7"/>
  <c r="AH140" i="7"/>
  <c r="AH141" i="7"/>
  <c r="AH142" i="7"/>
  <c r="AH143" i="7"/>
  <c r="AH144" i="7"/>
  <c r="AH145" i="7"/>
  <c r="AH146" i="7"/>
  <c r="AH147" i="7"/>
  <c r="AH148" i="7"/>
  <c r="AH149" i="7"/>
  <c r="AH150" i="7"/>
  <c r="AH151" i="7"/>
  <c r="AH152" i="7"/>
  <c r="AH153" i="7"/>
  <c r="AH154" i="7"/>
  <c r="AH155" i="7"/>
  <c r="AH156" i="7"/>
  <c r="AH157" i="7"/>
  <c r="AH158" i="7"/>
  <c r="AH159" i="7"/>
  <c r="AH160" i="7"/>
  <c r="AH161" i="7"/>
  <c r="AH162" i="7"/>
  <c r="AH163" i="7"/>
  <c r="AH164" i="7"/>
  <c r="AH165" i="7"/>
  <c r="AH166" i="7"/>
  <c r="AH167" i="7"/>
  <c r="AH168" i="7"/>
  <c r="AH169" i="7"/>
  <c r="AH170" i="7"/>
  <c r="AH171" i="7"/>
  <c r="AH172" i="7"/>
  <c r="AH173" i="7"/>
  <c r="AH174" i="7"/>
  <c r="AH175" i="7"/>
  <c r="AH176" i="7"/>
  <c r="AH177" i="7"/>
  <c r="AH178" i="7"/>
  <c r="AH179" i="7"/>
  <c r="AH180" i="7"/>
  <c r="AH181" i="7"/>
  <c r="AH182" i="7"/>
  <c r="AH183" i="7"/>
  <c r="AH184" i="7"/>
  <c r="AH185" i="7"/>
  <c r="AH186" i="7"/>
  <c r="AH187" i="7"/>
  <c r="AH188" i="7"/>
  <c r="AH189" i="7"/>
  <c r="AH190" i="7"/>
  <c r="AH191" i="7"/>
  <c r="AH192" i="7"/>
  <c r="AH193" i="7"/>
  <c r="AH194" i="7"/>
  <c r="AH195" i="7"/>
  <c r="AH196" i="7"/>
  <c r="AH197" i="7"/>
  <c r="AH198" i="7"/>
  <c r="AH199" i="7"/>
  <c r="AH200" i="7"/>
  <c r="AH201" i="7"/>
  <c r="AH202" i="7"/>
  <c r="AH203" i="7"/>
  <c r="AH204" i="7"/>
  <c r="AH205" i="7"/>
  <c r="AH206" i="7"/>
  <c r="AH207" i="7"/>
  <c r="AH208" i="7"/>
  <c r="AH209" i="7"/>
  <c r="AH210" i="7"/>
  <c r="AH211" i="7"/>
  <c r="AH212" i="7"/>
  <c r="AH213" i="7"/>
  <c r="AH214" i="7"/>
  <c r="AH215" i="7"/>
  <c r="AH216" i="7"/>
  <c r="AH217" i="7"/>
  <c r="AH218" i="7"/>
  <c r="AH219" i="7"/>
  <c r="AH220" i="7"/>
  <c r="AH221" i="7"/>
  <c r="AH222" i="7"/>
  <c r="AH223" i="7"/>
  <c r="AH224" i="7"/>
  <c r="AH225" i="7"/>
  <c r="AH226" i="7"/>
  <c r="AH227" i="7"/>
  <c r="AH228" i="7"/>
  <c r="AH229" i="7"/>
  <c r="AH230" i="7"/>
  <c r="AH231" i="7"/>
  <c r="AH232" i="7"/>
  <c r="AH233" i="7"/>
  <c r="AH234" i="7"/>
  <c r="AH235" i="7"/>
  <c r="AH236" i="7"/>
  <c r="AH237" i="7"/>
  <c r="AH238" i="7"/>
  <c r="AH239" i="7"/>
  <c r="AH240" i="7"/>
  <c r="AH241" i="7"/>
  <c r="AH242" i="7"/>
  <c r="AH243" i="7"/>
  <c r="AH244" i="7"/>
  <c r="AH245" i="7"/>
  <c r="AH246" i="7"/>
  <c r="AH247" i="7"/>
  <c r="AH248" i="7"/>
  <c r="AH249" i="7"/>
  <c r="AH250" i="7"/>
  <c r="AH251" i="7"/>
  <c r="AH252" i="7"/>
  <c r="AH253" i="7"/>
  <c r="AH254" i="7"/>
  <c r="AH255" i="7"/>
  <c r="AH256" i="7"/>
  <c r="AH257" i="7"/>
  <c r="AH258" i="7"/>
  <c r="AH259" i="7"/>
  <c r="AH260" i="7"/>
  <c r="AH261" i="7"/>
  <c r="AH262" i="7"/>
  <c r="AH263" i="7"/>
  <c r="AH264" i="7"/>
  <c r="AH265" i="7"/>
  <c r="AH266" i="7"/>
  <c r="AH267" i="7"/>
  <c r="AH268" i="7"/>
  <c r="AH269" i="7"/>
  <c r="AH270" i="7"/>
  <c r="AH271" i="7"/>
  <c r="AH272" i="7"/>
  <c r="AH273" i="7"/>
  <c r="AH274" i="7"/>
  <c r="AH275" i="7"/>
  <c r="AH276" i="7"/>
  <c r="AH277" i="7"/>
  <c r="AH278" i="7"/>
  <c r="AH279" i="7"/>
  <c r="AH280" i="7"/>
  <c r="AH281" i="7"/>
  <c r="AH282" i="7"/>
  <c r="AH283" i="7"/>
  <c r="AH284" i="7"/>
  <c r="AH285" i="7"/>
  <c r="AH286" i="7"/>
  <c r="AH287" i="7"/>
  <c r="AH288" i="7"/>
  <c r="AH289" i="7"/>
  <c r="AH290" i="7"/>
  <c r="AH291" i="7"/>
  <c r="AH292" i="7"/>
  <c r="AH293" i="7"/>
  <c r="AH294" i="7"/>
  <c r="AH295" i="7"/>
  <c r="AH296" i="7"/>
  <c r="AH297" i="7"/>
  <c r="AH298" i="7"/>
  <c r="AH299" i="7"/>
  <c r="AH300" i="7"/>
  <c r="AH301" i="7"/>
  <c r="AH302" i="7"/>
  <c r="AH303" i="7"/>
  <c r="AH304" i="7"/>
  <c r="AH305" i="7"/>
  <c r="AH306" i="7"/>
  <c r="AH307" i="7"/>
  <c r="AH308" i="7"/>
  <c r="AH309" i="7"/>
  <c r="AH310" i="7"/>
  <c r="AH311" i="7"/>
  <c r="AH312" i="7"/>
  <c r="AH313" i="7"/>
  <c r="AH314" i="7"/>
  <c r="AH315" i="7"/>
  <c r="AH316" i="7"/>
  <c r="AH317" i="7"/>
  <c r="AH318" i="7"/>
  <c r="AH319" i="7"/>
  <c r="AH320" i="7"/>
  <c r="AH321" i="7"/>
  <c r="AH322" i="7"/>
  <c r="AH323" i="7"/>
  <c r="AH324" i="7"/>
  <c r="AH325" i="7"/>
  <c r="AH326" i="7"/>
  <c r="AH327" i="7"/>
  <c r="AH328" i="7"/>
  <c r="AH329" i="7"/>
  <c r="AH330" i="7"/>
  <c r="AH331" i="7"/>
  <c r="AH332" i="7"/>
  <c r="AH333" i="7"/>
  <c r="AH334" i="7"/>
  <c r="AH335" i="7"/>
  <c r="AH336" i="7"/>
  <c r="AH337" i="7"/>
  <c r="AH338" i="7"/>
  <c r="AH339" i="7"/>
  <c r="AH340" i="7"/>
  <c r="AH341" i="7"/>
  <c r="AH342" i="7"/>
  <c r="AH343" i="7"/>
  <c r="AH344" i="7"/>
  <c r="AH345" i="7"/>
  <c r="AH346" i="7"/>
  <c r="AH347" i="7"/>
  <c r="AH348" i="7"/>
  <c r="AH349" i="7"/>
  <c r="AH350" i="7"/>
  <c r="AH351" i="7"/>
  <c r="AH352" i="7"/>
  <c r="AH353" i="7"/>
  <c r="AH354" i="7"/>
  <c r="AH355" i="7"/>
  <c r="AH356" i="7"/>
  <c r="AH357" i="7"/>
  <c r="AH358" i="7"/>
  <c r="AH359" i="7"/>
  <c r="AH360" i="7"/>
  <c r="AH361" i="7"/>
  <c r="AH362" i="7"/>
  <c r="AH363" i="7"/>
  <c r="AH364" i="7"/>
  <c r="AH365" i="7"/>
  <c r="AH366" i="7"/>
  <c r="AH367" i="7"/>
  <c r="AH368" i="7"/>
  <c r="AH369" i="7"/>
  <c r="AH370" i="7"/>
  <c r="AH371" i="7"/>
  <c r="AH372" i="7"/>
  <c r="AH373" i="7"/>
  <c r="AH374" i="7"/>
  <c r="AH375" i="7"/>
  <c r="AH376" i="7"/>
  <c r="AH377" i="7"/>
  <c r="AH378" i="7"/>
  <c r="AH379" i="7"/>
  <c r="AH380" i="7"/>
  <c r="AH381" i="7"/>
  <c r="AH382" i="7"/>
  <c r="AH383" i="7"/>
  <c r="AH384" i="7"/>
  <c r="AH385" i="7"/>
  <c r="AH386" i="7"/>
  <c r="AH387" i="7"/>
  <c r="AH388" i="7"/>
  <c r="AH389" i="7"/>
  <c r="AH390" i="7"/>
  <c r="AH391" i="7"/>
  <c r="AH392" i="7"/>
  <c r="AH393" i="7"/>
  <c r="AH394" i="7"/>
  <c r="AH395" i="7"/>
  <c r="AH396" i="7"/>
  <c r="AH397" i="7"/>
  <c r="AH398" i="7"/>
  <c r="AH399" i="7"/>
  <c r="AH400" i="7"/>
  <c r="AH401" i="7"/>
  <c r="AH402" i="7"/>
  <c r="AH403" i="7"/>
  <c r="AH404" i="7"/>
  <c r="AH405" i="7"/>
  <c r="AH406" i="7"/>
  <c r="AH407" i="7"/>
  <c r="AH408" i="7"/>
  <c r="AH409" i="7"/>
  <c r="AH410" i="7"/>
  <c r="AH411" i="7"/>
  <c r="AH412" i="7"/>
  <c r="AH413" i="7"/>
  <c r="AH414" i="7"/>
  <c r="AH415" i="7"/>
  <c r="AH416" i="7"/>
  <c r="AH417" i="7"/>
  <c r="AH418" i="7"/>
  <c r="AH419" i="7"/>
  <c r="AH420" i="7"/>
  <c r="AH421" i="7"/>
  <c r="AH422" i="7"/>
  <c r="AH423" i="7"/>
  <c r="AH424" i="7"/>
  <c r="AH425" i="7"/>
  <c r="AH426" i="7"/>
  <c r="AH427" i="7"/>
  <c r="AH428" i="7"/>
  <c r="AH429" i="7"/>
  <c r="AH430" i="7"/>
  <c r="AH431" i="7"/>
  <c r="AH432" i="7"/>
  <c r="AH433" i="7"/>
  <c r="AH434" i="7"/>
  <c r="AH435" i="7"/>
  <c r="AH436" i="7"/>
  <c r="AH437" i="7"/>
  <c r="AH438" i="7"/>
  <c r="AH439" i="7"/>
  <c r="AH440" i="7"/>
  <c r="AH441" i="7"/>
  <c r="AH442" i="7"/>
  <c r="AH443" i="7"/>
  <c r="AH444" i="7"/>
  <c r="AH445" i="7"/>
  <c r="AH446" i="7"/>
  <c r="AH447" i="7"/>
  <c r="AH448" i="7"/>
  <c r="AH449" i="7"/>
  <c r="AH450" i="7"/>
  <c r="AH451" i="7"/>
  <c r="AH452" i="7"/>
  <c r="AH453" i="7"/>
  <c r="AH454" i="7"/>
  <c r="AH455" i="7"/>
  <c r="AH456" i="7"/>
  <c r="AH457" i="7"/>
  <c r="AH458" i="7"/>
  <c r="AH459" i="7"/>
  <c r="AH460" i="7"/>
  <c r="AH461" i="7"/>
  <c r="AH462" i="7"/>
  <c r="AH463" i="7"/>
  <c r="AH464" i="7"/>
  <c r="AH465" i="7"/>
  <c r="AH466" i="7"/>
  <c r="AH467" i="7"/>
  <c r="AH468" i="7"/>
  <c r="AH469" i="7"/>
  <c r="AH470" i="7"/>
  <c r="AH471" i="7"/>
  <c r="AH472" i="7"/>
  <c r="AH473" i="7"/>
  <c r="AH474" i="7"/>
  <c r="AH475" i="7"/>
  <c r="AH476" i="7"/>
  <c r="AH477" i="7"/>
  <c r="AH478" i="7"/>
  <c r="AH479" i="7"/>
  <c r="AH480" i="7"/>
  <c r="AH481" i="7"/>
  <c r="AH482" i="7"/>
  <c r="AH483" i="7"/>
  <c r="AH484" i="7"/>
  <c r="AH485" i="7"/>
  <c r="AH486" i="7"/>
  <c r="AH487" i="7"/>
  <c r="AH488" i="7"/>
  <c r="AH489" i="7"/>
  <c r="AH490" i="7"/>
  <c r="AH491" i="7"/>
  <c r="AH492" i="7"/>
  <c r="AH493" i="7"/>
  <c r="AH494" i="7"/>
  <c r="AH495" i="7"/>
  <c r="AH496" i="7"/>
  <c r="AH497" i="7"/>
  <c r="AH498" i="7"/>
  <c r="AH499" i="7"/>
  <c r="AH500" i="7"/>
  <c r="AH501" i="7"/>
  <c r="AH502" i="7"/>
  <c r="AH503" i="7"/>
  <c r="AH504" i="7"/>
  <c r="AH505" i="7"/>
  <c r="AH506" i="7"/>
  <c r="AH507" i="7"/>
  <c r="AH508" i="7"/>
  <c r="AH509" i="7"/>
  <c r="AH510" i="7"/>
  <c r="AH511" i="7"/>
  <c r="AH512" i="7"/>
  <c r="AH513" i="7"/>
  <c r="AH514" i="7"/>
  <c r="AH515" i="7"/>
  <c r="AH516" i="7"/>
  <c r="AH517" i="7"/>
  <c r="AH518" i="7"/>
  <c r="AH519" i="7"/>
  <c r="AH520" i="7"/>
  <c r="AH521" i="7"/>
  <c r="AH522" i="7"/>
  <c r="AH523" i="7"/>
  <c r="AH524" i="7"/>
  <c r="AH525" i="7"/>
  <c r="AH526" i="7"/>
  <c r="AH527" i="7"/>
  <c r="AH528" i="7"/>
  <c r="AH529" i="7"/>
  <c r="AH530" i="7"/>
  <c r="AH531" i="7"/>
  <c r="AH532" i="7"/>
  <c r="AH533" i="7"/>
  <c r="AH534" i="7"/>
  <c r="AH535" i="7"/>
  <c r="AH536" i="7"/>
  <c r="AH537" i="7"/>
  <c r="AH538" i="7"/>
  <c r="AH539" i="7"/>
  <c r="AH540" i="7"/>
  <c r="AH541" i="7"/>
  <c r="AH542" i="7"/>
  <c r="AH543" i="7"/>
  <c r="AH544" i="7"/>
  <c r="AH545" i="7"/>
  <c r="AH546" i="7"/>
  <c r="AH547" i="7"/>
  <c r="AH548" i="7"/>
  <c r="AH549" i="7"/>
  <c r="AH550" i="7"/>
  <c r="AH551" i="7"/>
  <c r="AH552" i="7"/>
  <c r="AH553" i="7"/>
  <c r="AH554" i="7"/>
  <c r="AH555" i="7"/>
  <c r="AH556" i="7"/>
  <c r="AH557" i="7"/>
  <c r="AH558" i="7"/>
  <c r="AH559" i="7"/>
  <c r="AH560" i="7"/>
  <c r="AH561" i="7"/>
  <c r="AH562" i="7"/>
  <c r="AH563" i="7"/>
  <c r="AH564" i="7"/>
  <c r="AH565" i="7"/>
  <c r="AH566" i="7"/>
  <c r="AH567" i="7"/>
  <c r="AH568" i="7"/>
  <c r="AH569" i="7"/>
  <c r="AH570" i="7"/>
  <c r="AH571" i="7"/>
  <c r="AH572" i="7"/>
  <c r="AH573" i="7"/>
  <c r="AH574" i="7"/>
  <c r="AH575" i="7"/>
  <c r="AH576" i="7"/>
  <c r="AH577" i="7"/>
  <c r="AH578" i="7"/>
  <c r="AH579" i="7"/>
  <c r="AH580" i="7"/>
  <c r="AH581" i="7"/>
  <c r="AH582" i="7"/>
  <c r="AH583" i="7"/>
  <c r="AH584" i="7"/>
  <c r="AH585" i="7"/>
  <c r="AH586" i="7"/>
  <c r="AH587" i="7"/>
  <c r="AH588" i="7"/>
  <c r="AH589" i="7"/>
  <c r="AH590" i="7"/>
  <c r="AH591" i="7"/>
  <c r="AH592" i="7"/>
  <c r="AH593" i="7"/>
  <c r="AH594" i="7"/>
  <c r="AH595" i="7"/>
  <c r="AH596" i="7"/>
  <c r="AH597" i="7"/>
  <c r="AH598" i="7"/>
  <c r="AH599" i="7"/>
  <c r="AH600" i="7"/>
  <c r="AH601" i="7"/>
  <c r="AH602" i="7"/>
  <c r="AH603" i="7"/>
  <c r="AH604" i="7"/>
  <c r="AH605" i="7"/>
  <c r="AH606" i="7"/>
  <c r="AH607" i="7"/>
  <c r="AH608" i="7"/>
  <c r="AH609" i="7"/>
  <c r="AH610" i="7"/>
  <c r="AH611" i="7"/>
  <c r="AH612" i="7"/>
  <c r="AH613" i="7"/>
  <c r="AH614" i="7"/>
  <c r="AH615" i="7"/>
  <c r="AH616" i="7"/>
  <c r="AH617" i="7"/>
  <c r="AH618" i="7"/>
  <c r="AH619" i="7"/>
  <c r="AH620" i="7"/>
  <c r="AH621" i="7"/>
  <c r="AH622" i="7"/>
  <c r="AH623" i="7"/>
  <c r="AH624" i="7"/>
  <c r="AH625" i="7"/>
  <c r="AH626" i="7"/>
  <c r="AH627" i="7"/>
  <c r="AH628" i="7"/>
  <c r="AH629" i="7"/>
  <c r="AH630" i="7"/>
  <c r="AH631" i="7"/>
  <c r="AH632" i="7"/>
  <c r="AH633" i="7"/>
  <c r="AH634" i="7"/>
  <c r="AH635" i="7"/>
  <c r="AH636" i="7"/>
  <c r="AH637" i="7"/>
  <c r="AH638" i="7"/>
  <c r="AH639" i="7"/>
  <c r="AH640" i="7"/>
  <c r="AH641" i="7"/>
  <c r="AH642" i="7"/>
  <c r="AH643" i="7"/>
  <c r="AH644" i="7"/>
  <c r="AH645" i="7"/>
  <c r="AH646" i="7"/>
  <c r="AH647" i="7"/>
  <c r="AH648" i="7"/>
  <c r="AH649" i="7"/>
  <c r="AH650" i="7"/>
  <c r="AH651" i="7"/>
  <c r="AH652" i="7"/>
  <c r="AH653" i="7"/>
  <c r="AH654" i="7"/>
  <c r="AH655" i="7"/>
  <c r="AH656" i="7"/>
  <c r="AH657" i="7"/>
  <c r="AH658" i="7"/>
  <c r="AH659" i="7"/>
  <c r="AH660" i="7"/>
  <c r="AH661" i="7"/>
  <c r="AH662" i="7"/>
  <c r="AH663" i="7"/>
  <c r="AH664" i="7"/>
  <c r="AH665" i="7"/>
  <c r="AH666" i="7"/>
  <c r="AH667" i="7"/>
  <c r="AH668" i="7"/>
  <c r="AH669" i="7"/>
  <c r="AH670" i="7"/>
  <c r="AH671" i="7"/>
  <c r="AH672" i="7"/>
  <c r="AH673" i="7"/>
  <c r="AH674" i="7"/>
  <c r="AH675" i="7"/>
  <c r="AH676" i="7"/>
  <c r="AH677" i="7"/>
  <c r="AH678" i="7"/>
  <c r="AH679" i="7"/>
  <c r="AH680" i="7"/>
  <c r="AH681" i="7"/>
  <c r="AH682" i="7"/>
  <c r="AH683" i="7"/>
  <c r="AH684" i="7"/>
  <c r="AH685" i="7"/>
  <c r="AH686" i="7"/>
  <c r="AH687" i="7"/>
  <c r="AH688" i="7"/>
  <c r="AH689" i="7"/>
  <c r="AH690" i="7"/>
  <c r="AH691" i="7"/>
  <c r="AH692" i="7"/>
  <c r="AH693" i="7"/>
  <c r="AH694" i="7"/>
  <c r="AH695" i="7"/>
  <c r="AH696" i="7"/>
  <c r="AH697" i="7"/>
  <c r="AH698" i="7"/>
  <c r="AH699" i="7"/>
  <c r="AH700" i="7"/>
  <c r="AH701" i="7"/>
  <c r="AH702" i="7"/>
  <c r="AH703" i="7"/>
  <c r="AH704" i="7"/>
  <c r="AH705" i="7"/>
  <c r="AH706" i="7"/>
  <c r="AH707" i="7"/>
  <c r="AH708" i="7"/>
  <c r="AH709" i="7"/>
  <c r="AH710" i="7"/>
  <c r="AH711" i="7"/>
  <c r="AH712" i="7"/>
  <c r="AH713" i="7"/>
  <c r="AH714" i="7"/>
  <c r="AH715" i="7"/>
  <c r="AH716" i="7"/>
  <c r="AH717" i="7"/>
  <c r="AH718" i="7"/>
  <c r="AH719" i="7"/>
  <c r="AH720" i="7"/>
  <c r="AH721" i="7"/>
  <c r="AH722" i="7"/>
  <c r="AH723" i="7"/>
  <c r="AH724" i="7"/>
  <c r="AH725" i="7"/>
  <c r="AH726" i="7"/>
  <c r="AH727" i="7"/>
  <c r="AH728" i="7"/>
  <c r="AH729" i="7"/>
  <c r="AH730" i="7"/>
  <c r="AH731" i="7"/>
  <c r="AH732" i="7"/>
  <c r="AH733" i="7"/>
  <c r="AH734" i="7"/>
  <c r="AH735" i="7"/>
  <c r="AH736" i="7"/>
  <c r="AH737" i="7"/>
  <c r="AH738" i="7"/>
  <c r="AH739" i="7"/>
  <c r="AH740" i="7"/>
  <c r="AH741" i="7"/>
  <c r="AH742" i="7"/>
  <c r="AH743" i="7"/>
  <c r="AH744" i="7"/>
  <c r="AH745" i="7"/>
  <c r="AH746" i="7"/>
  <c r="AH747" i="7"/>
  <c r="AH748" i="7"/>
  <c r="AH749" i="7"/>
  <c r="AH750" i="7"/>
  <c r="AH751" i="7"/>
  <c r="AH752" i="7"/>
  <c r="AH753" i="7"/>
  <c r="AH754" i="7"/>
  <c r="AH755" i="7"/>
  <c r="AH756" i="7"/>
  <c r="AH757" i="7"/>
  <c r="AH758" i="7"/>
  <c r="AH759" i="7"/>
  <c r="AH760" i="7"/>
  <c r="AH761" i="7"/>
  <c r="AH762" i="7"/>
  <c r="AH763" i="7"/>
  <c r="AH764" i="7"/>
  <c r="AH765" i="7"/>
  <c r="AH766" i="7"/>
  <c r="AH767" i="7"/>
  <c r="AH768" i="7"/>
  <c r="AH769" i="7"/>
  <c r="AH770" i="7"/>
  <c r="AH771" i="7"/>
  <c r="AH772" i="7"/>
  <c r="AH773" i="7"/>
  <c r="AH774" i="7"/>
  <c r="AH775" i="7"/>
  <c r="AH776" i="7"/>
  <c r="AH777" i="7"/>
  <c r="AH778" i="7"/>
  <c r="AH779" i="7"/>
  <c r="AH780" i="7"/>
  <c r="AH781" i="7"/>
  <c r="AH782" i="7"/>
  <c r="AH783" i="7"/>
  <c r="AH784" i="7"/>
  <c r="AH785" i="7"/>
  <c r="AH786" i="7"/>
  <c r="AH787" i="7"/>
  <c r="AH788" i="7"/>
  <c r="AH789" i="7"/>
  <c r="AH790" i="7"/>
  <c r="AH791" i="7"/>
  <c r="AH792" i="7"/>
  <c r="AH793" i="7"/>
  <c r="AH794" i="7"/>
  <c r="AH795" i="7"/>
  <c r="AH796" i="7"/>
  <c r="AH797" i="7"/>
  <c r="AH798" i="7"/>
  <c r="AH799" i="7"/>
  <c r="AH800" i="7"/>
  <c r="AH801" i="7"/>
  <c r="AH802" i="7"/>
  <c r="AH803" i="7"/>
  <c r="AH804" i="7"/>
  <c r="AH805" i="7"/>
  <c r="AH806" i="7"/>
  <c r="AH807" i="7"/>
  <c r="AH808" i="7"/>
  <c r="AH809" i="7"/>
  <c r="AH810" i="7"/>
  <c r="AH811" i="7"/>
  <c r="AH812" i="7"/>
  <c r="AH813" i="7"/>
  <c r="AH814" i="7"/>
  <c r="AH815" i="7"/>
  <c r="AH816" i="7"/>
  <c r="AH817" i="7"/>
  <c r="AH818" i="7"/>
  <c r="AH819" i="7"/>
  <c r="AH820" i="7"/>
  <c r="AH821" i="7"/>
  <c r="AH822" i="7"/>
  <c r="AH823" i="7"/>
  <c r="AH824" i="7"/>
  <c r="AH825" i="7"/>
  <c r="AH826" i="7"/>
  <c r="AH827" i="7"/>
  <c r="AH828" i="7"/>
  <c r="AH829" i="7"/>
  <c r="AH830" i="7"/>
  <c r="AH831" i="7"/>
  <c r="AH832" i="7"/>
  <c r="AH833" i="7"/>
  <c r="AH834" i="7"/>
  <c r="AH835" i="7"/>
  <c r="AH836" i="7"/>
  <c r="AH837" i="7"/>
  <c r="AH838" i="7"/>
  <c r="AH839" i="7"/>
  <c r="AH840" i="7"/>
  <c r="AH841" i="7"/>
  <c r="AH842" i="7"/>
  <c r="AH843" i="7"/>
  <c r="AH844" i="7"/>
  <c r="AH845" i="7"/>
  <c r="AH846" i="7"/>
  <c r="AH847" i="7"/>
  <c r="AH848" i="7"/>
  <c r="AH849" i="7"/>
  <c r="AH850" i="7"/>
  <c r="AH851" i="7"/>
  <c r="AH852" i="7"/>
  <c r="AH853" i="7"/>
  <c r="AH854" i="7"/>
  <c r="AH855" i="7"/>
  <c r="AH856" i="7"/>
  <c r="AH857" i="7"/>
  <c r="AH858" i="7"/>
  <c r="AH859" i="7"/>
  <c r="AH860" i="7"/>
  <c r="AH861" i="7"/>
  <c r="AH862" i="7"/>
  <c r="AH863" i="7"/>
  <c r="AH864" i="7"/>
  <c r="AH865" i="7"/>
  <c r="AH866" i="7"/>
  <c r="AH867" i="7"/>
  <c r="AH868" i="7"/>
  <c r="AH869" i="7"/>
  <c r="AH870" i="7"/>
  <c r="AH871" i="7"/>
  <c r="AH872" i="7"/>
  <c r="AH873" i="7"/>
  <c r="AH874" i="7"/>
  <c r="AH875" i="7"/>
  <c r="AH876" i="7"/>
  <c r="AH877" i="7"/>
  <c r="AH878" i="7"/>
  <c r="AH879" i="7"/>
  <c r="AH880" i="7"/>
  <c r="AH881" i="7"/>
  <c r="AH882" i="7"/>
  <c r="AH883" i="7"/>
  <c r="AH884" i="7"/>
  <c r="AH885" i="7"/>
  <c r="AH886" i="7"/>
  <c r="AH887" i="7"/>
  <c r="AH888" i="7"/>
  <c r="AH889" i="7"/>
  <c r="AH890" i="7"/>
  <c r="AH891" i="7"/>
  <c r="AH892" i="7"/>
  <c r="AH893" i="7"/>
  <c r="AH894" i="7"/>
  <c r="AH895" i="7"/>
  <c r="AH896" i="7"/>
  <c r="AH897" i="7"/>
  <c r="AH898" i="7"/>
  <c r="AH899" i="7"/>
  <c r="AH900" i="7"/>
  <c r="AH901" i="7"/>
  <c r="AH902" i="7"/>
  <c r="AH903" i="7"/>
  <c r="AH904" i="7"/>
  <c r="AH905" i="7"/>
  <c r="AH906" i="7"/>
  <c r="AH907" i="7"/>
  <c r="AH908" i="7"/>
  <c r="AH909" i="7"/>
  <c r="AH910" i="7"/>
  <c r="AH911" i="7"/>
  <c r="AH912" i="7"/>
  <c r="AH913" i="7"/>
  <c r="AH914" i="7"/>
  <c r="AH915" i="7"/>
  <c r="AH916" i="7"/>
  <c r="AH917" i="7"/>
  <c r="AH918" i="7"/>
  <c r="AH919" i="7"/>
  <c r="AH920" i="7"/>
  <c r="AH921" i="7"/>
  <c r="AH922" i="7"/>
  <c r="AH923" i="7"/>
  <c r="AH924" i="7"/>
  <c r="AH925" i="7"/>
  <c r="AH926" i="7"/>
  <c r="AH927" i="7"/>
  <c r="AH928" i="7"/>
  <c r="AH929" i="7"/>
  <c r="AH930" i="7"/>
  <c r="AH931" i="7"/>
  <c r="AH932" i="7"/>
  <c r="AH933" i="7"/>
  <c r="AH934" i="7"/>
  <c r="AH935" i="7"/>
  <c r="AH936" i="7"/>
  <c r="AH937" i="7"/>
  <c r="AH938" i="7"/>
  <c r="AH939" i="7"/>
  <c r="AH940" i="7"/>
  <c r="AH941" i="7"/>
  <c r="AH942" i="7"/>
  <c r="AH943" i="7"/>
  <c r="AH944" i="7"/>
  <c r="AH945" i="7"/>
  <c r="AH946" i="7"/>
  <c r="AH947" i="7"/>
  <c r="AH948" i="7"/>
  <c r="AH949" i="7"/>
  <c r="AH950" i="7"/>
  <c r="AH951" i="7"/>
  <c r="AH952" i="7"/>
  <c r="AH953" i="7"/>
  <c r="AH954" i="7"/>
  <c r="AH955" i="7"/>
  <c r="AH956" i="7"/>
  <c r="AH957" i="7"/>
  <c r="AH958" i="7"/>
  <c r="AH959" i="7"/>
  <c r="AH960" i="7"/>
  <c r="AH961" i="7"/>
  <c r="AH962" i="7"/>
  <c r="AH963" i="7"/>
  <c r="AH964" i="7"/>
  <c r="AH965" i="7"/>
  <c r="AH966" i="7"/>
  <c r="AH967" i="7"/>
  <c r="AH968" i="7"/>
  <c r="AH969" i="7"/>
  <c r="AH970" i="7"/>
  <c r="AH971" i="7"/>
  <c r="AH972" i="7"/>
  <c r="AH973" i="7"/>
  <c r="AH974" i="7"/>
  <c r="AH975" i="7"/>
  <c r="AH976" i="7"/>
  <c r="AH977" i="7"/>
  <c r="AH978" i="7"/>
  <c r="AH979" i="7"/>
  <c r="AH980" i="7"/>
  <c r="AH981" i="7"/>
  <c r="AH982" i="7"/>
  <c r="AH983" i="7"/>
  <c r="AH984" i="7"/>
  <c r="AH985" i="7"/>
  <c r="AH986" i="7"/>
  <c r="AH987" i="7"/>
  <c r="AH988" i="7"/>
  <c r="AH989" i="7"/>
  <c r="AH990" i="7"/>
  <c r="AH991" i="7"/>
  <c r="AH992" i="7"/>
  <c r="AH993" i="7"/>
  <c r="AH994" i="7"/>
  <c r="AH995" i="7"/>
  <c r="AH996" i="7"/>
  <c r="AH997" i="7"/>
  <c r="AH998" i="7"/>
  <c r="AH999" i="7"/>
  <c r="AH1000" i="7"/>
  <c r="AH1001" i="7"/>
  <c r="AH1002" i="7"/>
  <c r="AH1003" i="7"/>
  <c r="AH1004" i="7"/>
  <c r="AH1005" i="7"/>
  <c r="AH1006" i="7"/>
  <c r="AH1007" i="7"/>
  <c r="AH1008" i="7"/>
  <c r="AH1009" i="7"/>
  <c r="AH1010" i="7"/>
  <c r="AH1011" i="7"/>
  <c r="AH1012" i="7"/>
  <c r="AH1013" i="7"/>
  <c r="AH1014" i="7"/>
  <c r="AH1015" i="7"/>
  <c r="AH1016" i="7"/>
  <c r="AH1017" i="7"/>
  <c r="AH1018" i="7"/>
  <c r="AH1019" i="7"/>
  <c r="AH1020" i="7"/>
  <c r="AH1021" i="7"/>
  <c r="AH1022" i="7"/>
  <c r="AH1023" i="7"/>
  <c r="AH1024" i="7"/>
  <c r="AH1025" i="7"/>
  <c r="AH1026" i="7"/>
  <c r="AH1027" i="7"/>
  <c r="AH1028" i="7"/>
  <c r="AH1029" i="7"/>
  <c r="AH1030" i="7"/>
  <c r="AH1031" i="7"/>
  <c r="AH1032" i="7"/>
  <c r="AH1033" i="7"/>
  <c r="AH1034" i="7"/>
  <c r="AH1035" i="7"/>
  <c r="AH1036" i="7"/>
  <c r="AH1037" i="7"/>
  <c r="AH1038" i="7"/>
  <c r="AH1039" i="7"/>
  <c r="AH1040" i="7"/>
  <c r="AH1041" i="7"/>
  <c r="AH1042" i="7"/>
  <c r="AH1043" i="7"/>
  <c r="AH1044" i="7"/>
  <c r="AH1045" i="7"/>
  <c r="AH1046" i="7"/>
  <c r="AH1047" i="7"/>
  <c r="AH1048" i="7"/>
  <c r="AH1049" i="7"/>
  <c r="AH1050" i="7"/>
  <c r="AH1051" i="7"/>
  <c r="AH1052" i="7"/>
  <c r="AH1053" i="7"/>
  <c r="AH1054" i="7"/>
  <c r="AH1055" i="7"/>
  <c r="AH1056" i="7"/>
  <c r="AH1057" i="7"/>
  <c r="AH1058" i="7"/>
  <c r="AH1059" i="7"/>
  <c r="AH1060" i="7"/>
  <c r="AH1061" i="7"/>
  <c r="AH1062" i="7"/>
  <c r="AH1063" i="7"/>
  <c r="AH1064" i="7"/>
  <c r="AH1065" i="7"/>
  <c r="AH1066" i="7"/>
  <c r="AH1067" i="7"/>
  <c r="AH1068" i="7"/>
  <c r="AH1069" i="7"/>
  <c r="AH1070" i="7"/>
  <c r="AH1071" i="7"/>
  <c r="AH1072" i="7"/>
  <c r="AH1073" i="7"/>
  <c r="AH1074" i="7"/>
  <c r="AH1075" i="7"/>
  <c r="AH1076" i="7"/>
  <c r="AH1077" i="7"/>
  <c r="AH1078" i="7"/>
  <c r="AH1079" i="7"/>
  <c r="AH1080" i="7"/>
  <c r="AH1081" i="7"/>
  <c r="AH1082" i="7"/>
  <c r="AH1083" i="7"/>
  <c r="AH1084" i="7"/>
  <c r="AH1085" i="7"/>
  <c r="AH1086" i="7"/>
  <c r="AH1087" i="7"/>
  <c r="AH1088" i="7"/>
  <c r="AH1089" i="7"/>
  <c r="AH1090" i="7"/>
  <c r="AH1091" i="7"/>
  <c r="AH1092" i="7"/>
  <c r="AH1093" i="7"/>
  <c r="AH1094" i="7"/>
  <c r="AH1095" i="7"/>
  <c r="AH1096" i="7"/>
  <c r="AH1097" i="7"/>
  <c r="AH1098" i="7"/>
  <c r="AH1099" i="7"/>
  <c r="AH1100" i="7"/>
  <c r="AH1101" i="7"/>
  <c r="AH1102" i="7"/>
  <c r="AH1103" i="7"/>
  <c r="AH1104" i="7"/>
  <c r="AH1105" i="7"/>
  <c r="AH1106" i="7"/>
  <c r="AH1107" i="7"/>
  <c r="AH1108" i="7"/>
  <c r="AH1109" i="7"/>
  <c r="AH1110" i="7"/>
  <c r="AH1111" i="7"/>
  <c r="AH1112" i="7"/>
  <c r="AH1113" i="7"/>
  <c r="AH1114" i="7"/>
  <c r="AH1115" i="7"/>
  <c r="AH1116" i="7"/>
  <c r="AH1117" i="7"/>
  <c r="AH1118" i="7"/>
  <c r="AH1119" i="7"/>
  <c r="AH1120" i="7"/>
  <c r="AH1121" i="7"/>
  <c r="AH1122" i="7"/>
  <c r="AH1123" i="7"/>
  <c r="AH1124" i="7"/>
  <c r="AH1125" i="7"/>
  <c r="AH1126" i="7"/>
  <c r="AH1127" i="7"/>
  <c r="AH1128" i="7"/>
  <c r="AH1129" i="7"/>
  <c r="AH1130" i="7"/>
  <c r="AH1131" i="7"/>
  <c r="AH1132" i="7"/>
  <c r="AH1133" i="7"/>
  <c r="AH1134" i="7"/>
  <c r="AH1135" i="7"/>
  <c r="AH1136" i="7"/>
  <c r="AH1137" i="7"/>
  <c r="AH1138" i="7"/>
  <c r="AH1139" i="7"/>
  <c r="AH1140" i="7"/>
  <c r="AH1141" i="7"/>
  <c r="AH1142" i="7"/>
  <c r="AH1143" i="7"/>
  <c r="AH1144" i="7"/>
  <c r="AH1145" i="7"/>
  <c r="AH1146" i="7"/>
  <c r="AH1147" i="7"/>
  <c r="AH1148" i="7"/>
  <c r="AH1149" i="7"/>
  <c r="AH1150" i="7"/>
  <c r="AH1151" i="7"/>
  <c r="AH1152" i="7"/>
  <c r="AH1153" i="7"/>
  <c r="AH1154" i="7"/>
  <c r="AH1155" i="7"/>
  <c r="AH1156" i="7"/>
  <c r="AH1157" i="7"/>
  <c r="AH1158" i="7"/>
  <c r="AH1159" i="7"/>
  <c r="AH1160" i="7"/>
  <c r="AH1161" i="7"/>
  <c r="AH1162" i="7"/>
  <c r="AH1163" i="7"/>
  <c r="AH1164" i="7"/>
  <c r="AH1165" i="7"/>
  <c r="AH1166" i="7"/>
  <c r="AH1167" i="7"/>
  <c r="AH1168" i="7"/>
  <c r="AH1169" i="7"/>
  <c r="AH1170" i="7"/>
  <c r="AH1171" i="7"/>
  <c r="AH1172" i="7"/>
  <c r="AH1173" i="7"/>
  <c r="AH1174" i="7"/>
  <c r="AH1175" i="7"/>
  <c r="AH1176" i="7"/>
  <c r="AH1177" i="7"/>
  <c r="AH1178" i="7"/>
  <c r="AH1179" i="7"/>
  <c r="AH1180" i="7"/>
  <c r="AH1181" i="7"/>
  <c r="AH1182" i="7"/>
  <c r="AH1183" i="7"/>
  <c r="AH1184" i="7"/>
  <c r="AH1185" i="7"/>
  <c r="AH1186" i="7"/>
  <c r="AH1187" i="7"/>
  <c r="AH1188" i="7"/>
  <c r="AH1189" i="7"/>
  <c r="AH1190" i="7"/>
  <c r="AH1191" i="7"/>
  <c r="AH1192" i="7"/>
  <c r="AH1193" i="7"/>
  <c r="AH1194" i="7"/>
  <c r="AH1195" i="7"/>
  <c r="AH1196" i="7"/>
  <c r="AH1197" i="7"/>
  <c r="AH1198" i="7"/>
  <c r="AH1199" i="7"/>
  <c r="AH1200" i="7"/>
  <c r="AH1201" i="7"/>
  <c r="AH1202" i="7"/>
  <c r="AH1203" i="7"/>
  <c r="AH1204" i="7"/>
  <c r="AH1205" i="7"/>
  <c r="AH1206" i="7"/>
  <c r="AH1207" i="7"/>
  <c r="AH1208" i="7"/>
  <c r="AH1209" i="7"/>
  <c r="AH1210" i="7"/>
  <c r="AH1211" i="7"/>
  <c r="AH1212" i="7"/>
  <c r="AH1213" i="7"/>
  <c r="AH1214" i="7"/>
  <c r="AH1215" i="7"/>
  <c r="AH1216" i="7"/>
  <c r="AH1217" i="7"/>
  <c r="AH1218" i="7"/>
  <c r="AH1219" i="7"/>
  <c r="AH1220" i="7"/>
  <c r="AH1221" i="7"/>
  <c r="AH1222" i="7"/>
  <c r="AH1223" i="7"/>
  <c r="AH1224" i="7"/>
  <c r="AH1225" i="7"/>
  <c r="AH1226" i="7"/>
  <c r="AH1227" i="7"/>
  <c r="AH1228" i="7"/>
  <c r="AH1229" i="7"/>
  <c r="AH1230" i="7"/>
  <c r="AH1231" i="7"/>
  <c r="AH1232" i="7"/>
  <c r="AH1233" i="7"/>
  <c r="AH1234" i="7"/>
  <c r="AH1235" i="7"/>
  <c r="AH1236" i="7"/>
  <c r="AH1237" i="7"/>
  <c r="AH1238" i="7"/>
  <c r="AH1239" i="7"/>
  <c r="AH1240" i="7"/>
  <c r="AH1241" i="7"/>
  <c r="AH1242" i="7"/>
  <c r="AH1243" i="7"/>
  <c r="AH1244" i="7"/>
  <c r="AH1245" i="7"/>
  <c r="AH1246" i="7"/>
  <c r="AH1247" i="7"/>
  <c r="AH1248" i="7"/>
  <c r="AH1249" i="7"/>
  <c r="AH1250" i="7"/>
  <c r="AH1251" i="7"/>
  <c r="AH1252" i="7"/>
  <c r="AH1253" i="7"/>
  <c r="AH1254" i="7"/>
  <c r="AH1255" i="7"/>
  <c r="AH1256" i="7"/>
  <c r="AH1257" i="7"/>
  <c r="AH1258" i="7"/>
  <c r="AH1259" i="7"/>
  <c r="AH1260" i="7"/>
  <c r="AH1261" i="7"/>
  <c r="AH1262" i="7"/>
  <c r="AH1263" i="7"/>
  <c r="AH1264" i="7"/>
  <c r="AH1265" i="7"/>
  <c r="AH1266" i="7"/>
  <c r="AH1267" i="7"/>
  <c r="AH1268" i="7"/>
  <c r="AH1269" i="7"/>
  <c r="AH1270" i="7"/>
  <c r="AH1271" i="7"/>
  <c r="AH1272" i="7"/>
  <c r="AH1273" i="7"/>
  <c r="AH1274" i="7"/>
  <c r="AH1275" i="7"/>
  <c r="AH1276" i="7"/>
  <c r="AH1277" i="7"/>
  <c r="AH1278" i="7"/>
  <c r="AH1279" i="7"/>
  <c r="AH1280" i="7"/>
  <c r="AH1281" i="7"/>
  <c r="AH1282" i="7"/>
  <c r="AH1283" i="7"/>
  <c r="AH1284" i="7"/>
  <c r="AH1285" i="7"/>
  <c r="AH1286" i="7"/>
  <c r="AH1287" i="7"/>
  <c r="AH1288" i="7"/>
  <c r="AH1289" i="7"/>
  <c r="AH1290" i="7"/>
  <c r="AH1291" i="7"/>
  <c r="AH1292" i="7"/>
  <c r="AH1293" i="7"/>
  <c r="AH1294" i="7"/>
  <c r="AH1295" i="7"/>
  <c r="AH1296" i="7"/>
  <c r="AH1297" i="7"/>
  <c r="AH1298" i="7"/>
  <c r="AH1299" i="7"/>
  <c r="AH1300" i="7"/>
  <c r="AH1301" i="7"/>
  <c r="AH1302" i="7"/>
  <c r="AH1303" i="7"/>
  <c r="AH1304" i="7"/>
  <c r="AH1305" i="7"/>
  <c r="AH1306" i="7"/>
  <c r="AH1307" i="7"/>
  <c r="AH1308" i="7"/>
  <c r="AH1309" i="7"/>
  <c r="AH1310" i="7"/>
  <c r="AH1311" i="7"/>
  <c r="AH1312" i="7"/>
  <c r="AH1313" i="7"/>
  <c r="AH1314" i="7"/>
  <c r="AH1315" i="7"/>
  <c r="AH1316" i="7"/>
  <c r="AH1317" i="7"/>
  <c r="AH1318" i="7"/>
  <c r="AH1319" i="7"/>
  <c r="AH1320" i="7"/>
  <c r="AH1321" i="7"/>
  <c r="AH1322" i="7"/>
  <c r="AH1323" i="7"/>
  <c r="AH1324" i="7"/>
  <c r="AH1325" i="7"/>
  <c r="AH1326" i="7"/>
  <c r="AH1327" i="7"/>
  <c r="AH1328" i="7"/>
  <c r="AH1329" i="7"/>
  <c r="AH1330" i="7"/>
  <c r="AH1331" i="7"/>
  <c r="AH1332" i="7"/>
  <c r="AH1333" i="7"/>
  <c r="AH1334" i="7"/>
  <c r="AH1335" i="7"/>
  <c r="AH1336" i="7"/>
  <c r="AH1337" i="7"/>
  <c r="AH1338" i="7"/>
  <c r="AH1339" i="7"/>
  <c r="AH1340" i="7"/>
  <c r="AH1341" i="7"/>
  <c r="AH1342" i="7"/>
  <c r="AH1343" i="7"/>
  <c r="AH1344" i="7"/>
  <c r="AH1345" i="7"/>
  <c r="AH1346" i="7"/>
  <c r="AH1347" i="7"/>
  <c r="AH1348" i="7"/>
  <c r="AH1349" i="7"/>
  <c r="AH1350" i="7"/>
  <c r="AH1351" i="7"/>
  <c r="AH1352" i="7"/>
  <c r="AH1353" i="7"/>
  <c r="AH1354" i="7"/>
  <c r="AH1355" i="7"/>
  <c r="AH1356" i="7"/>
  <c r="AH1357" i="7"/>
  <c r="AH1358" i="7"/>
  <c r="AH1359" i="7"/>
  <c r="AH1360" i="7"/>
  <c r="AH1361" i="7"/>
  <c r="AH1362" i="7"/>
  <c r="AH1363" i="7"/>
  <c r="AH1364" i="7"/>
  <c r="AH1365" i="7"/>
  <c r="AH1366" i="7"/>
  <c r="AH1367" i="7"/>
  <c r="AH1368" i="7"/>
  <c r="AH1369" i="7"/>
  <c r="AH1370" i="7"/>
  <c r="AH1371" i="7"/>
  <c r="AH1372" i="7"/>
  <c r="AH1373" i="7"/>
  <c r="AH1374" i="7"/>
  <c r="AH1375" i="7"/>
  <c r="AH1376" i="7"/>
  <c r="AH1377" i="7"/>
  <c r="AH1378" i="7"/>
  <c r="AH1379" i="7"/>
  <c r="AH1380" i="7"/>
  <c r="AH1381" i="7"/>
  <c r="AH1382" i="7"/>
  <c r="AH1383" i="7"/>
  <c r="AH1384" i="7"/>
  <c r="AH1385" i="7"/>
  <c r="AH1386" i="7"/>
  <c r="AH1387" i="7"/>
  <c r="AH1388" i="7"/>
  <c r="AH1389" i="7"/>
  <c r="AH1390" i="7"/>
  <c r="AH1391" i="7"/>
  <c r="AH1392" i="7"/>
  <c r="AH1393" i="7"/>
  <c r="AH1394" i="7"/>
  <c r="AH1395" i="7"/>
  <c r="AH1396" i="7"/>
  <c r="AH1397" i="7"/>
  <c r="AH1398" i="7"/>
  <c r="AH1399" i="7"/>
  <c r="AH1400" i="7"/>
  <c r="AH1401" i="7"/>
  <c r="AH1402" i="7"/>
  <c r="AH1403" i="7"/>
  <c r="AH1404" i="7"/>
  <c r="AH1405" i="7"/>
  <c r="AH1406" i="7"/>
  <c r="AH1407" i="7"/>
  <c r="AH1408" i="7"/>
  <c r="AH1409" i="7"/>
  <c r="AH1410" i="7"/>
  <c r="AH1411" i="7"/>
  <c r="AH1412" i="7"/>
  <c r="AH1413" i="7"/>
  <c r="AH1414" i="7"/>
  <c r="AH1415" i="7"/>
  <c r="AH1416" i="7"/>
  <c r="AH1417" i="7"/>
  <c r="AH1418" i="7"/>
  <c r="AH1419" i="7"/>
  <c r="AH1420" i="7"/>
  <c r="AH1421" i="7"/>
  <c r="AH1422" i="7"/>
  <c r="AH1423" i="7"/>
  <c r="AH1424" i="7"/>
  <c r="AH1425" i="7"/>
  <c r="AH1426" i="7"/>
  <c r="AH1427" i="7"/>
  <c r="AH1428" i="7"/>
  <c r="AH1429" i="7"/>
  <c r="AH1430" i="7"/>
  <c r="AH1431" i="7"/>
  <c r="AH1432" i="7"/>
  <c r="AH1433" i="7"/>
  <c r="AH1434" i="7"/>
  <c r="AH1435" i="7"/>
  <c r="AH1436" i="7"/>
  <c r="AH1437" i="7"/>
  <c r="AH1438" i="7"/>
  <c r="AH1439" i="7"/>
  <c r="AH1440" i="7"/>
  <c r="AH1441" i="7"/>
  <c r="AH1442" i="7"/>
  <c r="AH1443" i="7"/>
  <c r="AH1444" i="7"/>
  <c r="AH1445" i="7"/>
  <c r="AH1446" i="7"/>
  <c r="AH1447" i="7"/>
  <c r="AH1448" i="7"/>
  <c r="AH1449" i="7"/>
  <c r="AH1450" i="7"/>
  <c r="AH1451" i="7"/>
  <c r="AH1452" i="7"/>
  <c r="AH1453" i="7"/>
  <c r="AH1454" i="7"/>
  <c r="AH1455" i="7"/>
  <c r="AH1456" i="7"/>
  <c r="AH1457" i="7"/>
  <c r="AH1458" i="7"/>
  <c r="AH1459" i="7"/>
  <c r="AH1460" i="7"/>
  <c r="AH1461" i="7"/>
  <c r="AH1462" i="7"/>
  <c r="AH1463" i="7"/>
  <c r="AH1464" i="7"/>
  <c r="AH1465" i="7"/>
  <c r="AH1466" i="7"/>
  <c r="AH1467" i="7"/>
  <c r="AH1468" i="7"/>
  <c r="AH1469" i="7"/>
  <c r="AH1470" i="7"/>
  <c r="AH1471" i="7"/>
  <c r="AH1472" i="7"/>
  <c r="AH1473" i="7"/>
  <c r="AH1474" i="7"/>
  <c r="AH1475" i="7"/>
  <c r="AH1476" i="7"/>
  <c r="AH1477" i="7"/>
  <c r="AH1478" i="7"/>
  <c r="AH1479" i="7"/>
  <c r="AH1480" i="7"/>
  <c r="AH1481" i="7"/>
  <c r="AH1482" i="7"/>
  <c r="AH1483" i="7"/>
  <c r="AH1484" i="7"/>
  <c r="AH1485" i="7"/>
  <c r="AH1486" i="7"/>
  <c r="AH1487" i="7"/>
  <c r="AH1488" i="7"/>
  <c r="AH1489" i="7"/>
  <c r="AH1490" i="7"/>
  <c r="AH1491" i="7"/>
  <c r="AH1492" i="7"/>
  <c r="AH1493" i="7"/>
  <c r="AH1494" i="7"/>
  <c r="AH1495" i="7"/>
  <c r="AH1496" i="7"/>
  <c r="AH1497" i="7"/>
  <c r="AH1498" i="7"/>
  <c r="AH1499" i="7"/>
  <c r="AH1500" i="7"/>
  <c r="AH1501" i="7"/>
  <c r="AH1502" i="7"/>
  <c r="AH1503" i="7"/>
  <c r="AH1504" i="7"/>
  <c r="AH1505" i="7"/>
  <c r="AH1506" i="7"/>
  <c r="AH1507" i="7"/>
  <c r="AH1508" i="7"/>
  <c r="AH1509" i="7"/>
  <c r="AH1510" i="7"/>
  <c r="AH1511" i="7"/>
  <c r="AH1512" i="7"/>
  <c r="AH1513" i="7"/>
  <c r="AH1514" i="7"/>
  <c r="AH1515" i="7"/>
  <c r="AH1516" i="7"/>
  <c r="AH1517" i="7"/>
  <c r="AH1518" i="7"/>
  <c r="AH1519" i="7"/>
  <c r="AH1520" i="7"/>
  <c r="AH1521" i="7"/>
  <c r="AH1522" i="7"/>
  <c r="AH1523" i="7"/>
  <c r="AH1524" i="7"/>
  <c r="AH1525" i="7"/>
  <c r="AH1526" i="7"/>
  <c r="AH1527" i="7"/>
  <c r="AH1528" i="7"/>
  <c r="AH1529" i="7"/>
  <c r="AH1530" i="7"/>
  <c r="AH1531" i="7"/>
  <c r="AH1532" i="7"/>
  <c r="AH1533" i="7"/>
  <c r="AH1534" i="7"/>
  <c r="AH1535" i="7"/>
  <c r="AH1536" i="7"/>
  <c r="AH1537" i="7"/>
  <c r="AH1538" i="7"/>
  <c r="AH1539" i="7"/>
  <c r="AH1540" i="7"/>
  <c r="AH1541" i="7"/>
  <c r="AH1542" i="7"/>
  <c r="AH1543" i="7"/>
  <c r="AH1544" i="7"/>
  <c r="AH1545" i="7"/>
  <c r="AH1546" i="7"/>
  <c r="AH1547" i="7"/>
  <c r="AH1548" i="7"/>
  <c r="AH1549" i="7"/>
  <c r="AH1550" i="7"/>
  <c r="AH1551" i="7"/>
  <c r="AH1552" i="7"/>
  <c r="AH1553" i="7"/>
  <c r="AH1554" i="7"/>
  <c r="AH1555" i="7"/>
  <c r="AH1556" i="7"/>
  <c r="AH1557" i="7"/>
  <c r="AH1558" i="7"/>
  <c r="AH1559" i="7"/>
  <c r="AH1560" i="7"/>
  <c r="AH1561" i="7"/>
  <c r="AH1562" i="7"/>
  <c r="AH1563" i="7"/>
  <c r="AH1564" i="7"/>
  <c r="AH1565" i="7"/>
  <c r="AH1566" i="7"/>
  <c r="AH1567" i="7"/>
  <c r="AH1568" i="7"/>
  <c r="AH1569" i="7"/>
  <c r="AH1570" i="7"/>
  <c r="AH1571" i="7"/>
  <c r="AH1572" i="7"/>
  <c r="AH1573" i="7"/>
  <c r="AH1574" i="7"/>
  <c r="AH1575" i="7"/>
  <c r="AH1576" i="7"/>
  <c r="AH1577" i="7"/>
  <c r="AH1578" i="7"/>
  <c r="AH1579" i="7"/>
  <c r="AH1580" i="7"/>
  <c r="AH1581" i="7"/>
  <c r="AH1582" i="7"/>
  <c r="AH1583" i="7"/>
  <c r="AH1584" i="7"/>
  <c r="AH1585" i="7"/>
  <c r="AH1586" i="7"/>
  <c r="AH1587" i="7"/>
  <c r="AH1588" i="7"/>
  <c r="AH1589" i="7"/>
  <c r="AH1590" i="7"/>
  <c r="AH1591" i="7"/>
  <c r="AH1592" i="7"/>
  <c r="AH1593" i="7"/>
  <c r="AH1594" i="7"/>
  <c r="AH1595" i="7"/>
  <c r="AH1596" i="7"/>
  <c r="AH1597" i="7"/>
  <c r="AH1598" i="7"/>
  <c r="AH1599" i="7"/>
  <c r="AH1600" i="7"/>
  <c r="AH1601" i="7"/>
  <c r="AH1602" i="7"/>
  <c r="AH1603" i="7"/>
  <c r="AH1604" i="7"/>
  <c r="AH1605" i="7"/>
  <c r="AH1606" i="7"/>
  <c r="AH1607" i="7"/>
  <c r="AH1608" i="7"/>
  <c r="AH1609" i="7"/>
  <c r="AH1610" i="7"/>
  <c r="AH1611" i="7"/>
  <c r="AH1612" i="7"/>
  <c r="AH1613" i="7"/>
  <c r="AH1614" i="7"/>
  <c r="AH1615" i="7"/>
  <c r="AH1616" i="7"/>
  <c r="AH1617" i="7"/>
  <c r="AH1618" i="7"/>
  <c r="AH1619" i="7"/>
  <c r="AH1620" i="7"/>
  <c r="AH1621" i="7"/>
  <c r="AH1622" i="7"/>
  <c r="AH1623" i="7"/>
  <c r="AH1624" i="7"/>
  <c r="AH1625" i="7"/>
  <c r="AH1626" i="7"/>
  <c r="AH1627" i="7"/>
  <c r="AH1628" i="7"/>
  <c r="AH1629" i="7"/>
  <c r="AH1630" i="7"/>
  <c r="AH1631" i="7"/>
  <c r="AH1632" i="7"/>
  <c r="AH1633" i="7"/>
  <c r="AH1634" i="7"/>
  <c r="AH1635" i="7"/>
  <c r="AH1636" i="7"/>
  <c r="AH1637" i="7"/>
  <c r="AH1638" i="7"/>
  <c r="AH1639" i="7"/>
  <c r="AH1640" i="7"/>
  <c r="AH1641" i="7"/>
  <c r="AH1642" i="7"/>
  <c r="AH1643" i="7"/>
  <c r="AH1644" i="7"/>
  <c r="AH1645" i="7"/>
  <c r="AH1646" i="7"/>
  <c r="AH1647" i="7"/>
  <c r="AH1648" i="7"/>
  <c r="AH1649" i="7"/>
  <c r="AH1650" i="7"/>
  <c r="AH1651" i="7"/>
  <c r="AH1652" i="7"/>
  <c r="AH1653" i="7"/>
  <c r="AH1654" i="7"/>
  <c r="AH1655" i="7"/>
  <c r="AH1656" i="7"/>
  <c r="AH1657" i="7"/>
  <c r="AH1658" i="7"/>
  <c r="AH1659" i="7"/>
  <c r="AH1660" i="7"/>
  <c r="AH1661" i="7"/>
  <c r="AH1662" i="7"/>
  <c r="AH1663" i="7"/>
  <c r="AH1664" i="7"/>
  <c r="AH1665" i="7"/>
  <c r="AH1666" i="7"/>
  <c r="AH1667" i="7"/>
  <c r="AH1668" i="7"/>
  <c r="AH1669" i="7"/>
  <c r="AH1670" i="7"/>
  <c r="AH1671" i="7"/>
  <c r="AH1672" i="7"/>
  <c r="AH1673" i="7"/>
  <c r="AH1674" i="7"/>
  <c r="AH1675" i="7"/>
  <c r="AH1676" i="7"/>
  <c r="AH1677" i="7"/>
  <c r="AH1678" i="7"/>
  <c r="AH1679" i="7"/>
  <c r="AH1680" i="7"/>
  <c r="AH1681" i="7"/>
  <c r="AH1682" i="7"/>
  <c r="AH1683" i="7"/>
  <c r="AH1684" i="7"/>
  <c r="AH1685" i="7"/>
  <c r="AH1686" i="7"/>
  <c r="AH1687" i="7"/>
  <c r="AH1688" i="7"/>
  <c r="AH1689" i="7"/>
  <c r="AH1690" i="7"/>
  <c r="AH1691" i="7"/>
  <c r="AH1692" i="7"/>
  <c r="AH1693" i="7"/>
  <c r="AH1694" i="7"/>
  <c r="AH1695" i="7"/>
  <c r="AH1696" i="7"/>
  <c r="AH1697" i="7"/>
  <c r="AH1698" i="7"/>
  <c r="AH1699" i="7"/>
  <c r="AH1700" i="7"/>
  <c r="AH1701" i="7"/>
  <c r="AH1702" i="7"/>
  <c r="AH1703" i="7"/>
  <c r="AH1704" i="7"/>
  <c r="AH1705" i="7"/>
  <c r="AH1706" i="7"/>
  <c r="AH1707" i="7"/>
  <c r="AH1708" i="7"/>
  <c r="AH1709" i="7"/>
  <c r="AH1710" i="7"/>
  <c r="AH1711" i="7"/>
  <c r="AH1712" i="7"/>
  <c r="AH1713" i="7"/>
  <c r="AH1714" i="7"/>
  <c r="AH1715" i="7"/>
  <c r="AH1716" i="7"/>
  <c r="AH1717" i="7"/>
  <c r="AH1718" i="7"/>
  <c r="AH1719" i="7"/>
  <c r="AH1720" i="7"/>
  <c r="AH1721" i="7"/>
  <c r="AH1722" i="7"/>
  <c r="AH1723" i="7"/>
  <c r="AH1724" i="7"/>
  <c r="AH1725" i="7"/>
  <c r="AH1726" i="7"/>
  <c r="AH1727" i="7"/>
  <c r="AH1728" i="7"/>
  <c r="AH1729" i="7"/>
  <c r="AH1730" i="7"/>
  <c r="AH1731" i="7"/>
  <c r="AH1732" i="7"/>
  <c r="AH1733" i="7"/>
  <c r="AH1734" i="7"/>
  <c r="AH1735" i="7"/>
  <c r="AH1736" i="7"/>
  <c r="AH1737" i="7"/>
  <c r="AH1738" i="7"/>
  <c r="AH1739" i="7"/>
  <c r="AH1740" i="7"/>
  <c r="AH1741" i="7"/>
  <c r="AH1742" i="7"/>
  <c r="AH1743" i="7"/>
  <c r="AH1744" i="7"/>
  <c r="AH1745" i="7"/>
  <c r="AH1746" i="7"/>
  <c r="AH1747" i="7"/>
  <c r="AH1748" i="7"/>
  <c r="AH1749" i="7"/>
  <c r="AH1750" i="7"/>
  <c r="AH1751" i="7"/>
  <c r="AH1752" i="7"/>
  <c r="AH1753" i="7"/>
  <c r="AH1754" i="7"/>
  <c r="AH1755" i="7"/>
  <c r="AH1756" i="7"/>
  <c r="AH1757" i="7"/>
  <c r="AH1758" i="7"/>
  <c r="AH1759" i="7"/>
  <c r="AH1760" i="7"/>
  <c r="AH1761" i="7"/>
  <c r="AH1762" i="7"/>
  <c r="AH1763" i="7"/>
  <c r="AH1764" i="7"/>
  <c r="AH1765" i="7"/>
  <c r="AH1766" i="7"/>
  <c r="AH1767" i="7"/>
  <c r="AH1768" i="7"/>
  <c r="AH1769" i="7"/>
  <c r="AH1770" i="7"/>
  <c r="AH1771" i="7"/>
  <c r="AH1772" i="7"/>
  <c r="AH1773" i="7"/>
  <c r="AH1774" i="7"/>
  <c r="AH1775" i="7"/>
  <c r="AH1776" i="7"/>
  <c r="AH1777" i="7"/>
  <c r="AH1778" i="7"/>
  <c r="AH1779" i="7"/>
  <c r="AH1780" i="7"/>
  <c r="AH1781" i="7"/>
  <c r="AH1782" i="7"/>
  <c r="AH1783" i="7"/>
  <c r="AH1784" i="7"/>
  <c r="AH1785" i="7"/>
  <c r="AH1786" i="7"/>
  <c r="AH1787" i="7"/>
  <c r="AH1788" i="7"/>
  <c r="AH1789" i="7"/>
  <c r="AH1790" i="7"/>
  <c r="AH1791" i="7"/>
  <c r="AH1792" i="7"/>
  <c r="AH1793" i="7"/>
  <c r="AH1794" i="7"/>
  <c r="AH1795" i="7"/>
  <c r="AH1796" i="7"/>
  <c r="AH1797" i="7"/>
  <c r="AH1798" i="7"/>
  <c r="AH1799" i="7"/>
  <c r="AH1800" i="7"/>
  <c r="AH1801" i="7"/>
  <c r="AH1802" i="7"/>
  <c r="AH1803" i="7"/>
  <c r="AH1804" i="7"/>
  <c r="AH1805" i="7"/>
  <c r="AH1806" i="7"/>
  <c r="AH1807" i="7"/>
  <c r="AH1808" i="7"/>
  <c r="AH1809" i="7"/>
  <c r="AH1810" i="7"/>
  <c r="AH1811" i="7"/>
  <c r="AH1812" i="7"/>
  <c r="AH1813" i="7"/>
  <c r="AH1814" i="7"/>
  <c r="AH1815" i="7"/>
  <c r="AH1816" i="7"/>
  <c r="AH1817" i="7"/>
  <c r="AH1818" i="7"/>
  <c r="AH1819" i="7"/>
  <c r="AH1820" i="7"/>
  <c r="AH1821" i="7"/>
  <c r="AH1822" i="7"/>
  <c r="AH1823" i="7"/>
  <c r="AH1824" i="7"/>
  <c r="AH1825" i="7"/>
  <c r="AH1826" i="7"/>
  <c r="AH1827" i="7"/>
  <c r="AH1828" i="7"/>
  <c r="AH1829" i="7"/>
  <c r="AH1830" i="7"/>
  <c r="AH1831" i="7"/>
  <c r="AH1832" i="7"/>
  <c r="AH1833" i="7"/>
  <c r="AH1834" i="7"/>
  <c r="AH1835" i="7"/>
  <c r="AH1836" i="7"/>
  <c r="AH1837" i="7"/>
  <c r="AH1838" i="7"/>
  <c r="AH1839" i="7"/>
  <c r="AH1840" i="7"/>
  <c r="AH1841" i="7"/>
  <c r="AH1842" i="7"/>
  <c r="AH1843" i="7"/>
  <c r="AH1844" i="7"/>
  <c r="AH1845" i="7"/>
  <c r="AH1846" i="7"/>
  <c r="AH1847" i="7"/>
  <c r="AH1848" i="7"/>
  <c r="AH1849" i="7"/>
  <c r="AH1850" i="7"/>
  <c r="AH1851" i="7"/>
  <c r="AH1852" i="7"/>
  <c r="AH1853" i="7"/>
  <c r="AH1854" i="7"/>
  <c r="AH1855" i="7"/>
  <c r="AH1856" i="7"/>
  <c r="AH1857" i="7"/>
  <c r="AH1858" i="7"/>
  <c r="AH1859" i="7"/>
  <c r="AH1860" i="7"/>
  <c r="AH1861" i="7"/>
  <c r="AH1862" i="7"/>
  <c r="AH1863" i="7"/>
  <c r="AH1864" i="7"/>
  <c r="AH1865" i="7"/>
  <c r="AH1866" i="7"/>
  <c r="AH1867" i="7"/>
  <c r="AH1868" i="7"/>
  <c r="AH1869" i="7"/>
  <c r="AH1870" i="7"/>
  <c r="AH1871" i="7"/>
  <c r="AH1872" i="7"/>
  <c r="AH1873" i="7"/>
  <c r="AH1874" i="7"/>
  <c r="AH1875" i="7"/>
  <c r="AH1876" i="7"/>
  <c r="AH1877" i="7"/>
  <c r="AH1878" i="7"/>
  <c r="AH1879" i="7"/>
  <c r="AH1880" i="7"/>
  <c r="AH1881" i="7"/>
  <c r="AH1882" i="7"/>
  <c r="AH1883" i="7"/>
  <c r="AH1884" i="7"/>
  <c r="AH1885" i="7"/>
  <c r="AH1886" i="7"/>
  <c r="AH1887" i="7"/>
  <c r="AH1888" i="7"/>
  <c r="AH1889" i="7"/>
  <c r="AH1890" i="7"/>
  <c r="AH1891" i="7"/>
  <c r="AH1892" i="7"/>
  <c r="AH1893" i="7"/>
  <c r="AH1894" i="7"/>
  <c r="AH1895" i="7"/>
  <c r="AH1896" i="7"/>
  <c r="AH1897" i="7"/>
  <c r="AH1898" i="7"/>
  <c r="AH1899" i="7"/>
  <c r="AH1900" i="7"/>
  <c r="AH1901" i="7"/>
  <c r="AH1902" i="7"/>
  <c r="AH1903" i="7"/>
  <c r="AH1904" i="7"/>
  <c r="AH1905" i="7"/>
  <c r="AH1906" i="7"/>
  <c r="AH1907" i="7"/>
  <c r="AH1908" i="7"/>
  <c r="AH1909" i="7"/>
  <c r="AH1910" i="7"/>
  <c r="AH1911" i="7"/>
  <c r="AH1912" i="7"/>
  <c r="AH1913" i="7"/>
  <c r="AH1914" i="7"/>
  <c r="AH1915" i="7"/>
  <c r="AH1916" i="7"/>
  <c r="AH1917" i="7"/>
  <c r="AH1918" i="7"/>
  <c r="AH1919" i="7"/>
  <c r="AH1920" i="7"/>
  <c r="AH1921" i="7"/>
  <c r="AH1922" i="7"/>
  <c r="AH1923" i="7"/>
  <c r="AH1924" i="7"/>
  <c r="AH1925" i="7"/>
  <c r="AH1926" i="7"/>
  <c r="AH1927" i="7"/>
  <c r="AH1928" i="7"/>
  <c r="AH1929" i="7"/>
  <c r="AH1930" i="7"/>
  <c r="AH1931" i="7"/>
  <c r="AH1932" i="7"/>
  <c r="AH1933" i="7"/>
  <c r="AH1934" i="7"/>
  <c r="AH1935" i="7"/>
  <c r="AH1936" i="7"/>
  <c r="AH1937" i="7"/>
  <c r="AH1938" i="7"/>
  <c r="AH1939" i="7"/>
  <c r="AH1940" i="7"/>
  <c r="AH1941" i="7"/>
  <c r="AH1942" i="7"/>
  <c r="AH1943" i="7"/>
  <c r="AH1944" i="7"/>
  <c r="AH1945" i="7"/>
  <c r="AH1946" i="7"/>
  <c r="AH1947" i="7"/>
  <c r="AH1948" i="7"/>
  <c r="AH1949" i="7"/>
  <c r="AH1950" i="7"/>
  <c r="AH1951" i="7"/>
  <c r="AH1952" i="7"/>
  <c r="AH1953" i="7"/>
  <c r="AH1954" i="7"/>
  <c r="AH1955" i="7"/>
  <c r="AH1956" i="7"/>
  <c r="AH1957" i="7"/>
  <c r="AH1958" i="7"/>
  <c r="AH1959" i="7"/>
  <c r="AH1960" i="7"/>
  <c r="AH1961" i="7"/>
  <c r="AH1962" i="7"/>
  <c r="AH1963" i="7"/>
  <c r="AH1964" i="7"/>
  <c r="AH1965" i="7"/>
  <c r="AH1966" i="7"/>
  <c r="AH1967" i="7"/>
  <c r="AH1968" i="7"/>
  <c r="AH1969" i="7"/>
  <c r="AH1970" i="7"/>
  <c r="AH1971" i="7"/>
  <c r="AH1972" i="7"/>
  <c r="AH1973" i="7"/>
  <c r="AH1974" i="7"/>
  <c r="AH1975" i="7"/>
  <c r="AH1976" i="7"/>
  <c r="AH1977" i="7"/>
  <c r="AH1978" i="7"/>
  <c r="AH1979" i="7"/>
  <c r="AH1980" i="7"/>
  <c r="AH1981" i="7"/>
  <c r="AH1982" i="7"/>
  <c r="AH1983" i="7"/>
  <c r="AH1984" i="7"/>
  <c r="AH1985" i="7"/>
  <c r="AH1986" i="7"/>
  <c r="AH1987" i="7"/>
  <c r="AH1988" i="7"/>
  <c r="AH1989" i="7"/>
  <c r="AH1990" i="7"/>
  <c r="AH1991" i="7"/>
  <c r="AH1992" i="7"/>
  <c r="AH1993" i="7"/>
  <c r="AH1994" i="7"/>
  <c r="AH1995" i="7"/>
  <c r="AH1996" i="7"/>
  <c r="AH1997" i="7"/>
  <c r="AH1998" i="7"/>
  <c r="AH1999" i="7"/>
  <c r="AH2000" i="7"/>
  <c r="AH2001" i="7"/>
  <c r="AH2002" i="7"/>
  <c r="AH2003" i="7"/>
  <c r="AH2004" i="7"/>
  <c r="AH2005" i="7"/>
  <c r="AH2006" i="7"/>
  <c r="AH2007" i="7"/>
  <c r="AH2008" i="7"/>
  <c r="AH2009" i="7"/>
  <c r="AH2010" i="7"/>
  <c r="AH2011" i="7"/>
  <c r="AH2012" i="7"/>
  <c r="AH2013" i="7"/>
  <c r="AH2014" i="7"/>
  <c r="AH2015" i="7"/>
  <c r="AH2016" i="7"/>
  <c r="AH2017" i="7"/>
  <c r="AH2018" i="7"/>
  <c r="AH2019" i="7"/>
  <c r="AH2020" i="7"/>
  <c r="AH2021" i="7"/>
  <c r="AH2022" i="7"/>
  <c r="AH2023" i="7"/>
  <c r="AH2024" i="7"/>
  <c r="AH2025" i="7"/>
  <c r="AH2026" i="7"/>
  <c r="AH2027" i="7"/>
  <c r="AH2028" i="7"/>
  <c r="AH2029" i="7"/>
  <c r="AH2030" i="7"/>
  <c r="AH2031" i="7"/>
  <c r="AH2032" i="7"/>
  <c r="AH2033" i="7"/>
  <c r="AH2034" i="7"/>
  <c r="AH2035" i="7"/>
  <c r="AH2036" i="7"/>
  <c r="AH2037" i="7"/>
  <c r="AH2038" i="7"/>
  <c r="AH2039" i="7"/>
  <c r="AH2040" i="7"/>
  <c r="AH2041" i="7"/>
  <c r="AH2042" i="7"/>
  <c r="AH2043" i="7"/>
  <c r="AH2044" i="7"/>
  <c r="AH2045" i="7"/>
  <c r="AH2046" i="7"/>
  <c r="AH2047" i="7"/>
  <c r="AH2048" i="7"/>
  <c r="AH2049" i="7"/>
  <c r="AH2050" i="7"/>
  <c r="AH2051" i="7"/>
  <c r="AH2052" i="7"/>
  <c r="AH2053" i="7"/>
  <c r="AH2054" i="7"/>
  <c r="AH2055" i="7"/>
  <c r="AH2056" i="7"/>
  <c r="AH2057" i="7"/>
  <c r="AH2058" i="7"/>
  <c r="AH2059" i="7"/>
  <c r="AH2060" i="7"/>
  <c r="AH2061" i="7"/>
  <c r="AH2062" i="7"/>
  <c r="AH2063" i="7"/>
  <c r="AH2064" i="7"/>
  <c r="AH2065" i="7"/>
  <c r="AH2066" i="7"/>
  <c r="AH2067" i="7"/>
  <c r="AH2068" i="7"/>
  <c r="AH2069" i="7"/>
  <c r="AH2070" i="7"/>
  <c r="AH2071" i="7"/>
  <c r="AH2072" i="7"/>
  <c r="AH2073" i="7"/>
  <c r="AH2074" i="7"/>
  <c r="AH2075" i="7"/>
  <c r="AH2076" i="7"/>
  <c r="AH2077" i="7"/>
  <c r="AH2078" i="7"/>
  <c r="AH2079" i="7"/>
  <c r="AH2080" i="7"/>
  <c r="AH2081" i="7"/>
  <c r="AH2082" i="7"/>
  <c r="AH2083" i="7"/>
  <c r="AH2084" i="7"/>
  <c r="AH2085" i="7"/>
  <c r="AH2086" i="7"/>
  <c r="AH2087" i="7"/>
  <c r="AH2088" i="7"/>
  <c r="AH2089" i="7"/>
  <c r="AH2090" i="7"/>
  <c r="AH2091" i="7"/>
  <c r="AH2092" i="7"/>
  <c r="AH2093" i="7"/>
  <c r="AH2094" i="7"/>
  <c r="AH2095" i="7"/>
  <c r="AH2096" i="7"/>
  <c r="AH2097" i="7"/>
  <c r="AH2098" i="7"/>
  <c r="AH2099" i="7"/>
  <c r="AH2100" i="7"/>
  <c r="AH2101" i="7"/>
  <c r="AH2102" i="7"/>
  <c r="AH2103" i="7"/>
  <c r="AH2104" i="7"/>
  <c r="AH2105" i="7"/>
  <c r="AH2106" i="7"/>
  <c r="AH2107" i="7"/>
  <c r="AH2108" i="7"/>
  <c r="AH2109" i="7"/>
  <c r="AH2110" i="7"/>
  <c r="AH2111" i="7"/>
  <c r="AH2112" i="7"/>
  <c r="AH2113" i="7"/>
  <c r="AH2114" i="7"/>
  <c r="AH2115" i="7"/>
  <c r="AH2116" i="7"/>
  <c r="AH2117" i="7"/>
  <c r="AH2118" i="7"/>
  <c r="AH2119" i="7"/>
  <c r="AH2120" i="7"/>
  <c r="AH2121" i="7"/>
  <c r="AH2122" i="7"/>
  <c r="AH2123" i="7"/>
  <c r="AH2124" i="7"/>
  <c r="AH2125" i="7"/>
  <c r="AH2126" i="7"/>
  <c r="AH2127" i="7"/>
  <c r="AH2128" i="7"/>
  <c r="AH2129" i="7"/>
  <c r="AH2130" i="7"/>
  <c r="AH2131" i="7"/>
  <c r="AH2132" i="7"/>
  <c r="AH2133" i="7"/>
  <c r="AH2134" i="7"/>
  <c r="AH2135" i="7"/>
  <c r="AH2136" i="7"/>
  <c r="AH2137" i="7"/>
  <c r="AH2138" i="7"/>
  <c r="AH2139" i="7"/>
  <c r="AH2140" i="7"/>
  <c r="AH2141" i="7"/>
  <c r="AH2142" i="7"/>
  <c r="AH2143" i="7"/>
  <c r="AH2144" i="7"/>
  <c r="AH2145" i="7"/>
  <c r="AH2146" i="7"/>
  <c r="AH2147" i="7"/>
  <c r="AH2148" i="7"/>
  <c r="AH2149" i="7"/>
  <c r="AH2150" i="7"/>
  <c r="AH2151" i="7"/>
  <c r="AH2152" i="7"/>
  <c r="AH2153" i="7"/>
  <c r="AH2154" i="7"/>
  <c r="AH2155" i="7"/>
  <c r="AH2156" i="7"/>
  <c r="AH2157" i="7"/>
  <c r="AH2158" i="7"/>
  <c r="AH2159" i="7"/>
  <c r="AH2160" i="7"/>
  <c r="AH2161" i="7"/>
  <c r="AH2162" i="7"/>
  <c r="AH2163" i="7"/>
  <c r="AH2164" i="7"/>
  <c r="AH2165" i="7"/>
  <c r="AH2166" i="7"/>
  <c r="AH2167" i="7"/>
  <c r="AH2168" i="7"/>
  <c r="AH2169" i="7"/>
  <c r="AH2170" i="7"/>
  <c r="AH2171" i="7"/>
  <c r="AH2172" i="7"/>
  <c r="AH2173" i="7"/>
  <c r="AH2174" i="7"/>
  <c r="AH2175" i="7"/>
  <c r="AH2176" i="7"/>
  <c r="AH2177" i="7"/>
  <c r="AH2178" i="7"/>
  <c r="AH2179" i="7"/>
  <c r="AH2180" i="7"/>
  <c r="AH2181" i="7"/>
  <c r="AH2182" i="7"/>
  <c r="AH2183" i="7"/>
  <c r="AH2184" i="7"/>
  <c r="AH2185" i="7"/>
  <c r="AH2186" i="7"/>
  <c r="AH2187" i="7"/>
  <c r="AH2188" i="7"/>
  <c r="AH2189" i="7"/>
  <c r="AH2190" i="7"/>
  <c r="AH2191" i="7"/>
  <c r="AH2192" i="7"/>
  <c r="AH2193" i="7"/>
  <c r="AH2194" i="7"/>
  <c r="AH2195" i="7"/>
  <c r="AH2196" i="7"/>
  <c r="AH2197" i="7"/>
  <c r="AH2198" i="7"/>
  <c r="AH2199" i="7"/>
  <c r="AH2200" i="7"/>
  <c r="AH2201" i="7"/>
  <c r="AH2202" i="7"/>
  <c r="AH2203" i="7"/>
  <c r="AH2204" i="7"/>
  <c r="AH2205" i="7"/>
  <c r="AH2206" i="7"/>
  <c r="AH2207" i="7"/>
  <c r="AH2208" i="7"/>
  <c r="AH2209" i="7"/>
  <c r="AH2210" i="7"/>
  <c r="AH2211" i="7"/>
  <c r="AH2212" i="7"/>
  <c r="AH2213" i="7"/>
  <c r="AH2214" i="7"/>
  <c r="AH2215" i="7"/>
  <c r="AH2216" i="7"/>
  <c r="AH2217" i="7"/>
  <c r="AH2218" i="7"/>
  <c r="AH2219" i="7"/>
  <c r="AH2220" i="7"/>
  <c r="AH2221" i="7"/>
  <c r="AH2222" i="7"/>
  <c r="AH2223" i="7"/>
  <c r="AH2224" i="7"/>
  <c r="AH2225" i="7"/>
  <c r="AH2226" i="7"/>
  <c r="AH2227" i="7"/>
  <c r="AH2228" i="7"/>
  <c r="AH2229" i="7"/>
  <c r="AH2230" i="7"/>
  <c r="AH2231" i="7"/>
  <c r="AH2232" i="7"/>
  <c r="AH2233" i="7"/>
  <c r="AH2234" i="7"/>
  <c r="AH2235" i="7"/>
  <c r="AH2236" i="7"/>
  <c r="AH2237" i="7"/>
  <c r="AH2238" i="7"/>
  <c r="AH2239" i="7"/>
  <c r="AH2240" i="7"/>
  <c r="AH2241" i="7"/>
  <c r="AH2242" i="7"/>
  <c r="AH2243" i="7"/>
  <c r="AH2244" i="7"/>
  <c r="AH2245" i="7"/>
  <c r="AH2246" i="7"/>
  <c r="AH2247" i="7"/>
  <c r="AH2248" i="7"/>
  <c r="AH2249" i="7"/>
  <c r="AH2250" i="7"/>
  <c r="AH2251" i="7"/>
  <c r="AH2252" i="7"/>
  <c r="AH2253" i="7"/>
  <c r="AH2254" i="7"/>
  <c r="AH2255" i="7"/>
  <c r="AH2256" i="7"/>
  <c r="AH2257" i="7"/>
  <c r="AH2258" i="7"/>
  <c r="AH2259" i="7"/>
  <c r="AH2260" i="7"/>
  <c r="AH2261" i="7"/>
  <c r="AH2262" i="7"/>
  <c r="AH2263" i="7"/>
  <c r="AH2264" i="7"/>
  <c r="AH2265" i="7"/>
  <c r="AH2266" i="7"/>
  <c r="AH2267" i="7"/>
  <c r="AH2268" i="7"/>
  <c r="AH2269" i="7"/>
  <c r="AH2270" i="7"/>
  <c r="AH2271" i="7"/>
  <c r="AH2272" i="7"/>
  <c r="AH2273" i="7"/>
  <c r="AH2274" i="7"/>
  <c r="AH2275" i="7"/>
  <c r="AH2276" i="7"/>
  <c r="AH2277" i="7"/>
  <c r="AH2278" i="7"/>
  <c r="AH2279" i="7"/>
  <c r="AH2280" i="7"/>
  <c r="AH2281" i="7"/>
  <c r="AH2282" i="7"/>
  <c r="AH2283" i="7"/>
  <c r="AH2284" i="7"/>
  <c r="AH2285" i="7"/>
  <c r="AH2286" i="7"/>
  <c r="AH2287" i="7"/>
  <c r="AH2288" i="7"/>
  <c r="AH2289" i="7"/>
  <c r="AH2290" i="7"/>
  <c r="AH2291" i="7"/>
  <c r="AH2292" i="7"/>
  <c r="AH2293" i="7"/>
  <c r="AH2294" i="7"/>
  <c r="AH2295" i="7"/>
  <c r="AH2296" i="7"/>
  <c r="AH2297" i="7"/>
  <c r="AH2298" i="7"/>
  <c r="AH2299" i="7"/>
  <c r="AH2300" i="7"/>
  <c r="AH2301" i="7"/>
  <c r="AH2302" i="7"/>
  <c r="AH2303" i="7"/>
  <c r="AH2304" i="7"/>
  <c r="AH2305" i="7"/>
  <c r="AH2306" i="7"/>
  <c r="AH2307" i="7"/>
  <c r="AH2308" i="7"/>
  <c r="AH2309" i="7"/>
  <c r="AH2310" i="7"/>
  <c r="AH2311" i="7"/>
  <c r="AH2312" i="7"/>
  <c r="AH2313" i="7"/>
  <c r="AH2314" i="7"/>
  <c r="AH2315" i="7"/>
  <c r="AH2316" i="7"/>
  <c r="AH2317" i="7"/>
  <c r="AH2318" i="7"/>
  <c r="AH2319" i="7"/>
  <c r="AH2320" i="7"/>
  <c r="AH2321" i="7"/>
  <c r="AH2322" i="7"/>
  <c r="AH2323" i="7"/>
  <c r="AH2324" i="7"/>
  <c r="AH2325" i="7"/>
  <c r="AH2326" i="7"/>
  <c r="AH2327" i="7"/>
  <c r="AH2328" i="7"/>
  <c r="AH2329" i="7"/>
  <c r="AH2330" i="7"/>
  <c r="AH2331" i="7"/>
  <c r="AH2332" i="7"/>
  <c r="AH2333" i="7"/>
  <c r="AH2334" i="7"/>
  <c r="AH2335" i="7"/>
  <c r="AH2336" i="7"/>
  <c r="AH2337" i="7"/>
  <c r="AH2338" i="7"/>
  <c r="AH2339" i="7"/>
  <c r="AH2340" i="7"/>
  <c r="AH2341" i="7"/>
  <c r="AH2342" i="7"/>
  <c r="AH2343" i="7"/>
  <c r="AH2344" i="7"/>
  <c r="AH2345" i="7"/>
  <c r="AH2346" i="7"/>
  <c r="AH2347" i="7"/>
  <c r="AH2348" i="7"/>
  <c r="AH2349" i="7"/>
  <c r="AH2350" i="7"/>
  <c r="AH2351" i="7"/>
  <c r="AH2352" i="7"/>
  <c r="AH2353" i="7"/>
  <c r="AH3" i="7"/>
  <c r="Q21" i="7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Q19" i="7"/>
  <c r="V7" i="27" l="1"/>
  <c r="Y7" i="27" s="1"/>
  <c r="V12" i="27"/>
  <c r="Y12" i="27" s="1"/>
  <c r="V11" i="27"/>
  <c r="Y11" i="27" s="1"/>
  <c r="V18" i="27"/>
  <c r="Y18" i="27" s="1"/>
  <c r="V5" i="27"/>
  <c r="Y5" i="27" s="1"/>
  <c r="J16" i="27"/>
  <c r="S1" i="27"/>
  <c r="V14" i="27"/>
  <c r="Y14" i="27" s="1"/>
  <c r="V17" i="27"/>
  <c r="Y17" i="27" s="1"/>
  <c r="V6" i="27"/>
  <c r="Y6" i="27" s="1"/>
  <c r="V27" i="27"/>
  <c r="Y27" i="27" s="1"/>
  <c r="V13" i="27"/>
  <c r="Y13" i="27" s="1"/>
  <c r="V21" i="27"/>
  <c r="Y21" i="27" s="1"/>
  <c r="V10" i="27"/>
  <c r="Y10" i="27" s="1"/>
  <c r="V19" i="27"/>
  <c r="Y19" i="27" s="1"/>
  <c r="V9" i="27"/>
  <c r="Y9" i="27" s="1"/>
  <c r="V23" i="27"/>
  <c r="Y23" i="27" s="1"/>
  <c r="D8" i="27"/>
  <c r="B9" i="27"/>
  <c r="F7" i="27"/>
  <c r="P6" i="27"/>
  <c r="V24" i="27"/>
  <c r="Y24" i="27" s="1"/>
  <c r="V15" i="27"/>
  <c r="Y15" i="27" s="1"/>
  <c r="V8" i="27"/>
  <c r="Y8" i="27" s="1"/>
  <c r="V22" i="27"/>
  <c r="Y22" i="27" s="1"/>
  <c r="V26" i="27"/>
  <c r="Y26" i="27" s="1"/>
  <c r="V10" i="26"/>
  <c r="Y10" i="26" s="1"/>
  <c r="V14" i="26"/>
  <c r="Y14" i="26" s="1"/>
  <c r="V24" i="26"/>
  <c r="Y24" i="26" s="1"/>
  <c r="V9" i="26"/>
  <c r="Y9" i="26" s="1"/>
  <c r="P6" i="26"/>
  <c r="V12" i="26"/>
  <c r="Y12" i="26" s="1"/>
  <c r="V13" i="26"/>
  <c r="Y13" i="26" s="1"/>
  <c r="B8" i="26"/>
  <c r="D7" i="26"/>
  <c r="F7" i="26" s="1"/>
  <c r="V21" i="26"/>
  <c r="Y21" i="26" s="1"/>
  <c r="V19" i="26"/>
  <c r="Y19" i="26" s="1"/>
  <c r="V6" i="26"/>
  <c r="Y6" i="26" s="1"/>
  <c r="V22" i="26"/>
  <c r="Y22" i="26" s="1"/>
  <c r="V15" i="26"/>
  <c r="Y15" i="26" s="1"/>
  <c r="V17" i="26"/>
  <c r="Y17" i="26" s="1"/>
  <c r="V18" i="26"/>
  <c r="Y18" i="26" s="1"/>
  <c r="V11" i="26"/>
  <c r="Y11" i="26" s="1"/>
  <c r="V5" i="26"/>
  <c r="Y5" i="26" s="1"/>
  <c r="S1" i="26"/>
  <c r="N26" i="26" s="1"/>
  <c r="V23" i="26"/>
  <c r="Y23" i="26" s="1"/>
  <c r="V27" i="26"/>
  <c r="Y27" i="26" s="1"/>
  <c r="V28" i="25"/>
  <c r="Y28" i="25" s="1"/>
  <c r="V11" i="25"/>
  <c r="Y11" i="25" s="1"/>
  <c r="V19" i="25"/>
  <c r="Y19" i="25" s="1"/>
  <c r="V20" i="25"/>
  <c r="Y20" i="25" s="1"/>
  <c r="J52" i="25"/>
  <c r="S1" i="25"/>
  <c r="V5" i="25"/>
  <c r="Y5" i="25" s="1"/>
  <c r="D8" i="25"/>
  <c r="B9" i="25"/>
  <c r="V15" i="25"/>
  <c r="Y15" i="25" s="1"/>
  <c r="V24" i="25"/>
  <c r="Y24" i="25" s="1"/>
  <c r="F7" i="25"/>
  <c r="P6" i="25"/>
  <c r="V26" i="25"/>
  <c r="Y26" i="25" s="1"/>
  <c r="V16" i="25"/>
  <c r="Y16" i="25" s="1"/>
  <c r="V18" i="25"/>
  <c r="Y18" i="25" s="1"/>
  <c r="V7" i="25"/>
  <c r="Y7" i="25" s="1"/>
  <c r="V12" i="25"/>
  <c r="Y12" i="25" s="1"/>
  <c r="V25" i="25"/>
  <c r="Y25" i="25" s="1"/>
  <c r="V14" i="25"/>
  <c r="Y14" i="25" s="1"/>
  <c r="V22" i="25"/>
  <c r="Y22" i="25" s="1"/>
  <c r="V23" i="25"/>
  <c r="Y23" i="25" s="1"/>
  <c r="V10" i="25"/>
  <c r="Y10" i="25" s="1"/>
  <c r="V6" i="25"/>
  <c r="Y6" i="25" s="1"/>
  <c r="V8" i="25"/>
  <c r="Y8" i="25" s="1"/>
  <c r="V13" i="25"/>
  <c r="Y13" i="25" s="1"/>
  <c r="V27" i="25"/>
  <c r="Y27" i="25" s="1"/>
  <c r="P7" i="24"/>
  <c r="F8" i="24"/>
  <c r="Y23" i="24"/>
  <c r="Y25" i="24"/>
  <c r="Y12" i="24"/>
  <c r="Y17" i="24"/>
  <c r="Y20" i="24"/>
  <c r="Y21" i="24"/>
  <c r="Y6" i="24"/>
  <c r="Y9" i="24"/>
  <c r="Y14" i="24"/>
  <c r="Y13" i="24"/>
  <c r="Y5" i="24"/>
  <c r="J4" i="24"/>
  <c r="S1" i="24"/>
  <c r="Y11" i="24"/>
  <c r="Y22" i="24"/>
  <c r="B10" i="24"/>
  <c r="D9" i="24"/>
  <c r="Y28" i="24"/>
  <c r="V22" i="23"/>
  <c r="Y22" i="23" s="1"/>
  <c r="F7" i="23"/>
  <c r="P6" i="23"/>
  <c r="V9" i="23"/>
  <c r="Y9" i="23" s="1"/>
  <c r="B9" i="23"/>
  <c r="D8" i="23"/>
  <c r="V20" i="23"/>
  <c r="Y20" i="23" s="1"/>
  <c r="V18" i="23"/>
  <c r="Y18" i="23" s="1"/>
  <c r="V13" i="23"/>
  <c r="Y13" i="23" s="1"/>
  <c r="V5" i="23"/>
  <c r="Y5" i="23" s="1"/>
  <c r="V11" i="23"/>
  <c r="Y11" i="23" s="1"/>
  <c r="V25" i="23"/>
  <c r="Y25" i="23" s="1"/>
  <c r="V28" i="23"/>
  <c r="Y28" i="23" s="1"/>
  <c r="V24" i="23"/>
  <c r="Y24" i="23" s="1"/>
  <c r="V7" i="23"/>
  <c r="Y7" i="23" s="1"/>
  <c r="V23" i="23"/>
  <c r="Y23" i="23" s="1"/>
  <c r="V15" i="23"/>
  <c r="Y15" i="23" s="1"/>
  <c r="V26" i="23"/>
  <c r="Y26" i="23" s="1"/>
  <c r="V17" i="23"/>
  <c r="Y17" i="23" s="1"/>
  <c r="V16" i="23"/>
  <c r="Y16" i="23" s="1"/>
  <c r="V21" i="23"/>
  <c r="Y21" i="23" s="1"/>
  <c r="V27" i="23"/>
  <c r="Y27" i="23" s="1"/>
  <c r="V19" i="23"/>
  <c r="Y19" i="23" s="1"/>
  <c r="V8" i="23"/>
  <c r="Y8" i="23" s="1"/>
  <c r="D9" i="22"/>
  <c r="B10" i="22"/>
  <c r="F7" i="22"/>
  <c r="P7" i="22" s="1"/>
  <c r="V8" i="22"/>
  <c r="Y8" i="22" s="1"/>
  <c r="V18" i="22"/>
  <c r="Y18" i="22" s="1"/>
  <c r="V10" i="22"/>
  <c r="Y10" i="22" s="1"/>
  <c r="V13" i="22"/>
  <c r="Y13" i="22" s="1"/>
  <c r="V25" i="22"/>
  <c r="Y25" i="22" s="1"/>
  <c r="V11" i="22"/>
  <c r="Y11" i="22" s="1"/>
  <c r="V12" i="22"/>
  <c r="Y12" i="22" s="1"/>
  <c r="V23" i="22"/>
  <c r="Y23" i="22" s="1"/>
  <c r="V29" i="22"/>
  <c r="Y29" i="22" s="1"/>
  <c r="V5" i="22"/>
  <c r="Y5" i="22" s="1"/>
  <c r="S1" i="22"/>
  <c r="N30" i="22" s="1"/>
  <c r="V26" i="22"/>
  <c r="Y26" i="22" s="1"/>
  <c r="V21" i="22"/>
  <c r="Y21" i="22" s="1"/>
  <c r="V27" i="22"/>
  <c r="Y27" i="22" s="1"/>
  <c r="V22" i="22"/>
  <c r="Y22" i="22" s="1"/>
  <c r="V7" i="22"/>
  <c r="Y7" i="22" s="1"/>
  <c r="V16" i="22"/>
  <c r="Y16" i="22" s="1"/>
  <c r="V19" i="22"/>
  <c r="Y19" i="22" s="1"/>
  <c r="F7" i="21"/>
  <c r="P6" i="21"/>
  <c r="P4" i="20"/>
  <c r="F7" i="20"/>
  <c r="I7" i="20" s="1"/>
  <c r="P5" i="20"/>
  <c r="P6" i="19"/>
  <c r="F6" i="19"/>
  <c r="R20" i="7"/>
  <c r="AA26" i="7"/>
  <c r="AA24" i="7"/>
  <c r="AA22" i="7"/>
  <c r="AA18" i="7"/>
  <c r="Q53" i="25" l="1"/>
  <c r="Q61" i="25"/>
  <c r="Q69" i="25"/>
  <c r="Q54" i="25"/>
  <c r="Q62" i="25"/>
  <c r="Q70" i="25"/>
  <c r="Q55" i="25"/>
  <c r="Q63" i="25"/>
  <c r="Q71" i="25"/>
  <c r="Q56" i="25"/>
  <c r="Q64" i="25"/>
  <c r="Q72" i="25"/>
  <c r="Q57" i="25"/>
  <c r="Q65" i="25"/>
  <c r="Q73" i="25"/>
  <c r="Q76" i="25"/>
  <c r="Q58" i="25"/>
  <c r="Q66" i="25"/>
  <c r="Q74" i="25"/>
  <c r="Q68" i="25"/>
  <c r="Q59" i="25"/>
  <c r="Q67" i="25"/>
  <c r="Q75" i="25"/>
  <c r="Q60" i="25"/>
  <c r="N16" i="27"/>
  <c r="V4" i="27" s="1"/>
  <c r="Y4" i="27" s="1"/>
  <c r="B10" i="27"/>
  <c r="D9" i="27"/>
  <c r="P7" i="27"/>
  <c r="F8" i="27"/>
  <c r="Q45" i="27"/>
  <c r="Q44" i="27"/>
  <c r="Q52" i="27"/>
  <c r="Q6" i="27"/>
  <c r="Q34" i="27"/>
  <c r="Q8" i="27"/>
  <c r="Q50" i="27"/>
  <c r="Q21" i="27"/>
  <c r="Q51" i="27"/>
  <c r="Q23" i="27"/>
  <c r="Q24" i="27"/>
  <c r="Q12" i="27"/>
  <c r="Q38" i="27"/>
  <c r="Q7" i="27"/>
  <c r="Q27" i="27"/>
  <c r="Q30" i="27"/>
  <c r="Q28" i="27"/>
  <c r="Q40" i="27"/>
  <c r="Q18" i="27"/>
  <c r="Q48" i="27"/>
  <c r="Q20" i="27"/>
  <c r="Q19" i="27"/>
  <c r="Q16" i="27"/>
  <c r="Q33" i="27"/>
  <c r="Q15" i="27"/>
  <c r="Q25" i="27"/>
  <c r="Q13" i="27"/>
  <c r="Q35" i="27"/>
  <c r="Q46" i="27"/>
  <c r="Q43" i="27"/>
  <c r="Q31" i="27"/>
  <c r="Q5" i="27"/>
  <c r="Q22" i="27"/>
  <c r="Q10" i="27"/>
  <c r="Q14" i="27"/>
  <c r="Q42" i="27"/>
  <c r="Q37" i="27"/>
  <c r="Q41" i="27"/>
  <c r="Q39" i="27"/>
  <c r="Q36" i="27"/>
  <c r="Q9" i="27"/>
  <c r="Q32" i="27"/>
  <c r="Q17" i="27"/>
  <c r="Q26" i="27"/>
  <c r="Q47" i="27"/>
  <c r="Q29" i="27"/>
  <c r="Q11" i="27"/>
  <c r="Q49" i="27"/>
  <c r="N35" i="26"/>
  <c r="N39" i="26"/>
  <c r="N23" i="26"/>
  <c r="N18" i="26"/>
  <c r="N30" i="26"/>
  <c r="N21" i="26"/>
  <c r="N36" i="26"/>
  <c r="N25" i="26"/>
  <c r="N34" i="26"/>
  <c r="P7" i="26"/>
  <c r="Y4" i="26"/>
  <c r="N31" i="26"/>
  <c r="N17" i="26"/>
  <c r="N29" i="26"/>
  <c r="N24" i="26"/>
  <c r="D8" i="26"/>
  <c r="F8" i="26" s="1"/>
  <c r="B9" i="26"/>
  <c r="Q12" i="26"/>
  <c r="Q20" i="26"/>
  <c r="Q5" i="26"/>
  <c r="Q49" i="26"/>
  <c r="Q21" i="26"/>
  <c r="Q6" i="26"/>
  <c r="Q41" i="26"/>
  <c r="Q29" i="26"/>
  <c r="Q37" i="26"/>
  <c r="Q26" i="26"/>
  <c r="Q44" i="26"/>
  <c r="Q31" i="26"/>
  <c r="Q8" i="26"/>
  <c r="Q39" i="26"/>
  <c r="Q9" i="26"/>
  <c r="Q35" i="26"/>
  <c r="Q17" i="26"/>
  <c r="Q47" i="26"/>
  <c r="N32" i="26"/>
  <c r="Q32" i="26"/>
  <c r="Q48" i="26"/>
  <c r="Q27" i="26"/>
  <c r="Q11" i="26"/>
  <c r="Q50" i="26"/>
  <c r="Q34" i="26"/>
  <c r="Q15" i="26"/>
  <c r="N40" i="26"/>
  <c r="Q43" i="26"/>
  <c r="Q7" i="26"/>
  <c r="Q40" i="26"/>
  <c r="Q14" i="26"/>
  <c r="Q45" i="26"/>
  <c r="Q16" i="26"/>
  <c r="Q10" i="26"/>
  <c r="N37" i="26"/>
  <c r="Q19" i="26"/>
  <c r="Q24" i="26"/>
  <c r="Q30" i="26"/>
  <c r="Q46" i="26"/>
  <c r="Q22" i="26"/>
  <c r="N28" i="26"/>
  <c r="Q33" i="26"/>
  <c r="Q51" i="26"/>
  <c r="Q25" i="26"/>
  <c r="Q52" i="26"/>
  <c r="N19" i="26"/>
  <c r="Q13" i="26"/>
  <c r="Q38" i="26"/>
  <c r="N38" i="26"/>
  <c r="Q18" i="26"/>
  <c r="Q36" i="26"/>
  <c r="Q28" i="26"/>
  <c r="Q42" i="26"/>
  <c r="Q23" i="26"/>
  <c r="N20" i="26"/>
  <c r="N33" i="26"/>
  <c r="N22" i="26"/>
  <c r="N27" i="26"/>
  <c r="B10" i="25"/>
  <c r="D9" i="25"/>
  <c r="P7" i="25"/>
  <c r="F8" i="25"/>
  <c r="Q10" i="25"/>
  <c r="Q42" i="25"/>
  <c r="Q14" i="25"/>
  <c r="Q5" i="25"/>
  <c r="Q49" i="25"/>
  <c r="Q11" i="25"/>
  <c r="Q45" i="25"/>
  <c r="Q23" i="25"/>
  <c r="Q47" i="25"/>
  <c r="Q48" i="25"/>
  <c r="Q15" i="25"/>
  <c r="Q18" i="25"/>
  <c r="Q50" i="25"/>
  <c r="Q16" i="25"/>
  <c r="Q51" i="25"/>
  <c r="Q34" i="25"/>
  <c r="Q29" i="25"/>
  <c r="Q9" i="25"/>
  <c r="Q12" i="25"/>
  <c r="Q20" i="25"/>
  <c r="Q26" i="25"/>
  <c r="Q6" i="25"/>
  <c r="Q33" i="25"/>
  <c r="Q13" i="25"/>
  <c r="Q25" i="25"/>
  <c r="Q17" i="25"/>
  <c r="Q22" i="25"/>
  <c r="Q35" i="25"/>
  <c r="Q40" i="25"/>
  <c r="Q52" i="25"/>
  <c r="Q37" i="25"/>
  <c r="Q32" i="25"/>
  <c r="Q24" i="25"/>
  <c r="Q46" i="25"/>
  <c r="Q41" i="25"/>
  <c r="Q19" i="25"/>
  <c r="Q43" i="25"/>
  <c r="Q27" i="25"/>
  <c r="Q30" i="25"/>
  <c r="Q28" i="25"/>
  <c r="Q31" i="25"/>
  <c r="Q38" i="25"/>
  <c r="Q8" i="25"/>
  <c r="Q7" i="25"/>
  <c r="Q36" i="25"/>
  <c r="Q44" i="25"/>
  <c r="Q39" i="25"/>
  <c r="Q21" i="25"/>
  <c r="V4" i="25"/>
  <c r="Y4" i="25" s="1"/>
  <c r="N50" i="24"/>
  <c r="N34" i="24"/>
  <c r="N40" i="24"/>
  <c r="N32" i="24"/>
  <c r="N31" i="24"/>
  <c r="N42" i="24"/>
  <c r="N48" i="24"/>
  <c r="N39" i="24"/>
  <c r="N43" i="24"/>
  <c r="N51" i="24"/>
  <c r="N52" i="24"/>
  <c r="N28" i="24"/>
  <c r="Y4" i="24"/>
  <c r="N33" i="24"/>
  <c r="N47" i="24"/>
  <c r="N30" i="24"/>
  <c r="B11" i="24"/>
  <c r="D10" i="24"/>
  <c r="N36" i="24"/>
  <c r="N46" i="24"/>
  <c r="N37" i="24"/>
  <c r="N49" i="24"/>
  <c r="N41" i="24"/>
  <c r="N29" i="24"/>
  <c r="N45" i="24"/>
  <c r="N38" i="24"/>
  <c r="F9" i="24"/>
  <c r="P8" i="24"/>
  <c r="N35" i="24"/>
  <c r="N44" i="24"/>
  <c r="Q49" i="23"/>
  <c r="Q22" i="23"/>
  <c r="Q26" i="23"/>
  <c r="N24" i="23"/>
  <c r="Q39" i="23"/>
  <c r="Q28" i="23"/>
  <c r="Q18" i="23"/>
  <c r="Q6" i="23"/>
  <c r="Q50" i="23"/>
  <c r="Q37" i="23"/>
  <c r="Q43" i="23"/>
  <c r="N26" i="23"/>
  <c r="Q9" i="23"/>
  <c r="Q13" i="23"/>
  <c r="Q41" i="23"/>
  <c r="Q45" i="23"/>
  <c r="Q14" i="23"/>
  <c r="Q46" i="23"/>
  <c r="Q33" i="23"/>
  <c r="Q12" i="23"/>
  <c r="Q29" i="23"/>
  <c r="Q16" i="23"/>
  <c r="Q51" i="23"/>
  <c r="Q38" i="23"/>
  <c r="Q11" i="23"/>
  <c r="Q20" i="23"/>
  <c r="Q5" i="23"/>
  <c r="Q40" i="23"/>
  <c r="Q15" i="23"/>
  <c r="Q35" i="23"/>
  <c r="N22" i="23"/>
  <c r="Q10" i="23"/>
  <c r="Q24" i="23"/>
  <c r="Q52" i="23"/>
  <c r="Q47" i="23"/>
  <c r="Q23" i="23"/>
  <c r="Q8" i="23"/>
  <c r="N18" i="23"/>
  <c r="Q42" i="23"/>
  <c r="Q36" i="23"/>
  <c r="Q19" i="23"/>
  <c r="Q7" i="23"/>
  <c r="Q25" i="23"/>
  <c r="Q32" i="23"/>
  <c r="Q48" i="23"/>
  <c r="Q21" i="23"/>
  <c r="Q27" i="23"/>
  <c r="Q34" i="23"/>
  <c r="Q17" i="23"/>
  <c r="Q44" i="23"/>
  <c r="Q30" i="23"/>
  <c r="Q31" i="23"/>
  <c r="N20" i="23"/>
  <c r="N40" i="23"/>
  <c r="N21" i="23"/>
  <c r="N34" i="23"/>
  <c r="N31" i="23"/>
  <c r="N29" i="23"/>
  <c r="N33" i="23"/>
  <c r="N36" i="23"/>
  <c r="N32" i="23"/>
  <c r="N27" i="23"/>
  <c r="B10" i="23"/>
  <c r="D9" i="23"/>
  <c r="N28" i="23"/>
  <c r="N25" i="23"/>
  <c r="N37" i="23"/>
  <c r="N17" i="23"/>
  <c r="N35" i="23"/>
  <c r="N39" i="23"/>
  <c r="N30" i="23"/>
  <c r="F8" i="23"/>
  <c r="P7" i="23"/>
  <c r="N38" i="23"/>
  <c r="N19" i="23"/>
  <c r="N23" i="23"/>
  <c r="B11" i="22"/>
  <c r="D10" i="22"/>
  <c r="N37" i="22"/>
  <c r="N19" i="22"/>
  <c r="N38" i="22"/>
  <c r="N20" i="22"/>
  <c r="F8" i="22"/>
  <c r="F9" i="22" s="1"/>
  <c r="N41" i="22"/>
  <c r="N25" i="22"/>
  <c r="N35" i="22"/>
  <c r="N34" i="22"/>
  <c r="N24" i="22"/>
  <c r="N39" i="22"/>
  <c r="N31" i="22"/>
  <c r="N17" i="22"/>
  <c r="N23" i="22"/>
  <c r="Q48" i="22"/>
  <c r="Q9" i="22"/>
  <c r="Q8" i="22"/>
  <c r="Q52" i="22"/>
  <c r="Q44" i="22"/>
  <c r="N27" i="22"/>
  <c r="Q22" i="22"/>
  <c r="Q13" i="22"/>
  <c r="Q10" i="22"/>
  <c r="Q35" i="22"/>
  <c r="Q41" i="22"/>
  <c r="Q36" i="22"/>
  <c r="Q38" i="22"/>
  <c r="Q46" i="22"/>
  <c r="Q30" i="22"/>
  <c r="Q16" i="22"/>
  <c r="Q50" i="22"/>
  <c r="Q14" i="22"/>
  <c r="Q31" i="22"/>
  <c r="Q21" i="22"/>
  <c r="Q19" i="22"/>
  <c r="Q49" i="22"/>
  <c r="Q34" i="22"/>
  <c r="Q39" i="22"/>
  <c r="N32" i="22"/>
  <c r="N36" i="22"/>
  <c r="Q24" i="22"/>
  <c r="Q15" i="22"/>
  <c r="Q40" i="22"/>
  <c r="Q28" i="22"/>
  <c r="Q6" i="22"/>
  <c r="N29" i="22"/>
  <c r="N21" i="22"/>
  <c r="Q5" i="22"/>
  <c r="Q11" i="22"/>
  <c r="Q51" i="22"/>
  <c r="Q26" i="22"/>
  <c r="Q47" i="22"/>
  <c r="Q27" i="22"/>
  <c r="Q43" i="22"/>
  <c r="Q37" i="22"/>
  <c r="Q29" i="22"/>
  <c r="Q17" i="22"/>
  <c r="Q20" i="22"/>
  <c r="Q33" i="22"/>
  <c r="Q12" i="22"/>
  <c r="N18" i="22"/>
  <c r="N40" i="22"/>
  <c r="Q32" i="22"/>
  <c r="Q25" i="22"/>
  <c r="Q42" i="22"/>
  <c r="Q18" i="22"/>
  <c r="Q7" i="22"/>
  <c r="Q45" i="22"/>
  <c r="Q23" i="22"/>
  <c r="N26" i="22"/>
  <c r="N22" i="22"/>
  <c r="N28" i="22"/>
  <c r="N33" i="22"/>
  <c r="Q47" i="21"/>
  <c r="Q43" i="21"/>
  <c r="Q51" i="21"/>
  <c r="Q49" i="21"/>
  <c r="Q42" i="21"/>
  <c r="Q41" i="21"/>
  <c r="Q44" i="21"/>
  <c r="Q48" i="21"/>
  <c r="Q40" i="21"/>
  <c r="Q45" i="21"/>
  <c r="Q50" i="21"/>
  <c r="Q46" i="21"/>
  <c r="Q35" i="21"/>
  <c r="Q32" i="21"/>
  <c r="Q27" i="21"/>
  <c r="Q25" i="21"/>
  <c r="Q21" i="21"/>
  <c r="Q9" i="21"/>
  <c r="Q5" i="21"/>
  <c r="Q34" i="21"/>
  <c r="Q37" i="21"/>
  <c r="Q23" i="21"/>
  <c r="Q15" i="21"/>
  <c r="Q13" i="21"/>
  <c r="Q11" i="21"/>
  <c r="Q7" i="21"/>
  <c r="Q19" i="21"/>
  <c r="Q29" i="21"/>
  <c r="Q17" i="21"/>
  <c r="N33" i="21"/>
  <c r="N19" i="21"/>
  <c r="N22" i="21"/>
  <c r="N26" i="21"/>
  <c r="Q14" i="21"/>
  <c r="N20" i="21"/>
  <c r="N24" i="21"/>
  <c r="Q30" i="21"/>
  <c r="N25" i="21"/>
  <c r="N29" i="21"/>
  <c r="Q16" i="21"/>
  <c r="N37" i="21"/>
  <c r="Q24" i="21"/>
  <c r="N23" i="21"/>
  <c r="N27" i="21"/>
  <c r="N18" i="21"/>
  <c r="N38" i="21"/>
  <c r="Q39" i="21"/>
  <c r="Q18" i="21"/>
  <c r="N32" i="21"/>
  <c r="N36" i="21"/>
  <c r="Q28" i="21"/>
  <c r="N21" i="21"/>
  <c r="Q38" i="21"/>
  <c r="Q20" i="21"/>
  <c r="Q8" i="21"/>
  <c r="N39" i="21"/>
  <c r="Q36" i="21"/>
  <c r="N34" i="21"/>
  <c r="N35" i="21"/>
  <c r="Q6" i="21"/>
  <c r="Q22" i="21"/>
  <c r="Q31" i="21"/>
  <c r="N17" i="21"/>
  <c r="N28" i="21"/>
  <c r="N31" i="21"/>
  <c r="Q10" i="21"/>
  <c r="Q26" i="21"/>
  <c r="N30" i="21"/>
  <c r="Q33" i="21"/>
  <c r="Q12" i="21"/>
  <c r="N16" i="21"/>
  <c r="P7" i="21"/>
  <c r="F8" i="21"/>
  <c r="P6" i="20"/>
  <c r="F8" i="20"/>
  <c r="I8" i="20" s="1"/>
  <c r="N12" i="20"/>
  <c r="V11" i="20" s="1"/>
  <c r="Y11" i="20" s="1"/>
  <c r="N22" i="20"/>
  <c r="V21" i="20" s="1"/>
  <c r="Y21" i="20" s="1"/>
  <c r="N14" i="20"/>
  <c r="V13" i="20" s="1"/>
  <c r="Y13" i="20" s="1"/>
  <c r="N26" i="20"/>
  <c r="V25" i="20" s="1"/>
  <c r="Y25" i="20" s="1"/>
  <c r="N10" i="20"/>
  <c r="V9" i="20" s="1"/>
  <c r="Y9" i="20" s="1"/>
  <c r="V3" i="20"/>
  <c r="Y3" i="20" s="1"/>
  <c r="N8" i="20"/>
  <c r="V7" i="20" s="1"/>
  <c r="Y7" i="20" s="1"/>
  <c r="N18" i="20"/>
  <c r="V17" i="20" s="1"/>
  <c r="Y17" i="20" s="1"/>
  <c r="Q11" i="20"/>
  <c r="Q10" i="20"/>
  <c r="N11" i="20"/>
  <c r="V10" i="20" s="1"/>
  <c r="Y10" i="20" s="1"/>
  <c r="N15" i="20"/>
  <c r="V14" i="20" s="1"/>
  <c r="Y14" i="20" s="1"/>
  <c r="Q31" i="20"/>
  <c r="Q35" i="20"/>
  <c r="N17" i="20"/>
  <c r="V16" i="20" s="1"/>
  <c r="Y16" i="20" s="1"/>
  <c r="Q18" i="20"/>
  <c r="Q17" i="20"/>
  <c r="Q33" i="20"/>
  <c r="Q34" i="20"/>
  <c r="Q38" i="20"/>
  <c r="Q20" i="20"/>
  <c r="Q28" i="20"/>
  <c r="Q14" i="20"/>
  <c r="Q21" i="20"/>
  <c r="Q36" i="20"/>
  <c r="N25" i="20"/>
  <c r="V24" i="20" s="1"/>
  <c r="Y24" i="20" s="1"/>
  <c r="N7" i="20"/>
  <c r="V6" i="20" s="1"/>
  <c r="Y6" i="20" s="1"/>
  <c r="Q30" i="20"/>
  <c r="Q27" i="20"/>
  <c r="Q26" i="20"/>
  <c r="Q25" i="20"/>
  <c r="N27" i="20"/>
  <c r="V26" i="20" s="1"/>
  <c r="Y26" i="20" s="1"/>
  <c r="Q7" i="20"/>
  <c r="Q3" i="20"/>
  <c r="Q8" i="20"/>
  <c r="N21" i="20"/>
  <c r="V20" i="20" s="1"/>
  <c r="Y20" i="20" s="1"/>
  <c r="Q5" i="20"/>
  <c r="Q22" i="20"/>
  <c r="Q29" i="20"/>
  <c r="Q15" i="20"/>
  <c r="Q4" i="20"/>
  <c r="Q12" i="20"/>
  <c r="N5" i="20"/>
  <c r="V4" i="20" s="1"/>
  <c r="Y4" i="20" s="1"/>
  <c r="Q9" i="20"/>
  <c r="N23" i="20"/>
  <c r="V22" i="20" s="1"/>
  <c r="Y22" i="20" s="1"/>
  <c r="Q37" i="20"/>
  <c r="Q19" i="20"/>
  <c r="N19" i="20"/>
  <c r="V18" i="20" s="1"/>
  <c r="Y18" i="20" s="1"/>
  <c r="N9" i="20"/>
  <c r="V8" i="20" s="1"/>
  <c r="Y8" i="20" s="1"/>
  <c r="Q13" i="20"/>
  <c r="Q16" i="20"/>
  <c r="Q24" i="20"/>
  <c r="V2" i="20"/>
  <c r="Y2" i="20" s="1"/>
  <c r="Q6" i="20"/>
  <c r="Q23" i="20"/>
  <c r="N13" i="20"/>
  <c r="V12" i="20" s="1"/>
  <c r="Y12" i="20" s="1"/>
  <c r="Q32" i="20"/>
  <c r="N16" i="20"/>
  <c r="V15" i="20" s="1"/>
  <c r="Y15" i="20" s="1"/>
  <c r="N24" i="20"/>
  <c r="V23" i="20" s="1"/>
  <c r="Y23" i="20" s="1"/>
  <c r="N20" i="20"/>
  <c r="V19" i="20" s="1"/>
  <c r="Y19" i="20" s="1"/>
  <c r="N6" i="20"/>
  <c r="V5" i="20" s="1"/>
  <c r="Y5" i="20" s="1"/>
  <c r="Q4" i="19"/>
  <c r="F7" i="19"/>
  <c r="P7" i="19"/>
  <c r="Q48" i="19"/>
  <c r="Q44" i="19"/>
  <c r="Q40" i="19"/>
  <c r="Q36" i="19"/>
  <c r="Q32" i="19"/>
  <c r="Q33" i="19"/>
  <c r="Q7" i="19"/>
  <c r="Q14" i="19"/>
  <c r="Q34" i="19"/>
  <c r="Q47" i="19"/>
  <c r="Q28" i="19"/>
  <c r="Q38" i="19"/>
  <c r="Q35" i="19"/>
  <c r="Q15" i="19"/>
  <c r="Q46" i="19"/>
  <c r="Q10" i="19"/>
  <c r="Q37" i="19"/>
  <c r="Q51" i="19"/>
  <c r="Q18" i="19"/>
  <c r="Q49" i="19"/>
  <c r="Q50" i="19"/>
  <c r="Q16" i="19"/>
  <c r="Q11" i="19"/>
  <c r="Q13" i="19"/>
  <c r="Q20" i="19"/>
  <c r="Q42" i="19"/>
  <c r="Q43" i="19"/>
  <c r="Q19" i="19"/>
  <c r="Q25" i="19"/>
  <c r="Q17" i="19"/>
  <c r="Q29" i="19"/>
  <c r="Q39" i="19"/>
  <c r="Q21" i="19"/>
  <c r="Q41" i="19"/>
  <c r="Q24" i="19"/>
  <c r="Q23" i="19"/>
  <c r="Q45" i="19"/>
  <c r="Q27" i="19"/>
  <c r="Q6" i="19"/>
  <c r="Q5" i="19"/>
  <c r="Q22" i="19"/>
  <c r="Q8" i="19"/>
  <c r="Q26" i="19"/>
  <c r="Q9" i="19"/>
  <c r="Q30" i="19"/>
  <c r="Q31" i="19"/>
  <c r="Q12" i="19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6" i="6"/>
  <c r="U35" i="5"/>
  <c r="U11" i="5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5" i="18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" i="3"/>
  <c r="P3" i="17"/>
  <c r="I3" i="17"/>
  <c r="M4" i="17" s="1"/>
  <c r="E5" i="17"/>
  <c r="G5" i="17" s="1"/>
  <c r="E6" i="17"/>
  <c r="G6" i="17" s="1"/>
  <c r="J6" i="17" s="1"/>
  <c r="E7" i="17"/>
  <c r="E8" i="17"/>
  <c r="E9" i="17"/>
  <c r="G9" i="17" s="1"/>
  <c r="J9" i="17" s="1"/>
  <c r="E10" i="17"/>
  <c r="G10" i="17" s="1"/>
  <c r="J10" i="17" s="1"/>
  <c r="E11" i="17"/>
  <c r="E12" i="17"/>
  <c r="E13" i="17"/>
  <c r="G13" i="17" s="1"/>
  <c r="J13" i="17" s="1"/>
  <c r="E14" i="17"/>
  <c r="G14" i="17" s="1"/>
  <c r="J14" i="17" s="1"/>
  <c r="E15" i="17"/>
  <c r="E16" i="17"/>
  <c r="E17" i="17"/>
  <c r="G17" i="17" s="1"/>
  <c r="J17" i="17" s="1"/>
  <c r="E18" i="17"/>
  <c r="G18" i="17" s="1"/>
  <c r="J18" i="17" s="1"/>
  <c r="E19" i="17"/>
  <c r="E20" i="17"/>
  <c r="E21" i="17"/>
  <c r="G21" i="17" s="1"/>
  <c r="J21" i="17" s="1"/>
  <c r="E22" i="17"/>
  <c r="G22" i="17" s="1"/>
  <c r="J22" i="17" s="1"/>
  <c r="E23" i="17"/>
  <c r="E24" i="17"/>
  <c r="E25" i="17"/>
  <c r="G25" i="17" s="1"/>
  <c r="J25" i="17" s="1"/>
  <c r="E26" i="17"/>
  <c r="G26" i="17" s="1"/>
  <c r="J26" i="17" s="1"/>
  <c r="E27" i="17"/>
  <c r="E28" i="17"/>
  <c r="E29" i="17"/>
  <c r="G29" i="17" s="1"/>
  <c r="E30" i="17"/>
  <c r="G30" i="17" s="1"/>
  <c r="E31" i="17"/>
  <c r="E32" i="17"/>
  <c r="E33" i="17"/>
  <c r="G33" i="17" s="1"/>
  <c r="E34" i="17"/>
  <c r="G34" i="17" s="1"/>
  <c r="E35" i="17"/>
  <c r="E36" i="17"/>
  <c r="E37" i="17"/>
  <c r="G37" i="17" s="1"/>
  <c r="E38" i="17"/>
  <c r="G38" i="17" s="1"/>
  <c r="E39" i="17"/>
  <c r="E40" i="17"/>
  <c r="E41" i="17"/>
  <c r="E42" i="17"/>
  <c r="G42" i="17" s="1"/>
  <c r="E43" i="17"/>
  <c r="E44" i="17"/>
  <c r="G44" i="17" s="1"/>
  <c r="E45" i="17"/>
  <c r="G45" i="17" s="1"/>
  <c r="E46" i="17"/>
  <c r="G46" i="17" s="1"/>
  <c r="E47" i="17"/>
  <c r="E48" i="17"/>
  <c r="E49" i="17"/>
  <c r="G49" i="17" s="1"/>
  <c r="E50" i="17"/>
  <c r="G50" i="17" s="1"/>
  <c r="E4" i="17"/>
  <c r="G4" i="17" s="1"/>
  <c r="G7" i="17"/>
  <c r="J7" i="17" s="1"/>
  <c r="G8" i="17"/>
  <c r="J8" i="17" s="1"/>
  <c r="G11" i="17"/>
  <c r="G12" i="17"/>
  <c r="J12" i="17" s="1"/>
  <c r="G15" i="17"/>
  <c r="J15" i="17" s="1"/>
  <c r="G16" i="17"/>
  <c r="J16" i="17" s="1"/>
  <c r="G19" i="17"/>
  <c r="J19" i="17" s="1"/>
  <c r="G20" i="17"/>
  <c r="J20" i="17" s="1"/>
  <c r="G23" i="17"/>
  <c r="J23" i="17" s="1"/>
  <c r="G24" i="17"/>
  <c r="J24" i="17" s="1"/>
  <c r="G27" i="17"/>
  <c r="G28" i="17"/>
  <c r="G31" i="17"/>
  <c r="G32" i="17"/>
  <c r="G35" i="17"/>
  <c r="G36" i="17"/>
  <c r="G39" i="17"/>
  <c r="G40" i="17"/>
  <c r="G41" i="17"/>
  <c r="G43" i="17"/>
  <c r="G47" i="17"/>
  <c r="G48" i="17"/>
  <c r="E3" i="17"/>
  <c r="G3" i="17" s="1"/>
  <c r="J3" i="17" s="1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3" i="17"/>
  <c r="R49" i="5"/>
  <c r="F9" i="27" l="1"/>
  <c r="P8" i="27"/>
  <c r="B11" i="27"/>
  <c r="D10" i="27"/>
  <c r="P8" i="26"/>
  <c r="B10" i="26"/>
  <c r="D9" i="26"/>
  <c r="F9" i="26" s="1"/>
  <c r="D10" i="25"/>
  <c r="B11" i="25"/>
  <c r="F9" i="25"/>
  <c r="P8" i="25"/>
  <c r="F10" i="24"/>
  <c r="P9" i="24"/>
  <c r="D11" i="24"/>
  <c r="B12" i="24"/>
  <c r="B11" i="23"/>
  <c r="D10" i="23"/>
  <c r="P8" i="23"/>
  <c r="F9" i="23"/>
  <c r="B12" i="22"/>
  <c r="D11" i="22"/>
  <c r="P8" i="22"/>
  <c r="F10" i="22"/>
  <c r="P9" i="22"/>
  <c r="F9" i="21"/>
  <c r="P8" i="21"/>
  <c r="P7" i="20"/>
  <c r="F9" i="20"/>
  <c r="I9" i="20" s="1"/>
  <c r="F8" i="19"/>
  <c r="P8" i="19"/>
  <c r="J4" i="17"/>
  <c r="J11" i="17"/>
  <c r="F4" i="17"/>
  <c r="F5" i="17" s="1"/>
  <c r="P5" i="17" s="1"/>
  <c r="J5" i="17"/>
  <c r="I2" i="17"/>
  <c r="M3" i="17" s="1"/>
  <c r="J27" i="17"/>
  <c r="S1" i="17"/>
  <c r="N3" i="17" s="1"/>
  <c r="D6" i="15"/>
  <c r="E6" i="15"/>
  <c r="G6" i="15" s="1"/>
  <c r="D7" i="15"/>
  <c r="E7" i="15"/>
  <c r="G7" i="15" s="1"/>
  <c r="F7" i="15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D8" i="15"/>
  <c r="E8" i="15"/>
  <c r="G8" i="15" s="1"/>
  <c r="D9" i="15"/>
  <c r="E9" i="15"/>
  <c r="G9" i="15" s="1"/>
  <c r="D10" i="15"/>
  <c r="E10" i="15"/>
  <c r="G10" i="15" s="1"/>
  <c r="D11" i="15"/>
  <c r="E11" i="15"/>
  <c r="G11" i="15" s="1"/>
  <c r="D12" i="15"/>
  <c r="E12" i="15"/>
  <c r="G12" i="15" s="1"/>
  <c r="D13" i="15"/>
  <c r="E13" i="15"/>
  <c r="G13" i="15" s="1"/>
  <c r="D14" i="15"/>
  <c r="E14" i="15"/>
  <c r="G14" i="15" s="1"/>
  <c r="D15" i="15"/>
  <c r="E15" i="15"/>
  <c r="G15" i="15" s="1"/>
  <c r="D16" i="15"/>
  <c r="E16" i="15"/>
  <c r="G16" i="15" s="1"/>
  <c r="D17" i="15"/>
  <c r="E17" i="15"/>
  <c r="G17" i="15" s="1"/>
  <c r="D18" i="15"/>
  <c r="E18" i="15"/>
  <c r="G18" i="15" s="1"/>
  <c r="D19" i="15"/>
  <c r="E19" i="15"/>
  <c r="G19" i="15" s="1"/>
  <c r="D20" i="15"/>
  <c r="E20" i="15"/>
  <c r="G20" i="15" s="1"/>
  <c r="D21" i="15"/>
  <c r="E21" i="15"/>
  <c r="G21" i="15" s="1"/>
  <c r="D22" i="15"/>
  <c r="E22" i="15"/>
  <c r="G22" i="15" s="1"/>
  <c r="D23" i="15"/>
  <c r="E23" i="15"/>
  <c r="G23" i="15" s="1"/>
  <c r="D24" i="15"/>
  <c r="E24" i="15"/>
  <c r="G24" i="15" s="1"/>
  <c r="D25" i="15"/>
  <c r="E25" i="15"/>
  <c r="G25" i="15" s="1"/>
  <c r="D26" i="15"/>
  <c r="E26" i="15"/>
  <c r="G26" i="15" s="1"/>
  <c r="D27" i="15"/>
  <c r="E27" i="15"/>
  <c r="G27" i="15" s="1"/>
  <c r="D28" i="15"/>
  <c r="E28" i="15"/>
  <c r="G28" i="15" s="1"/>
  <c r="D29" i="15"/>
  <c r="E29" i="15"/>
  <c r="G29" i="15" s="1"/>
  <c r="D30" i="15"/>
  <c r="E30" i="15"/>
  <c r="G30" i="15" s="1"/>
  <c r="D31" i="15"/>
  <c r="E31" i="15"/>
  <c r="G31" i="15" s="1"/>
  <c r="D32" i="15"/>
  <c r="E32" i="15"/>
  <c r="G32" i="15" s="1"/>
  <c r="D33" i="15"/>
  <c r="E33" i="15"/>
  <c r="G33" i="15" s="1"/>
  <c r="D34" i="15"/>
  <c r="E34" i="15"/>
  <c r="G34" i="15" s="1"/>
  <c r="D35" i="15"/>
  <c r="E35" i="15"/>
  <c r="G35" i="15" s="1"/>
  <c r="D36" i="15"/>
  <c r="E36" i="15"/>
  <c r="G36" i="15" s="1"/>
  <c r="D37" i="15"/>
  <c r="E37" i="15"/>
  <c r="G37" i="15" s="1"/>
  <c r="D38" i="15"/>
  <c r="E38" i="15"/>
  <c r="G38" i="15" s="1"/>
  <c r="D39" i="15"/>
  <c r="E39" i="15"/>
  <c r="G39" i="15" s="1"/>
  <c r="D40" i="15"/>
  <c r="E40" i="15"/>
  <c r="G40" i="15" s="1"/>
  <c r="D41" i="15"/>
  <c r="E41" i="15"/>
  <c r="G41" i="15" s="1"/>
  <c r="D42" i="15"/>
  <c r="E42" i="15"/>
  <c r="G42" i="15" s="1"/>
  <c r="D43" i="15"/>
  <c r="E43" i="15"/>
  <c r="G43" i="15" s="1"/>
  <c r="D44" i="15"/>
  <c r="E44" i="15"/>
  <c r="G44" i="15" s="1"/>
  <c r="D45" i="15"/>
  <c r="E45" i="15"/>
  <c r="G45" i="15" s="1"/>
  <c r="D46" i="15"/>
  <c r="E46" i="15"/>
  <c r="G46" i="15" s="1"/>
  <c r="D47" i="15"/>
  <c r="E47" i="15"/>
  <c r="G47" i="15" s="1"/>
  <c r="D48" i="15"/>
  <c r="E48" i="15"/>
  <c r="G48" i="15" s="1"/>
  <c r="D49" i="15"/>
  <c r="E49" i="15"/>
  <c r="G49" i="15" s="1"/>
  <c r="D50" i="15"/>
  <c r="E50" i="15"/>
  <c r="G50" i="15" s="1"/>
  <c r="D51" i="15"/>
  <c r="E51" i="15"/>
  <c r="G51" i="15" s="1"/>
  <c r="D52" i="15"/>
  <c r="E52" i="15"/>
  <c r="G52" i="15" s="1"/>
  <c r="D53" i="15"/>
  <c r="E53" i="15"/>
  <c r="G53" i="15" s="1"/>
  <c r="F10" i="27" l="1"/>
  <c r="P9" i="27"/>
  <c r="D11" i="27"/>
  <c r="B12" i="27"/>
  <c r="P9" i="26"/>
  <c r="B11" i="26"/>
  <c r="D10" i="26"/>
  <c r="F10" i="26" s="1"/>
  <c r="F10" i="25"/>
  <c r="P9" i="25"/>
  <c r="D11" i="25"/>
  <c r="B12" i="25"/>
  <c r="P10" i="24"/>
  <c r="F11" i="24"/>
  <c r="B13" i="24"/>
  <c r="D12" i="24"/>
  <c r="D11" i="23"/>
  <c r="B12" i="23"/>
  <c r="P9" i="23"/>
  <c r="F10" i="23"/>
  <c r="D12" i="22"/>
  <c r="B13" i="22"/>
  <c r="P10" i="22"/>
  <c r="F11" i="22"/>
  <c r="P9" i="21"/>
  <c r="F10" i="21"/>
  <c r="P8" i="20"/>
  <c r="F10" i="20"/>
  <c r="I10" i="20" s="1"/>
  <c r="F9" i="19"/>
  <c r="P9" i="19"/>
  <c r="Q17" i="17"/>
  <c r="Q12" i="17"/>
  <c r="Q5" i="17"/>
  <c r="Q49" i="17"/>
  <c r="Q20" i="17"/>
  <c r="Q10" i="17"/>
  <c r="Q7" i="17"/>
  <c r="Q37" i="17"/>
  <c r="Q41" i="17"/>
  <c r="Q48" i="17"/>
  <c r="Q18" i="17"/>
  <c r="Q13" i="17"/>
  <c r="Q15" i="17"/>
  <c r="Q45" i="17"/>
  <c r="Q28" i="17"/>
  <c r="Q34" i="17"/>
  <c r="Q8" i="17"/>
  <c r="Q43" i="17"/>
  <c r="Q16" i="17"/>
  <c r="Q19" i="17"/>
  <c r="Q30" i="17"/>
  <c r="Q31" i="17"/>
  <c r="Q50" i="17"/>
  <c r="Q26" i="17"/>
  <c r="Q21" i="17"/>
  <c r="Q23" i="17"/>
  <c r="Q40" i="17"/>
  <c r="Q42" i="17"/>
  <c r="Q24" i="17"/>
  <c r="Q3" i="17"/>
  <c r="Q6" i="17"/>
  <c r="Q44" i="17"/>
  <c r="Q38" i="17"/>
  <c r="Q47" i="17"/>
  <c r="Q35" i="17"/>
  <c r="Q9" i="17"/>
  <c r="Q14" i="17"/>
  <c r="Q39" i="17"/>
  <c r="Q46" i="17"/>
  <c r="Q33" i="17"/>
  <c r="Q4" i="17"/>
  <c r="Q22" i="17"/>
  <c r="Q11" i="17"/>
  <c r="Q25" i="17"/>
  <c r="I4" i="17"/>
  <c r="M5" i="17" s="1"/>
  <c r="P4" i="17"/>
  <c r="Q29" i="17"/>
  <c r="Q27" i="17"/>
  <c r="Q32" i="17"/>
  <c r="Q36" i="17"/>
  <c r="N16" i="17"/>
  <c r="N11" i="17"/>
  <c r="N19" i="17"/>
  <c r="N7" i="17"/>
  <c r="N4" i="17"/>
  <c r="N15" i="17"/>
  <c r="N10" i="17"/>
  <c r="N17" i="17"/>
  <c r="N23" i="17"/>
  <c r="N18" i="17"/>
  <c r="N28" i="17"/>
  <c r="F6" i="17"/>
  <c r="P6" i="17" s="1"/>
  <c r="I5" i="17"/>
  <c r="M6" i="17" s="1"/>
  <c r="N22" i="17"/>
  <c r="N8" i="17"/>
  <c r="N13" i="17"/>
  <c r="N20" i="17"/>
  <c r="N9" i="17"/>
  <c r="N5" i="17"/>
  <c r="N25" i="17"/>
  <c r="N14" i="17"/>
  <c r="N21" i="17"/>
  <c r="N27" i="17"/>
  <c r="N26" i="17"/>
  <c r="N12" i="17"/>
  <c r="N24" i="17"/>
  <c r="N6" i="17"/>
  <c r="K17" i="12"/>
  <c r="K21" i="12"/>
  <c r="K25" i="12"/>
  <c r="K29" i="12"/>
  <c r="K33" i="12"/>
  <c r="K37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16" i="12"/>
  <c r="I17" i="12"/>
  <c r="I21" i="12"/>
  <c r="I25" i="12"/>
  <c r="I29" i="12"/>
  <c r="I33" i="12"/>
  <c r="I37" i="12"/>
  <c r="G5" i="12"/>
  <c r="G9" i="12"/>
  <c r="G13" i="12"/>
  <c r="G17" i="12"/>
  <c r="L17" i="12" s="1"/>
  <c r="N17" i="12" s="1"/>
  <c r="G21" i="12"/>
  <c r="L21" i="12" s="1"/>
  <c r="N21" i="12" s="1"/>
  <c r="G25" i="12"/>
  <c r="L25" i="12" s="1"/>
  <c r="N25" i="12" s="1"/>
  <c r="G29" i="12"/>
  <c r="L29" i="12" s="1"/>
  <c r="N29" i="12" s="1"/>
  <c r="G33" i="12"/>
  <c r="L33" i="12" s="1"/>
  <c r="N33" i="12" s="1"/>
  <c r="G37" i="12"/>
  <c r="L37" i="12" s="1"/>
  <c r="N37" i="12" s="1"/>
  <c r="G41" i="12"/>
  <c r="G45" i="12"/>
  <c r="G49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5" i="12"/>
  <c r="E5" i="12"/>
  <c r="E6" i="12"/>
  <c r="G6" i="12" s="1"/>
  <c r="E7" i="12"/>
  <c r="G7" i="12" s="1"/>
  <c r="E8" i="12"/>
  <c r="G8" i="12" s="1"/>
  <c r="E9" i="12"/>
  <c r="E10" i="12"/>
  <c r="G10" i="12" s="1"/>
  <c r="E11" i="12"/>
  <c r="G11" i="12" s="1"/>
  <c r="E12" i="12"/>
  <c r="G12" i="12" s="1"/>
  <c r="E13" i="12"/>
  <c r="E14" i="12"/>
  <c r="G14" i="12" s="1"/>
  <c r="E15" i="12"/>
  <c r="N15" i="12" s="1"/>
  <c r="E16" i="12"/>
  <c r="G16" i="12" s="1"/>
  <c r="L16" i="12" s="1"/>
  <c r="N16" i="12" s="1"/>
  <c r="E17" i="12"/>
  <c r="E18" i="12"/>
  <c r="G18" i="12" s="1"/>
  <c r="L18" i="12" s="1"/>
  <c r="N18" i="12" s="1"/>
  <c r="E19" i="12"/>
  <c r="G19" i="12" s="1"/>
  <c r="L19" i="12" s="1"/>
  <c r="N19" i="12" s="1"/>
  <c r="E20" i="12"/>
  <c r="G20" i="12" s="1"/>
  <c r="L20" i="12" s="1"/>
  <c r="N20" i="12" s="1"/>
  <c r="E21" i="12"/>
  <c r="E22" i="12"/>
  <c r="G22" i="12" s="1"/>
  <c r="L22" i="12" s="1"/>
  <c r="N22" i="12" s="1"/>
  <c r="E23" i="12"/>
  <c r="G23" i="12" s="1"/>
  <c r="L23" i="12" s="1"/>
  <c r="N23" i="12" s="1"/>
  <c r="E24" i="12"/>
  <c r="G24" i="12" s="1"/>
  <c r="L24" i="12" s="1"/>
  <c r="N24" i="12" s="1"/>
  <c r="E25" i="12"/>
  <c r="E26" i="12"/>
  <c r="G26" i="12" s="1"/>
  <c r="L26" i="12" s="1"/>
  <c r="N26" i="12" s="1"/>
  <c r="E27" i="12"/>
  <c r="G27" i="12" s="1"/>
  <c r="L27" i="12" s="1"/>
  <c r="N27" i="12" s="1"/>
  <c r="E28" i="12"/>
  <c r="G28" i="12" s="1"/>
  <c r="L28" i="12" s="1"/>
  <c r="N28" i="12" s="1"/>
  <c r="E29" i="12"/>
  <c r="E30" i="12"/>
  <c r="G30" i="12" s="1"/>
  <c r="L30" i="12" s="1"/>
  <c r="N30" i="12" s="1"/>
  <c r="E31" i="12"/>
  <c r="G31" i="12" s="1"/>
  <c r="L31" i="12" s="1"/>
  <c r="N31" i="12" s="1"/>
  <c r="E32" i="12"/>
  <c r="G32" i="12" s="1"/>
  <c r="L32" i="12" s="1"/>
  <c r="N32" i="12" s="1"/>
  <c r="E33" i="12"/>
  <c r="E34" i="12"/>
  <c r="G34" i="12" s="1"/>
  <c r="L34" i="12" s="1"/>
  <c r="N34" i="12" s="1"/>
  <c r="E35" i="12"/>
  <c r="G35" i="12" s="1"/>
  <c r="L35" i="12" s="1"/>
  <c r="N35" i="12" s="1"/>
  <c r="E36" i="12"/>
  <c r="G36" i="12" s="1"/>
  <c r="L36" i="12" s="1"/>
  <c r="N36" i="12" s="1"/>
  <c r="E37" i="12"/>
  <c r="E38" i="12"/>
  <c r="G38" i="12" s="1"/>
  <c r="L38" i="12" s="1"/>
  <c r="N38" i="12" s="1"/>
  <c r="E39" i="12"/>
  <c r="G39" i="12" s="1"/>
  <c r="L39" i="12" s="1"/>
  <c r="N39" i="12" s="1"/>
  <c r="E40" i="12"/>
  <c r="N40" i="12" s="1"/>
  <c r="E41" i="12"/>
  <c r="E42" i="12"/>
  <c r="G42" i="12" s="1"/>
  <c r="E43" i="12"/>
  <c r="G43" i="12" s="1"/>
  <c r="E44" i="12"/>
  <c r="G44" i="12" s="1"/>
  <c r="E45" i="12"/>
  <c r="E46" i="12"/>
  <c r="G46" i="12" s="1"/>
  <c r="E47" i="12"/>
  <c r="G47" i="12" s="1"/>
  <c r="E48" i="12"/>
  <c r="G48" i="12" s="1"/>
  <c r="E49" i="12"/>
  <c r="E50" i="12"/>
  <c r="G50" i="12" s="1"/>
  <c r="E51" i="12"/>
  <c r="G51" i="12" s="1"/>
  <c r="E4" i="12"/>
  <c r="G4" i="12" s="1"/>
  <c r="D5" i="12"/>
  <c r="D6" i="12"/>
  <c r="D7" i="12"/>
  <c r="D8" i="12"/>
  <c r="D9" i="12"/>
  <c r="D10" i="12"/>
  <c r="D11" i="12"/>
  <c r="D12" i="12"/>
  <c r="D13" i="12"/>
  <c r="D14" i="12"/>
  <c r="D15" i="12"/>
  <c r="D16" i="12"/>
  <c r="K16" i="12" s="1"/>
  <c r="D17" i="12"/>
  <c r="D18" i="12"/>
  <c r="K18" i="12" s="1"/>
  <c r="D19" i="12"/>
  <c r="K19" i="12" s="1"/>
  <c r="D20" i="12"/>
  <c r="K20" i="12" s="1"/>
  <c r="D21" i="12"/>
  <c r="D22" i="12"/>
  <c r="K22" i="12" s="1"/>
  <c r="D23" i="12"/>
  <c r="K23" i="12" s="1"/>
  <c r="D24" i="12"/>
  <c r="K24" i="12" s="1"/>
  <c r="D25" i="12"/>
  <c r="D26" i="12"/>
  <c r="K26" i="12" s="1"/>
  <c r="D27" i="12"/>
  <c r="K27" i="12" s="1"/>
  <c r="D28" i="12"/>
  <c r="K28" i="12" s="1"/>
  <c r="D29" i="12"/>
  <c r="D30" i="12"/>
  <c r="K30" i="12" s="1"/>
  <c r="D31" i="12"/>
  <c r="K31" i="12" s="1"/>
  <c r="D32" i="12"/>
  <c r="K32" i="12" s="1"/>
  <c r="D33" i="12"/>
  <c r="D34" i="12"/>
  <c r="K34" i="12" s="1"/>
  <c r="D35" i="12"/>
  <c r="K35" i="12" s="1"/>
  <c r="D36" i="12"/>
  <c r="K36" i="12" s="1"/>
  <c r="D37" i="12"/>
  <c r="D38" i="12"/>
  <c r="K38" i="12" s="1"/>
  <c r="D39" i="12"/>
  <c r="K39" i="12" s="1"/>
  <c r="D40" i="12"/>
  <c r="D41" i="12"/>
  <c r="D42" i="12"/>
  <c r="D43" i="12"/>
  <c r="D44" i="12"/>
  <c r="D45" i="12"/>
  <c r="D46" i="12"/>
  <c r="D47" i="12"/>
  <c r="D48" i="12"/>
  <c r="D49" i="12"/>
  <c r="D50" i="12"/>
  <c r="D51" i="12"/>
  <c r="D4" i="12"/>
  <c r="R125" i="14"/>
  <c r="V125" i="14" s="1"/>
  <c r="X125" i="14" s="1"/>
  <c r="R126" i="14"/>
  <c r="V126" i="14" s="1"/>
  <c r="X126" i="14" s="1"/>
  <c r="R127" i="14"/>
  <c r="V127" i="14" s="1"/>
  <c r="X127" i="14" s="1"/>
  <c r="R128" i="14"/>
  <c r="V128" i="14" s="1"/>
  <c r="X128" i="14" s="1"/>
  <c r="R129" i="14"/>
  <c r="V129" i="14" s="1"/>
  <c r="X129" i="14" s="1"/>
  <c r="R130" i="14"/>
  <c r="V130" i="14" s="1"/>
  <c r="X130" i="14" s="1"/>
  <c r="R131" i="14"/>
  <c r="V131" i="14" s="1"/>
  <c r="X131" i="14" s="1"/>
  <c r="R132" i="14"/>
  <c r="V132" i="14" s="1"/>
  <c r="X132" i="14" s="1"/>
  <c r="R133" i="14"/>
  <c r="V133" i="14" s="1"/>
  <c r="X133" i="14" s="1"/>
  <c r="R134" i="14"/>
  <c r="V134" i="14" s="1"/>
  <c r="X134" i="14" s="1"/>
  <c r="R135" i="14"/>
  <c r="V135" i="14" s="1"/>
  <c r="X135" i="14" s="1"/>
  <c r="R136" i="14"/>
  <c r="V136" i="14" s="1"/>
  <c r="X136" i="14" s="1"/>
  <c r="R137" i="14"/>
  <c r="V137" i="14" s="1"/>
  <c r="X137" i="14" s="1"/>
  <c r="R138" i="14"/>
  <c r="V138" i="14" s="1"/>
  <c r="X138" i="14" s="1"/>
  <c r="R139" i="14"/>
  <c r="V139" i="14" s="1"/>
  <c r="X139" i="14" s="1"/>
  <c r="R140" i="14"/>
  <c r="V140" i="14" s="1"/>
  <c r="X140" i="14" s="1"/>
  <c r="R141" i="14"/>
  <c r="V141" i="14" s="1"/>
  <c r="X141" i="14" s="1"/>
  <c r="R142" i="14"/>
  <c r="V142" i="14" s="1"/>
  <c r="X142" i="14" s="1"/>
  <c r="R143" i="14"/>
  <c r="V143" i="14" s="1"/>
  <c r="X143" i="14" s="1"/>
  <c r="R144" i="14"/>
  <c r="V144" i="14" s="1"/>
  <c r="X144" i="14" s="1"/>
  <c r="R145" i="14"/>
  <c r="V145" i="14" s="1"/>
  <c r="X145" i="14" s="1"/>
  <c r="R146" i="14"/>
  <c r="V146" i="14" s="1"/>
  <c r="X146" i="14" s="1"/>
  <c r="R147" i="14"/>
  <c r="V147" i="14" s="1"/>
  <c r="X147" i="14" s="1"/>
  <c r="R148" i="14"/>
  <c r="V148" i="14" s="1"/>
  <c r="X148" i="14" s="1"/>
  <c r="R149" i="14"/>
  <c r="V149" i="14" s="1"/>
  <c r="X149" i="14" s="1"/>
  <c r="R150" i="14"/>
  <c r="V150" i="14" s="1"/>
  <c r="X150" i="14" s="1"/>
  <c r="R151" i="14"/>
  <c r="V151" i="14" s="1"/>
  <c r="X151" i="14" s="1"/>
  <c r="M127" i="14"/>
  <c r="S127" i="14" s="1"/>
  <c r="I4" i="13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25" i="14"/>
  <c r="I127" i="14"/>
  <c r="I128" i="14" s="1"/>
  <c r="M128" i="14" s="1"/>
  <c r="M5" i="9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M47" i="9" s="1"/>
  <c r="M48" i="9" s="1"/>
  <c r="M49" i="9" s="1"/>
  <c r="M50" i="9" s="1"/>
  <c r="M51" i="9" s="1"/>
  <c r="M52" i="9" s="1"/>
  <c r="M53" i="9" s="1"/>
  <c r="M54" i="9" s="1"/>
  <c r="M55" i="9" s="1"/>
  <c r="M56" i="9" s="1"/>
  <c r="M57" i="9" s="1"/>
  <c r="M58" i="9" s="1"/>
  <c r="M59" i="9" s="1"/>
  <c r="M60" i="9" s="1"/>
  <c r="M61" i="9" s="1"/>
  <c r="M62" i="9" s="1"/>
  <c r="M63" i="9" s="1"/>
  <c r="M64" i="9" s="1"/>
  <c r="M65" i="9" s="1"/>
  <c r="M66" i="9" s="1"/>
  <c r="M67" i="9" s="1"/>
  <c r="M68" i="9" s="1"/>
  <c r="M69" i="9" s="1"/>
  <c r="M70" i="9" s="1"/>
  <c r="M71" i="9" s="1"/>
  <c r="M72" i="9" s="1"/>
  <c r="M73" i="9" s="1"/>
  <c r="M74" i="9" s="1"/>
  <c r="M75" i="9" s="1"/>
  <c r="M76" i="9" s="1"/>
  <c r="M77" i="9" s="1"/>
  <c r="M78" i="9" s="1"/>
  <c r="M79" i="9" s="1"/>
  <c r="M80" i="9" s="1"/>
  <c r="M81" i="9" s="1"/>
  <c r="M82" i="9" s="1"/>
  <c r="M83" i="9" s="1"/>
  <c r="M84" i="9" s="1"/>
  <c r="M85" i="9" s="1"/>
  <c r="M86" i="9" s="1"/>
  <c r="M87" i="9" s="1"/>
  <c r="M88" i="9" s="1"/>
  <c r="M89" i="9" s="1"/>
  <c r="M90" i="9" s="1"/>
  <c r="M91" i="9" s="1"/>
  <c r="M92" i="9" s="1"/>
  <c r="M93" i="9" s="1"/>
  <c r="M94" i="9" s="1"/>
  <c r="M95" i="9" s="1"/>
  <c r="M96" i="9" s="1"/>
  <c r="M97" i="9" s="1"/>
  <c r="M98" i="9" s="1"/>
  <c r="M99" i="9" s="1"/>
  <c r="M100" i="9" s="1"/>
  <c r="M101" i="9" s="1"/>
  <c r="M102" i="9" s="1"/>
  <c r="M103" i="9" s="1"/>
  <c r="M104" i="9" s="1"/>
  <c r="M105" i="9" s="1"/>
  <c r="M106" i="9" s="1"/>
  <c r="M107" i="9" s="1"/>
  <c r="M108" i="9" s="1"/>
  <c r="M109" i="9" s="1"/>
  <c r="M110" i="9" s="1"/>
  <c r="M111" i="9" s="1"/>
  <c r="M112" i="9" s="1"/>
  <c r="M113" i="9" s="1"/>
  <c r="M114" i="9" s="1"/>
  <c r="M115" i="9" s="1"/>
  <c r="M116" i="9" s="1"/>
  <c r="M117" i="9" s="1"/>
  <c r="M118" i="9" s="1"/>
  <c r="M119" i="9" s="1"/>
  <c r="M120" i="9" s="1"/>
  <c r="M121" i="9" s="1"/>
  <c r="M122" i="9" s="1"/>
  <c r="M123" i="9" s="1"/>
  <c r="M124" i="9" s="1"/>
  <c r="M125" i="9" s="1"/>
  <c r="M126" i="9" s="1"/>
  <c r="M127" i="9" s="1"/>
  <c r="J5" i="9"/>
  <c r="N5" i="9" s="1"/>
  <c r="J6" i="9"/>
  <c r="N6" i="9" s="1"/>
  <c r="J7" i="9"/>
  <c r="N7" i="9" s="1"/>
  <c r="J8" i="9"/>
  <c r="N8" i="9" s="1"/>
  <c r="J9" i="9"/>
  <c r="N9" i="9" s="1"/>
  <c r="J10" i="9"/>
  <c r="N10" i="9" s="1"/>
  <c r="J11" i="9"/>
  <c r="N11" i="9" s="1"/>
  <c r="J12" i="9"/>
  <c r="N12" i="9" s="1"/>
  <c r="J13" i="9"/>
  <c r="N13" i="9" s="1"/>
  <c r="J14" i="9"/>
  <c r="N14" i="9" s="1"/>
  <c r="J15" i="9"/>
  <c r="N15" i="9" s="1"/>
  <c r="J16" i="9"/>
  <c r="N16" i="9" s="1"/>
  <c r="J17" i="9"/>
  <c r="N17" i="9" s="1"/>
  <c r="J18" i="9"/>
  <c r="N18" i="9" s="1"/>
  <c r="J19" i="9"/>
  <c r="N19" i="9" s="1"/>
  <c r="J20" i="9"/>
  <c r="N20" i="9" s="1"/>
  <c r="J21" i="9"/>
  <c r="N21" i="9" s="1"/>
  <c r="J22" i="9"/>
  <c r="N22" i="9" s="1"/>
  <c r="J23" i="9"/>
  <c r="N23" i="9" s="1"/>
  <c r="J24" i="9"/>
  <c r="N24" i="9" s="1"/>
  <c r="J25" i="9"/>
  <c r="N25" i="9" s="1"/>
  <c r="J26" i="9"/>
  <c r="N26" i="9" s="1"/>
  <c r="J27" i="9"/>
  <c r="N27" i="9" s="1"/>
  <c r="J28" i="9"/>
  <c r="N28" i="9" s="1"/>
  <c r="J29" i="9"/>
  <c r="N29" i="9" s="1"/>
  <c r="J30" i="9"/>
  <c r="N30" i="9" s="1"/>
  <c r="J31" i="9"/>
  <c r="N31" i="9" s="1"/>
  <c r="J32" i="9"/>
  <c r="N32" i="9" s="1"/>
  <c r="J33" i="9"/>
  <c r="N33" i="9" s="1"/>
  <c r="J34" i="9"/>
  <c r="N34" i="9" s="1"/>
  <c r="J35" i="9"/>
  <c r="N35" i="9" s="1"/>
  <c r="J36" i="9"/>
  <c r="N36" i="9" s="1"/>
  <c r="J37" i="9"/>
  <c r="N37" i="9" s="1"/>
  <c r="J38" i="9"/>
  <c r="N38" i="9" s="1"/>
  <c r="J39" i="9"/>
  <c r="N39" i="9" s="1"/>
  <c r="J40" i="9"/>
  <c r="N40" i="9" s="1"/>
  <c r="J41" i="9"/>
  <c r="N41" i="9" s="1"/>
  <c r="J42" i="9"/>
  <c r="N42" i="9" s="1"/>
  <c r="J43" i="9"/>
  <c r="N43" i="9" s="1"/>
  <c r="J44" i="9"/>
  <c r="N44" i="9" s="1"/>
  <c r="J45" i="9"/>
  <c r="N45" i="9" s="1"/>
  <c r="J46" i="9"/>
  <c r="N46" i="9" s="1"/>
  <c r="J47" i="9"/>
  <c r="N47" i="9" s="1"/>
  <c r="J48" i="9"/>
  <c r="N48" i="9" s="1"/>
  <c r="J49" i="9"/>
  <c r="N49" i="9" s="1"/>
  <c r="J50" i="9"/>
  <c r="N50" i="9" s="1"/>
  <c r="J51" i="9"/>
  <c r="N51" i="9" s="1"/>
  <c r="J52" i="9"/>
  <c r="N52" i="9" s="1"/>
  <c r="J53" i="9"/>
  <c r="N53" i="9" s="1"/>
  <c r="J54" i="9"/>
  <c r="N54" i="9" s="1"/>
  <c r="J55" i="9"/>
  <c r="N55" i="9" s="1"/>
  <c r="J56" i="9"/>
  <c r="N56" i="9" s="1"/>
  <c r="J57" i="9"/>
  <c r="N57" i="9" s="1"/>
  <c r="J58" i="9"/>
  <c r="N58" i="9" s="1"/>
  <c r="J59" i="9"/>
  <c r="N59" i="9" s="1"/>
  <c r="J60" i="9"/>
  <c r="N60" i="9" s="1"/>
  <c r="J61" i="9"/>
  <c r="N61" i="9" s="1"/>
  <c r="J62" i="9"/>
  <c r="N62" i="9" s="1"/>
  <c r="J63" i="9"/>
  <c r="N63" i="9" s="1"/>
  <c r="J64" i="9"/>
  <c r="N64" i="9" s="1"/>
  <c r="J65" i="9"/>
  <c r="N65" i="9" s="1"/>
  <c r="J66" i="9"/>
  <c r="N66" i="9" s="1"/>
  <c r="J67" i="9"/>
  <c r="N67" i="9" s="1"/>
  <c r="J68" i="9"/>
  <c r="N68" i="9" s="1"/>
  <c r="J69" i="9"/>
  <c r="N69" i="9" s="1"/>
  <c r="J70" i="9"/>
  <c r="N70" i="9" s="1"/>
  <c r="J71" i="9"/>
  <c r="N71" i="9" s="1"/>
  <c r="J72" i="9"/>
  <c r="N72" i="9" s="1"/>
  <c r="J73" i="9"/>
  <c r="N73" i="9" s="1"/>
  <c r="J74" i="9"/>
  <c r="N74" i="9" s="1"/>
  <c r="J75" i="9"/>
  <c r="N75" i="9" s="1"/>
  <c r="J76" i="9"/>
  <c r="N76" i="9" s="1"/>
  <c r="J77" i="9"/>
  <c r="N77" i="9" s="1"/>
  <c r="J78" i="9"/>
  <c r="N78" i="9" s="1"/>
  <c r="J79" i="9"/>
  <c r="N79" i="9" s="1"/>
  <c r="J80" i="9"/>
  <c r="N80" i="9" s="1"/>
  <c r="J81" i="9"/>
  <c r="N81" i="9" s="1"/>
  <c r="J82" i="9"/>
  <c r="N82" i="9" s="1"/>
  <c r="J83" i="9"/>
  <c r="N83" i="9" s="1"/>
  <c r="J84" i="9"/>
  <c r="N84" i="9" s="1"/>
  <c r="J85" i="9"/>
  <c r="N85" i="9" s="1"/>
  <c r="J86" i="9"/>
  <c r="N86" i="9" s="1"/>
  <c r="J87" i="9"/>
  <c r="N87" i="9" s="1"/>
  <c r="J88" i="9"/>
  <c r="N88" i="9" s="1"/>
  <c r="J89" i="9"/>
  <c r="N89" i="9" s="1"/>
  <c r="J90" i="9"/>
  <c r="N90" i="9" s="1"/>
  <c r="J91" i="9"/>
  <c r="N91" i="9" s="1"/>
  <c r="J92" i="9"/>
  <c r="N92" i="9" s="1"/>
  <c r="J93" i="9"/>
  <c r="N93" i="9" s="1"/>
  <c r="J94" i="9"/>
  <c r="N94" i="9" s="1"/>
  <c r="J95" i="9"/>
  <c r="N95" i="9" s="1"/>
  <c r="J96" i="9"/>
  <c r="N96" i="9" s="1"/>
  <c r="J97" i="9"/>
  <c r="N97" i="9" s="1"/>
  <c r="J98" i="9"/>
  <c r="N98" i="9" s="1"/>
  <c r="J99" i="9"/>
  <c r="N99" i="9" s="1"/>
  <c r="J100" i="9"/>
  <c r="N100" i="9" s="1"/>
  <c r="J101" i="9"/>
  <c r="N101" i="9" s="1"/>
  <c r="J102" i="9"/>
  <c r="N102" i="9" s="1"/>
  <c r="J103" i="9"/>
  <c r="N103" i="9" s="1"/>
  <c r="J104" i="9"/>
  <c r="N104" i="9" s="1"/>
  <c r="J105" i="9"/>
  <c r="N105" i="9" s="1"/>
  <c r="J106" i="9"/>
  <c r="N106" i="9" s="1"/>
  <c r="J107" i="9"/>
  <c r="N107" i="9" s="1"/>
  <c r="J108" i="9"/>
  <c r="N108" i="9" s="1"/>
  <c r="J109" i="9"/>
  <c r="N109" i="9" s="1"/>
  <c r="J110" i="9"/>
  <c r="N110" i="9" s="1"/>
  <c r="J111" i="9"/>
  <c r="N111" i="9" s="1"/>
  <c r="J112" i="9"/>
  <c r="N112" i="9" s="1"/>
  <c r="J113" i="9"/>
  <c r="N113" i="9" s="1"/>
  <c r="J114" i="9"/>
  <c r="N114" i="9" s="1"/>
  <c r="J115" i="9"/>
  <c r="N115" i="9" s="1"/>
  <c r="J116" i="9"/>
  <c r="N116" i="9" s="1"/>
  <c r="J117" i="9"/>
  <c r="N117" i="9" s="1"/>
  <c r="J118" i="9"/>
  <c r="N118" i="9" s="1"/>
  <c r="J119" i="9"/>
  <c r="N119" i="9" s="1"/>
  <c r="J120" i="9"/>
  <c r="N120" i="9" s="1"/>
  <c r="J121" i="9"/>
  <c r="N121" i="9" s="1"/>
  <c r="J122" i="9"/>
  <c r="N122" i="9" s="1"/>
  <c r="J123" i="9"/>
  <c r="N123" i="9" s="1"/>
  <c r="J124" i="9"/>
  <c r="N124" i="9" s="1"/>
  <c r="J125" i="9"/>
  <c r="N125" i="9" s="1"/>
  <c r="J126" i="9"/>
  <c r="N126" i="9" s="1"/>
  <c r="P126" i="9" s="1"/>
  <c r="J127" i="9"/>
  <c r="N127" i="9" s="1"/>
  <c r="P127" i="9" s="1"/>
  <c r="J128" i="9"/>
  <c r="N128" i="9" s="1"/>
  <c r="P128" i="9" s="1"/>
  <c r="J129" i="9"/>
  <c r="N129" i="9" s="1"/>
  <c r="P129" i="9" s="1"/>
  <c r="J130" i="9"/>
  <c r="N130" i="9" s="1"/>
  <c r="P130" i="9" s="1"/>
  <c r="J131" i="9"/>
  <c r="N131" i="9" s="1"/>
  <c r="P131" i="9" s="1"/>
  <c r="J132" i="9"/>
  <c r="N132" i="9" s="1"/>
  <c r="P132" i="9" s="1"/>
  <c r="J133" i="9"/>
  <c r="N133" i="9" s="1"/>
  <c r="P133" i="9" s="1"/>
  <c r="J134" i="9"/>
  <c r="N134" i="9" s="1"/>
  <c r="P134" i="9" s="1"/>
  <c r="J135" i="9"/>
  <c r="N135" i="9" s="1"/>
  <c r="P135" i="9" s="1"/>
  <c r="J136" i="9"/>
  <c r="N136" i="9" s="1"/>
  <c r="P136" i="9" s="1"/>
  <c r="J137" i="9"/>
  <c r="N137" i="9" s="1"/>
  <c r="P137" i="9" s="1"/>
  <c r="J138" i="9"/>
  <c r="N138" i="9" s="1"/>
  <c r="P138" i="9" s="1"/>
  <c r="J139" i="9"/>
  <c r="N139" i="9" s="1"/>
  <c r="P139" i="9" s="1"/>
  <c r="J140" i="9"/>
  <c r="N140" i="9" s="1"/>
  <c r="P140" i="9" s="1"/>
  <c r="J141" i="9"/>
  <c r="N141" i="9" s="1"/>
  <c r="P141" i="9" s="1"/>
  <c r="J142" i="9"/>
  <c r="N142" i="9" s="1"/>
  <c r="P142" i="9" s="1"/>
  <c r="J143" i="9"/>
  <c r="N143" i="9" s="1"/>
  <c r="P143" i="9" s="1"/>
  <c r="J144" i="9"/>
  <c r="N144" i="9" s="1"/>
  <c r="P144" i="9" s="1"/>
  <c r="J145" i="9"/>
  <c r="N145" i="9" s="1"/>
  <c r="P145" i="9" s="1"/>
  <c r="J146" i="9"/>
  <c r="N146" i="9" s="1"/>
  <c r="P146" i="9" s="1"/>
  <c r="J147" i="9"/>
  <c r="N147" i="9" s="1"/>
  <c r="P147" i="9" s="1"/>
  <c r="J148" i="9"/>
  <c r="N148" i="9" s="1"/>
  <c r="P148" i="9" s="1"/>
  <c r="J149" i="9"/>
  <c r="N149" i="9" s="1"/>
  <c r="P149" i="9" s="1"/>
  <c r="J150" i="9"/>
  <c r="N150" i="9" s="1"/>
  <c r="P150" i="9" s="1"/>
  <c r="J151" i="9"/>
  <c r="N151" i="9" s="1"/>
  <c r="J152" i="9"/>
  <c r="N152" i="9" s="1"/>
  <c r="J153" i="9"/>
  <c r="N153" i="9" s="1"/>
  <c r="J154" i="9"/>
  <c r="N154" i="9" s="1"/>
  <c r="J155" i="9"/>
  <c r="N155" i="9" s="1"/>
  <c r="J156" i="9"/>
  <c r="N156" i="9" s="1"/>
  <c r="J157" i="9"/>
  <c r="N157" i="9" s="1"/>
  <c r="J158" i="9"/>
  <c r="N158" i="9" s="1"/>
  <c r="J159" i="9"/>
  <c r="N159" i="9" s="1"/>
  <c r="J160" i="9"/>
  <c r="N160" i="9" s="1"/>
  <c r="J161" i="9"/>
  <c r="N161" i="9" s="1"/>
  <c r="J162" i="9"/>
  <c r="N162" i="9" s="1"/>
  <c r="J163" i="9"/>
  <c r="N163" i="9" s="1"/>
  <c r="J164" i="9"/>
  <c r="N164" i="9" s="1"/>
  <c r="J165" i="9"/>
  <c r="N165" i="9" s="1"/>
  <c r="J166" i="9"/>
  <c r="N166" i="9" s="1"/>
  <c r="J167" i="9"/>
  <c r="N167" i="9" s="1"/>
  <c r="J168" i="9"/>
  <c r="N168" i="9" s="1"/>
  <c r="J169" i="9"/>
  <c r="N169" i="9" s="1"/>
  <c r="J170" i="9"/>
  <c r="N170" i="9" s="1"/>
  <c r="J171" i="9"/>
  <c r="N171" i="9" s="1"/>
  <c r="J4" i="9"/>
  <c r="N4" i="9" s="1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4" i="9"/>
  <c r="P28" i="13"/>
  <c r="P22" i="13"/>
  <c r="P19" i="13"/>
  <c r="P31" i="13"/>
  <c r="O26" i="13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2" i="13"/>
  <c r="S42" i="13"/>
  <c r="S17" i="13"/>
  <c r="B13" i="27" l="1"/>
  <c r="D12" i="27"/>
  <c r="F11" i="27"/>
  <c r="P10" i="27"/>
  <c r="F11" i="26"/>
  <c r="P10" i="26"/>
  <c r="B12" i="26"/>
  <c r="D11" i="26"/>
  <c r="B13" i="25"/>
  <c r="D12" i="25"/>
  <c r="F11" i="25"/>
  <c r="P10" i="25"/>
  <c r="B14" i="24"/>
  <c r="D13" i="24"/>
  <c r="F12" i="24"/>
  <c r="P11" i="24"/>
  <c r="F11" i="23"/>
  <c r="P10" i="23"/>
  <c r="B13" i="23"/>
  <c r="D12" i="23"/>
  <c r="D13" i="22"/>
  <c r="B14" i="22"/>
  <c r="F12" i="22"/>
  <c r="P11" i="22"/>
  <c r="F11" i="21"/>
  <c r="P10" i="21"/>
  <c r="F11" i="20"/>
  <c r="I11" i="20" s="1"/>
  <c r="P9" i="20"/>
  <c r="P10" i="19"/>
  <c r="F10" i="19"/>
  <c r="S128" i="14"/>
  <c r="U128" i="14"/>
  <c r="F17" i="12"/>
  <c r="M16" i="12"/>
  <c r="M15" i="12" s="1"/>
  <c r="I125" i="14"/>
  <c r="G15" i="12"/>
  <c r="I35" i="12"/>
  <c r="I27" i="12"/>
  <c r="I19" i="12"/>
  <c r="M126" i="14"/>
  <c r="S126" i="14" s="1"/>
  <c r="U127" i="14"/>
  <c r="I34" i="12"/>
  <c r="I26" i="12"/>
  <c r="I18" i="12"/>
  <c r="M125" i="14"/>
  <c r="S125" i="14" s="1"/>
  <c r="I16" i="12"/>
  <c r="I32" i="12"/>
  <c r="I24" i="12"/>
  <c r="L147" i="9"/>
  <c r="I39" i="12"/>
  <c r="I31" i="12"/>
  <c r="I23" i="12"/>
  <c r="L139" i="9"/>
  <c r="I38" i="12"/>
  <c r="I30" i="12"/>
  <c r="I22" i="12"/>
  <c r="L131" i="9"/>
  <c r="G40" i="12"/>
  <c r="I36" i="12"/>
  <c r="I28" i="12"/>
  <c r="I20" i="12"/>
  <c r="F7" i="17"/>
  <c r="P7" i="17" s="1"/>
  <c r="I6" i="17"/>
  <c r="M7" i="17" s="1"/>
  <c r="I129" i="14"/>
  <c r="I130" i="14" s="1"/>
  <c r="I131" i="14" s="1"/>
  <c r="I132" i="14" s="1"/>
  <c r="I133" i="14" s="1"/>
  <c r="I134" i="14" s="1"/>
  <c r="I135" i="14" s="1"/>
  <c r="I136" i="14" s="1"/>
  <c r="I137" i="14" s="1"/>
  <c r="I138" i="14" s="1"/>
  <c r="I139" i="14" s="1"/>
  <c r="I140" i="14" s="1"/>
  <c r="I141" i="14" s="1"/>
  <c r="I142" i="14" s="1"/>
  <c r="I143" i="14" s="1"/>
  <c r="I144" i="14" s="1"/>
  <c r="I145" i="14" s="1"/>
  <c r="I146" i="14" s="1"/>
  <c r="I147" i="14" s="1"/>
  <c r="I148" i="14" s="1"/>
  <c r="I149" i="14" s="1"/>
  <c r="I150" i="14" s="1"/>
  <c r="I151" i="14" s="1"/>
  <c r="I126" i="14"/>
  <c r="M128" i="9"/>
  <c r="O127" i="9"/>
  <c r="O126" i="9" s="1"/>
  <c r="L146" i="9"/>
  <c r="L138" i="9"/>
  <c r="L130" i="9"/>
  <c r="L145" i="9"/>
  <c r="L137" i="9"/>
  <c r="L129" i="9"/>
  <c r="L144" i="9"/>
  <c r="L136" i="9"/>
  <c r="L128" i="9"/>
  <c r="L127" i="9"/>
  <c r="L143" i="9"/>
  <c r="L135" i="9"/>
  <c r="L150" i="9"/>
  <c r="L142" i="9"/>
  <c r="L134" i="9"/>
  <c r="L149" i="9"/>
  <c r="L141" i="9"/>
  <c r="L133" i="9"/>
  <c r="L148" i="9"/>
  <c r="L140" i="9"/>
  <c r="L132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27" i="9"/>
  <c r="G128" i="9"/>
  <c r="K128" i="9" s="1"/>
  <c r="G129" i="9"/>
  <c r="K129" i="9" s="1"/>
  <c r="G130" i="9"/>
  <c r="K130" i="9" s="1"/>
  <c r="G131" i="9"/>
  <c r="K131" i="9" s="1"/>
  <c r="G132" i="9"/>
  <c r="K132" i="9" s="1"/>
  <c r="G133" i="9"/>
  <c r="K133" i="9" s="1"/>
  <c r="G134" i="9"/>
  <c r="K134" i="9" s="1"/>
  <c r="G135" i="9"/>
  <c r="K135" i="9" s="1"/>
  <c r="G136" i="9"/>
  <c r="K136" i="9" s="1"/>
  <c r="G137" i="9"/>
  <c r="K137" i="9" s="1"/>
  <c r="G138" i="9"/>
  <c r="K138" i="9" s="1"/>
  <c r="G139" i="9"/>
  <c r="K139" i="9" s="1"/>
  <c r="G140" i="9"/>
  <c r="K140" i="9" s="1"/>
  <c r="G141" i="9"/>
  <c r="K141" i="9" s="1"/>
  <c r="G142" i="9"/>
  <c r="K142" i="9" s="1"/>
  <c r="G143" i="9"/>
  <c r="K143" i="9" s="1"/>
  <c r="G144" i="9"/>
  <c r="K144" i="9" s="1"/>
  <c r="G145" i="9"/>
  <c r="K145" i="9" s="1"/>
  <c r="G146" i="9"/>
  <c r="K146" i="9" s="1"/>
  <c r="G147" i="9"/>
  <c r="K147" i="9" s="1"/>
  <c r="G148" i="9"/>
  <c r="K148" i="9" s="1"/>
  <c r="G149" i="9"/>
  <c r="K149" i="9" s="1"/>
  <c r="G150" i="9"/>
  <c r="K150" i="9" s="1"/>
  <c r="G127" i="9"/>
  <c r="K127" i="9" s="1"/>
  <c r="Q18" i="13"/>
  <c r="O3" i="13"/>
  <c r="L19" i="13"/>
  <c r="L20" i="13"/>
  <c r="N20" i="13" s="1"/>
  <c r="L21" i="13"/>
  <c r="L22" i="13"/>
  <c r="N22" i="13" s="1"/>
  <c r="L23" i="13"/>
  <c r="N23" i="13" s="1"/>
  <c r="L24" i="13"/>
  <c r="L25" i="13"/>
  <c r="N25" i="13" s="1"/>
  <c r="L26" i="13"/>
  <c r="N26" i="13" s="1"/>
  <c r="L27" i="13"/>
  <c r="L28" i="13"/>
  <c r="N28" i="13" s="1"/>
  <c r="L29" i="13"/>
  <c r="L30" i="13"/>
  <c r="N30" i="13" s="1"/>
  <c r="L31" i="13"/>
  <c r="N31" i="13" s="1"/>
  <c r="L32" i="13"/>
  <c r="N32" i="13" s="1"/>
  <c r="L33" i="13"/>
  <c r="L34" i="13"/>
  <c r="N34" i="13" s="1"/>
  <c r="L35" i="13"/>
  <c r="L36" i="13"/>
  <c r="N36" i="13" s="1"/>
  <c r="L37" i="13"/>
  <c r="L38" i="13"/>
  <c r="N38" i="13" s="1"/>
  <c r="L39" i="13"/>
  <c r="N39" i="13" s="1"/>
  <c r="L40" i="13"/>
  <c r="L41" i="13"/>
  <c r="L18" i="13"/>
  <c r="N18" i="13" s="1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3" i="13"/>
  <c r="I5" i="13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44" i="13" s="1"/>
  <c r="I45" i="13" s="1"/>
  <c r="I46" i="13" s="1"/>
  <c r="I47" i="13" s="1"/>
  <c r="I48" i="13" s="1"/>
  <c r="I49" i="13" s="1"/>
  <c r="I50" i="13" s="1"/>
  <c r="O50" i="13" s="1"/>
  <c r="G19" i="13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F12" i="27" l="1"/>
  <c r="P11" i="27"/>
  <c r="D13" i="27"/>
  <c r="B14" i="27"/>
  <c r="F12" i="26"/>
  <c r="P11" i="26"/>
  <c r="B13" i="26"/>
  <c r="D12" i="26"/>
  <c r="F12" i="25"/>
  <c r="P11" i="25"/>
  <c r="B14" i="25"/>
  <c r="D13" i="25"/>
  <c r="F13" i="24"/>
  <c r="P12" i="24"/>
  <c r="B15" i="24"/>
  <c r="D14" i="24"/>
  <c r="F12" i="23"/>
  <c r="P11" i="23"/>
  <c r="B14" i="23"/>
  <c r="D13" i="23"/>
  <c r="B15" i="22"/>
  <c r="D14" i="22"/>
  <c r="P12" i="22"/>
  <c r="F13" i="22"/>
  <c r="P11" i="21"/>
  <c r="F12" i="21"/>
  <c r="F12" i="20"/>
  <c r="I12" i="20" s="1"/>
  <c r="P10" i="20"/>
  <c r="P11" i="19"/>
  <c r="F11" i="19"/>
  <c r="F18" i="12"/>
  <c r="M17" i="12"/>
  <c r="M129" i="14"/>
  <c r="F8" i="17"/>
  <c r="P8" i="17" s="1"/>
  <c r="I7" i="17"/>
  <c r="M8" i="17" s="1"/>
  <c r="M129" i="9"/>
  <c r="O128" i="9"/>
  <c r="R27" i="13"/>
  <c r="S27" i="13" s="1"/>
  <c r="P50" i="13"/>
  <c r="P26" i="13"/>
  <c r="P49" i="13"/>
  <c r="P33" i="13"/>
  <c r="P17" i="13"/>
  <c r="R33" i="13"/>
  <c r="S33" i="13" s="1"/>
  <c r="P40" i="13"/>
  <c r="P16" i="13"/>
  <c r="R24" i="13"/>
  <c r="S24" i="13" s="1"/>
  <c r="R19" i="13"/>
  <c r="S19" i="13" s="1"/>
  <c r="P42" i="13"/>
  <c r="P18" i="13"/>
  <c r="P41" i="13"/>
  <c r="P25" i="13"/>
  <c r="R41" i="13"/>
  <c r="S41" i="13" s="1"/>
  <c r="P48" i="13"/>
  <c r="P32" i="13"/>
  <c r="P24" i="13"/>
  <c r="P8" i="13"/>
  <c r="R40" i="13"/>
  <c r="S40" i="13" s="1"/>
  <c r="P47" i="13"/>
  <c r="P39" i="13"/>
  <c r="P23" i="13"/>
  <c r="P15" i="13"/>
  <c r="P7" i="13"/>
  <c r="R35" i="13"/>
  <c r="S35" i="13" s="1"/>
  <c r="P46" i="13"/>
  <c r="P38" i="13"/>
  <c r="P30" i="13"/>
  <c r="S25" i="13"/>
  <c r="P14" i="13"/>
  <c r="R26" i="13"/>
  <c r="S26" i="13" s="1"/>
  <c r="P45" i="13"/>
  <c r="P37" i="13"/>
  <c r="P21" i="13"/>
  <c r="P13" i="13"/>
  <c r="P5" i="13"/>
  <c r="R37" i="13"/>
  <c r="S37" i="13" s="1"/>
  <c r="R29" i="13"/>
  <c r="S29" i="13" s="1"/>
  <c r="R21" i="13"/>
  <c r="S21" i="13" s="1"/>
  <c r="P44" i="13"/>
  <c r="P36" i="13"/>
  <c r="P20" i="13"/>
  <c r="P12" i="13"/>
  <c r="P4" i="13"/>
  <c r="P34" i="13"/>
  <c r="P10" i="13"/>
  <c r="P9" i="13"/>
  <c r="N33" i="13"/>
  <c r="O19" i="13"/>
  <c r="N40" i="13"/>
  <c r="N24" i="13"/>
  <c r="O42" i="13"/>
  <c r="O18" i="13"/>
  <c r="R18" i="13"/>
  <c r="S18" i="13" s="1"/>
  <c r="P3" i="13"/>
  <c r="P43" i="13"/>
  <c r="P35" i="13"/>
  <c r="P27" i="13"/>
  <c r="S20" i="13"/>
  <c r="P11" i="13"/>
  <c r="O49" i="13"/>
  <c r="O41" i="13"/>
  <c r="O33" i="13"/>
  <c r="O25" i="13"/>
  <c r="O17" i="13"/>
  <c r="O9" i="13"/>
  <c r="R32" i="13"/>
  <c r="S32" i="13" s="1"/>
  <c r="O48" i="13"/>
  <c r="O16" i="13"/>
  <c r="R39" i="13"/>
  <c r="S39" i="13" s="1"/>
  <c r="R31" i="13"/>
  <c r="S31" i="13" s="1"/>
  <c r="N37" i="13"/>
  <c r="N29" i="13"/>
  <c r="N21" i="13"/>
  <c r="O47" i="13"/>
  <c r="O39" i="13"/>
  <c r="O31" i="13"/>
  <c r="O23" i="13"/>
  <c r="O15" i="13"/>
  <c r="O7" i="13"/>
  <c r="R38" i="13"/>
  <c r="S38" i="13" s="1"/>
  <c r="R30" i="13"/>
  <c r="S30" i="13" s="1"/>
  <c r="R22" i="13"/>
  <c r="S22" i="13" s="1"/>
  <c r="O27" i="13"/>
  <c r="O34" i="13"/>
  <c r="O10" i="13"/>
  <c r="R25" i="13"/>
  <c r="O40" i="13"/>
  <c r="O32" i="13"/>
  <c r="O24" i="13"/>
  <c r="O8" i="13"/>
  <c r="R23" i="13"/>
  <c r="S23" i="13" s="1"/>
  <c r="K19" i="13"/>
  <c r="O46" i="13"/>
  <c r="O38" i="13"/>
  <c r="O30" i="13"/>
  <c r="O22" i="13"/>
  <c r="O14" i="13"/>
  <c r="O6" i="13"/>
  <c r="O11" i="13"/>
  <c r="N35" i="13"/>
  <c r="N27" i="13"/>
  <c r="N19" i="13"/>
  <c r="O45" i="13"/>
  <c r="O37" i="13"/>
  <c r="O29" i="13"/>
  <c r="O21" i="13"/>
  <c r="O13" i="13"/>
  <c r="O5" i="13"/>
  <c r="R36" i="13"/>
  <c r="S36" i="13" s="1"/>
  <c r="R28" i="13"/>
  <c r="S28" i="13" s="1"/>
  <c r="R20" i="13"/>
  <c r="P6" i="13"/>
  <c r="M19" i="13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O44" i="13"/>
  <c r="O36" i="13"/>
  <c r="O28" i="13"/>
  <c r="O20" i="13"/>
  <c r="O12" i="13"/>
  <c r="O4" i="13"/>
  <c r="N41" i="13"/>
  <c r="O43" i="13"/>
  <c r="O35" i="13"/>
  <c r="R34" i="13"/>
  <c r="S34" i="13" s="1"/>
  <c r="P12" i="27" l="1"/>
  <c r="F13" i="27"/>
  <c r="B15" i="27"/>
  <c r="D14" i="27"/>
  <c r="P12" i="26"/>
  <c r="D13" i="26"/>
  <c r="F13" i="26" s="1"/>
  <c r="B14" i="26"/>
  <c r="B15" i="25"/>
  <c r="D14" i="25"/>
  <c r="F13" i="25"/>
  <c r="P12" i="25"/>
  <c r="F14" i="24"/>
  <c r="P13" i="24"/>
  <c r="B16" i="24"/>
  <c r="D15" i="24"/>
  <c r="B15" i="23"/>
  <c r="D14" i="23"/>
  <c r="F13" i="23"/>
  <c r="P12" i="23"/>
  <c r="B16" i="22"/>
  <c r="D15" i="22"/>
  <c r="P13" i="22"/>
  <c r="F14" i="22"/>
  <c r="F13" i="21"/>
  <c r="P12" i="21"/>
  <c r="P11" i="20"/>
  <c r="F13" i="20"/>
  <c r="I13" i="20" s="1"/>
  <c r="F12" i="19"/>
  <c r="P12" i="19"/>
  <c r="M130" i="14"/>
  <c r="S129" i="14"/>
  <c r="U129" i="14"/>
  <c r="F19" i="12"/>
  <c r="M18" i="12"/>
  <c r="F9" i="17"/>
  <c r="P9" i="17" s="1"/>
  <c r="I8" i="17"/>
  <c r="M9" i="17" s="1"/>
  <c r="M130" i="9"/>
  <c r="O129" i="9"/>
  <c r="Q19" i="13"/>
  <c r="K20" i="13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2" i="10"/>
  <c r="G3" i="10"/>
  <c r="Q4" i="10" s="1"/>
  <c r="G4" i="10"/>
  <c r="Q5" i="10" s="1"/>
  <c r="G5" i="10"/>
  <c r="Q6" i="10" s="1"/>
  <c r="G6" i="10"/>
  <c r="Q7" i="10" s="1"/>
  <c r="G7" i="10"/>
  <c r="Q8" i="10" s="1"/>
  <c r="G8" i="10"/>
  <c r="Q9" i="10" s="1"/>
  <c r="G9" i="10"/>
  <c r="Q10" i="10" s="1"/>
  <c r="G10" i="10"/>
  <c r="Q11" i="10" s="1"/>
  <c r="G11" i="10"/>
  <c r="Q12" i="10" s="1"/>
  <c r="G12" i="10"/>
  <c r="Q13" i="10" s="1"/>
  <c r="G13" i="10"/>
  <c r="Q14" i="10" s="1"/>
  <c r="G14" i="10"/>
  <c r="Q15" i="10" s="1"/>
  <c r="G15" i="10"/>
  <c r="Q16" i="10" s="1"/>
  <c r="G16" i="10"/>
  <c r="Q17" i="10" s="1"/>
  <c r="G17" i="10"/>
  <c r="Q18" i="10" s="1"/>
  <c r="G18" i="10"/>
  <c r="Q19" i="10" s="1"/>
  <c r="G19" i="10"/>
  <c r="Q20" i="10" s="1"/>
  <c r="G20" i="10"/>
  <c r="Q21" i="10" s="1"/>
  <c r="G21" i="10"/>
  <c r="Q22" i="10" s="1"/>
  <c r="G22" i="10"/>
  <c r="Q23" i="10" s="1"/>
  <c r="G23" i="10"/>
  <c r="Q24" i="10" s="1"/>
  <c r="G24" i="10"/>
  <c r="Q25" i="10" s="1"/>
  <c r="G25" i="10"/>
  <c r="Q26" i="10" s="1"/>
  <c r="G26" i="10"/>
  <c r="Q27" i="10" s="1"/>
  <c r="G27" i="10"/>
  <c r="Q28" i="10" s="1"/>
  <c r="G28" i="10"/>
  <c r="Q29" i="10" s="1"/>
  <c r="G29" i="10"/>
  <c r="Q30" i="10" s="1"/>
  <c r="G30" i="10"/>
  <c r="Q31" i="10" s="1"/>
  <c r="G31" i="10"/>
  <c r="Q32" i="10" s="1"/>
  <c r="G32" i="10"/>
  <c r="Q33" i="10" s="1"/>
  <c r="G33" i="10"/>
  <c r="Q34" i="10" s="1"/>
  <c r="G34" i="10"/>
  <c r="Q35" i="10" s="1"/>
  <c r="G35" i="10"/>
  <c r="Q36" i="10" s="1"/>
  <c r="G36" i="10"/>
  <c r="Q37" i="10" s="1"/>
  <c r="G37" i="10"/>
  <c r="Q38" i="10" s="1"/>
  <c r="G38" i="10"/>
  <c r="Q39" i="10" s="1"/>
  <c r="G39" i="10"/>
  <c r="Q40" i="10" s="1"/>
  <c r="G40" i="10"/>
  <c r="Q41" i="10" s="1"/>
  <c r="G41" i="10"/>
  <c r="Q42" i="10" s="1"/>
  <c r="G42" i="10"/>
  <c r="Q43" i="10" s="1"/>
  <c r="G43" i="10"/>
  <c r="Q44" i="10" s="1"/>
  <c r="G44" i="10"/>
  <c r="Q45" i="10" s="1"/>
  <c r="G45" i="10"/>
  <c r="Q46" i="10" s="1"/>
  <c r="G46" i="10"/>
  <c r="Q47" i="10" s="1"/>
  <c r="G47" i="10"/>
  <c r="Q48" i="10" s="1"/>
  <c r="G48" i="10"/>
  <c r="Q49" i="10" s="1"/>
  <c r="G49" i="10"/>
  <c r="Q50" i="10" s="1"/>
  <c r="G2" i="10"/>
  <c r="Q3" i="10" s="1"/>
  <c r="F49" i="10"/>
  <c r="J49" i="10" s="1"/>
  <c r="F48" i="10"/>
  <c r="J48" i="10" s="1"/>
  <c r="F46" i="10"/>
  <c r="J46" i="10" s="1"/>
  <c r="F44" i="10"/>
  <c r="J44" i="10" s="1"/>
  <c r="F42" i="10"/>
  <c r="F43" i="10" s="1"/>
  <c r="J43" i="10" s="1"/>
  <c r="F40" i="10"/>
  <c r="F38" i="10"/>
  <c r="J38" i="10" s="1"/>
  <c r="F36" i="10"/>
  <c r="F37" i="10" s="1"/>
  <c r="J37" i="10" s="1"/>
  <c r="F34" i="10"/>
  <c r="F32" i="10"/>
  <c r="J32" i="10" s="1"/>
  <c r="F30" i="10"/>
  <c r="J30" i="10" s="1"/>
  <c r="F28" i="10"/>
  <c r="J28" i="10" s="1"/>
  <c r="F26" i="10"/>
  <c r="D26" i="10"/>
  <c r="E7" i="4"/>
  <c r="B16" i="27" l="1"/>
  <c r="D15" i="27"/>
  <c r="F14" i="27"/>
  <c r="P13" i="27"/>
  <c r="F14" i="26"/>
  <c r="P13" i="26"/>
  <c r="B15" i="26"/>
  <c r="D14" i="26"/>
  <c r="P13" i="25"/>
  <c r="F14" i="25"/>
  <c r="B16" i="25"/>
  <c r="D15" i="25"/>
  <c r="D16" i="24"/>
  <c r="B17" i="24"/>
  <c r="F15" i="24"/>
  <c r="P14" i="24"/>
  <c r="D15" i="23"/>
  <c r="B16" i="23"/>
  <c r="P13" i="23"/>
  <c r="F14" i="23"/>
  <c r="B17" i="22"/>
  <c r="D16" i="22"/>
  <c r="P14" i="22"/>
  <c r="F15" i="22"/>
  <c r="P13" i="21"/>
  <c r="F14" i="21"/>
  <c r="P12" i="20"/>
  <c r="F14" i="20"/>
  <c r="I14" i="20" s="1"/>
  <c r="P13" i="19"/>
  <c r="F13" i="19"/>
  <c r="F45" i="10"/>
  <c r="J45" i="10" s="1"/>
  <c r="F33" i="10"/>
  <c r="J33" i="10" s="1"/>
  <c r="F47" i="10"/>
  <c r="J47" i="10" s="1"/>
  <c r="F29" i="10"/>
  <c r="J29" i="10" s="1"/>
  <c r="F27" i="10"/>
  <c r="J27" i="10" s="1"/>
  <c r="F41" i="10"/>
  <c r="J41" i="10" s="1"/>
  <c r="F20" i="12"/>
  <c r="M19" i="12"/>
  <c r="J51" i="10"/>
  <c r="J25" i="10"/>
  <c r="M131" i="14"/>
  <c r="U130" i="14"/>
  <c r="S130" i="14"/>
  <c r="D27" i="10"/>
  <c r="I26" i="10"/>
  <c r="F31" i="10"/>
  <c r="J31" i="10" s="1"/>
  <c r="J26" i="10"/>
  <c r="J42" i="10"/>
  <c r="J34" i="10"/>
  <c r="J36" i="10"/>
  <c r="F35" i="10"/>
  <c r="J35" i="10" s="1"/>
  <c r="F39" i="10"/>
  <c r="J39" i="10" s="1"/>
  <c r="J40" i="10"/>
  <c r="F10" i="17"/>
  <c r="P10" i="17" s="1"/>
  <c r="I9" i="17"/>
  <c r="M10" i="17" s="1"/>
  <c r="M131" i="9"/>
  <c r="O130" i="9"/>
  <c r="K21" i="13"/>
  <c r="Q20" i="13"/>
  <c r="AC69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1" i="1"/>
  <c r="Y68" i="1"/>
  <c r="AC68" i="1" s="1"/>
  <c r="Y69" i="1"/>
  <c r="Y70" i="1"/>
  <c r="AC70" i="1" s="1"/>
  <c r="Y71" i="1"/>
  <c r="AC71" i="1" s="1"/>
  <c r="Y72" i="1"/>
  <c r="AC72" i="1" s="1"/>
  <c r="Y67" i="1"/>
  <c r="AC67" i="1" s="1"/>
  <c r="F15" i="27" l="1"/>
  <c r="P14" i="27"/>
  <c r="D16" i="27"/>
  <c r="B17" i="27"/>
  <c r="B16" i="26"/>
  <c r="D15" i="26"/>
  <c r="F15" i="26" s="1"/>
  <c r="P14" i="26"/>
  <c r="B17" i="25"/>
  <c r="D16" i="25"/>
  <c r="P14" i="25"/>
  <c r="F15" i="25"/>
  <c r="P15" i="24"/>
  <c r="F16" i="24"/>
  <c r="D17" i="24"/>
  <c r="B18" i="24"/>
  <c r="F15" i="23"/>
  <c r="P14" i="23"/>
  <c r="D16" i="23"/>
  <c r="B17" i="23"/>
  <c r="D17" i="22"/>
  <c r="B18" i="22"/>
  <c r="P15" i="22"/>
  <c r="F16" i="22"/>
  <c r="F15" i="21"/>
  <c r="P14" i="21"/>
  <c r="F15" i="20"/>
  <c r="I15" i="20" s="1"/>
  <c r="P13" i="20"/>
  <c r="P14" i="19"/>
  <c r="F14" i="19"/>
  <c r="O1" i="10"/>
  <c r="F21" i="12"/>
  <c r="M20" i="12"/>
  <c r="M132" i="14"/>
  <c r="U131" i="14"/>
  <c r="S131" i="14"/>
  <c r="D28" i="10"/>
  <c r="I27" i="10"/>
  <c r="F11" i="17"/>
  <c r="P11" i="17" s="1"/>
  <c r="I10" i="17"/>
  <c r="M11" i="17" s="1"/>
  <c r="M132" i="9"/>
  <c r="O131" i="9"/>
  <c r="K22" i="13"/>
  <c r="Q21" i="13"/>
  <c r="AA26" i="1"/>
  <c r="AA27" i="1"/>
  <c r="AA32" i="1"/>
  <c r="AA34" i="1"/>
  <c r="AA35" i="1"/>
  <c r="AA40" i="1"/>
  <c r="AA43" i="1"/>
  <c r="AA48" i="1"/>
  <c r="AA51" i="1"/>
  <c r="AA56" i="1"/>
  <c r="AA59" i="1"/>
  <c r="AA64" i="1"/>
  <c r="AA67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24" i="1"/>
  <c r="Y2" i="1"/>
  <c r="AC2" i="1" s="1"/>
  <c r="Y3" i="1"/>
  <c r="AC3" i="1" s="1"/>
  <c r="Y4" i="1"/>
  <c r="AC4" i="1" s="1"/>
  <c r="Y5" i="1"/>
  <c r="AC5" i="1" s="1"/>
  <c r="Y6" i="1"/>
  <c r="AC6" i="1" s="1"/>
  <c r="Y7" i="1"/>
  <c r="AC7" i="1" s="1"/>
  <c r="Y8" i="1"/>
  <c r="AC8" i="1" s="1"/>
  <c r="Y9" i="1"/>
  <c r="AC9" i="1" s="1"/>
  <c r="Y10" i="1"/>
  <c r="AC10" i="1" s="1"/>
  <c r="Y11" i="1"/>
  <c r="AC11" i="1" s="1"/>
  <c r="Y12" i="1"/>
  <c r="AC12" i="1" s="1"/>
  <c r="Y13" i="1"/>
  <c r="AC13" i="1" s="1"/>
  <c r="Y14" i="1"/>
  <c r="AC14" i="1" s="1"/>
  <c r="Y15" i="1"/>
  <c r="AC15" i="1" s="1"/>
  <c r="Y16" i="1"/>
  <c r="AC16" i="1" s="1"/>
  <c r="Y17" i="1"/>
  <c r="AC17" i="1" s="1"/>
  <c r="Y18" i="1"/>
  <c r="AC18" i="1" s="1"/>
  <c r="Y19" i="1"/>
  <c r="AC19" i="1" s="1"/>
  <c r="Y20" i="1"/>
  <c r="AC20" i="1" s="1"/>
  <c r="Y21" i="1"/>
  <c r="AC21" i="1" s="1"/>
  <c r="Y22" i="1"/>
  <c r="AC22" i="1" s="1"/>
  <c r="Y23" i="1"/>
  <c r="AC23" i="1" s="1"/>
  <c r="Y24" i="1"/>
  <c r="AC24" i="1" s="1"/>
  <c r="Y25" i="1"/>
  <c r="AC25" i="1" s="1"/>
  <c r="Y26" i="1"/>
  <c r="AC26" i="1" s="1"/>
  <c r="Y27" i="1"/>
  <c r="AC27" i="1" s="1"/>
  <c r="Y28" i="1"/>
  <c r="AC28" i="1" s="1"/>
  <c r="Y29" i="1"/>
  <c r="AC29" i="1" s="1"/>
  <c r="Y30" i="1"/>
  <c r="AC30" i="1" s="1"/>
  <c r="Y31" i="1"/>
  <c r="AC31" i="1" s="1"/>
  <c r="Y32" i="1"/>
  <c r="AC32" i="1" s="1"/>
  <c r="Y33" i="1"/>
  <c r="AC33" i="1" s="1"/>
  <c r="Y34" i="1"/>
  <c r="AC34" i="1" s="1"/>
  <c r="Y35" i="1"/>
  <c r="AC35" i="1" s="1"/>
  <c r="Y36" i="1"/>
  <c r="AC36" i="1" s="1"/>
  <c r="Y37" i="1"/>
  <c r="AC37" i="1" s="1"/>
  <c r="Y38" i="1"/>
  <c r="AC38" i="1" s="1"/>
  <c r="Y39" i="1"/>
  <c r="AC39" i="1" s="1"/>
  <c r="Y40" i="1"/>
  <c r="AC40" i="1" s="1"/>
  <c r="Y41" i="1"/>
  <c r="AC41" i="1" s="1"/>
  <c r="Y42" i="1"/>
  <c r="AC42" i="1" s="1"/>
  <c r="Y43" i="1"/>
  <c r="AC43" i="1" s="1"/>
  <c r="Y44" i="1"/>
  <c r="AC44" i="1" s="1"/>
  <c r="Y45" i="1"/>
  <c r="AC45" i="1" s="1"/>
  <c r="Y46" i="1"/>
  <c r="AC46" i="1" s="1"/>
  <c r="Y47" i="1"/>
  <c r="AC47" i="1" s="1"/>
  <c r="Y48" i="1"/>
  <c r="AC48" i="1" s="1"/>
  <c r="Y49" i="1"/>
  <c r="AC49" i="1" s="1"/>
  <c r="Y50" i="1"/>
  <c r="AC50" i="1" s="1"/>
  <c r="Y51" i="1"/>
  <c r="AC51" i="1" s="1"/>
  <c r="Y52" i="1"/>
  <c r="AC52" i="1" s="1"/>
  <c r="Y53" i="1"/>
  <c r="AC53" i="1" s="1"/>
  <c r="Y54" i="1"/>
  <c r="AC54" i="1" s="1"/>
  <c r="Y55" i="1"/>
  <c r="AC55" i="1" s="1"/>
  <c r="Y56" i="1"/>
  <c r="AC56" i="1" s="1"/>
  <c r="Y57" i="1"/>
  <c r="AC57" i="1" s="1"/>
  <c r="Y58" i="1"/>
  <c r="AC58" i="1" s="1"/>
  <c r="Y59" i="1"/>
  <c r="AC59" i="1" s="1"/>
  <c r="Y60" i="1"/>
  <c r="AC60" i="1" s="1"/>
  <c r="Y61" i="1"/>
  <c r="AC61" i="1" s="1"/>
  <c r="Y62" i="1"/>
  <c r="AC62" i="1" s="1"/>
  <c r="Y63" i="1"/>
  <c r="AC63" i="1" s="1"/>
  <c r="Y64" i="1"/>
  <c r="AC64" i="1" s="1"/>
  <c r="Y65" i="1"/>
  <c r="AC65" i="1" s="1"/>
  <c r="Y66" i="1"/>
  <c r="AC66" i="1" s="1"/>
  <c r="Y1" i="1"/>
  <c r="AC1" i="1" s="1"/>
  <c r="D17" i="27" l="1"/>
  <c r="B18" i="27"/>
  <c r="P15" i="27"/>
  <c r="F16" i="27"/>
  <c r="P15" i="26"/>
  <c r="D16" i="26"/>
  <c r="F16" i="26" s="1"/>
  <c r="B17" i="26"/>
  <c r="P15" i="25"/>
  <c r="F16" i="25"/>
  <c r="D17" i="25"/>
  <c r="B18" i="25"/>
  <c r="F17" i="24"/>
  <c r="P16" i="24"/>
  <c r="D18" i="24"/>
  <c r="B19" i="24"/>
  <c r="F16" i="23"/>
  <c r="P15" i="23"/>
  <c r="B18" i="23"/>
  <c r="D17" i="23"/>
  <c r="B19" i="22"/>
  <c r="D18" i="22"/>
  <c r="P16" i="22"/>
  <c r="F17" i="22"/>
  <c r="P15" i="21"/>
  <c r="F16" i="21"/>
  <c r="I16" i="21" s="1"/>
  <c r="F16" i="20"/>
  <c r="I16" i="20" s="1"/>
  <c r="P14" i="20"/>
  <c r="F15" i="19"/>
  <c r="I16" i="19" s="1"/>
  <c r="P15" i="19"/>
  <c r="AA66" i="1"/>
  <c r="AA58" i="1"/>
  <c r="AA50" i="1"/>
  <c r="AA42" i="1"/>
  <c r="AA65" i="1"/>
  <c r="AA57" i="1"/>
  <c r="AA49" i="1"/>
  <c r="AA41" i="1"/>
  <c r="AA33" i="1"/>
  <c r="AA25" i="1"/>
  <c r="AA63" i="1"/>
  <c r="AA55" i="1"/>
  <c r="AA47" i="1"/>
  <c r="AA39" i="1"/>
  <c r="AA31" i="1"/>
  <c r="AA62" i="1"/>
  <c r="AA54" i="1"/>
  <c r="AA46" i="1"/>
  <c r="AA38" i="1"/>
  <c r="AA30" i="1"/>
  <c r="M133" i="14"/>
  <c r="U132" i="14"/>
  <c r="S132" i="14"/>
  <c r="AA61" i="1"/>
  <c r="AA53" i="1"/>
  <c r="AA45" i="1"/>
  <c r="AA37" i="1"/>
  <c r="AA29" i="1"/>
  <c r="AA24" i="1"/>
  <c r="AA60" i="1"/>
  <c r="AA52" i="1"/>
  <c r="AA44" i="1"/>
  <c r="AA36" i="1"/>
  <c r="AA28" i="1"/>
  <c r="F22" i="12"/>
  <c r="M21" i="12"/>
  <c r="R48" i="10"/>
  <c r="R6" i="10"/>
  <c r="R5" i="10"/>
  <c r="R12" i="10"/>
  <c r="R26" i="10"/>
  <c r="R9" i="10"/>
  <c r="R39" i="10"/>
  <c r="R24" i="10"/>
  <c r="R8" i="10"/>
  <c r="R4" i="10"/>
  <c r="R3" i="10"/>
  <c r="R18" i="10"/>
  <c r="R15" i="10"/>
  <c r="R31" i="10"/>
  <c r="R16" i="10"/>
  <c r="R43" i="10"/>
  <c r="R40" i="10"/>
  <c r="R10" i="10"/>
  <c r="R29" i="10"/>
  <c r="R36" i="10"/>
  <c r="R19" i="10"/>
  <c r="R33" i="10"/>
  <c r="R45" i="10"/>
  <c r="R47" i="10"/>
  <c r="R35" i="10"/>
  <c r="R32" i="10"/>
  <c r="R49" i="10"/>
  <c r="R46" i="10"/>
  <c r="R37" i="10"/>
  <c r="R44" i="10"/>
  <c r="R23" i="10"/>
  <c r="R27" i="10"/>
  <c r="R50" i="10"/>
  <c r="R41" i="10"/>
  <c r="R38" i="10"/>
  <c r="R7" i="10"/>
  <c r="R42" i="10"/>
  <c r="R22" i="10"/>
  <c r="R21" i="10"/>
  <c r="R28" i="10"/>
  <c r="R11" i="10"/>
  <c r="R34" i="10"/>
  <c r="R25" i="10"/>
  <c r="R14" i="10"/>
  <c r="R13" i="10"/>
  <c r="R20" i="10"/>
  <c r="R17" i="10"/>
  <c r="D29" i="10"/>
  <c r="I28" i="10"/>
  <c r="F12" i="17"/>
  <c r="P12" i="17" s="1"/>
  <c r="I11" i="17"/>
  <c r="M12" i="17" s="1"/>
  <c r="M133" i="9"/>
  <c r="O132" i="9"/>
  <c r="K23" i="13"/>
  <c r="Q22" i="13"/>
  <c r="H28" i="1"/>
  <c r="P16" i="27" l="1"/>
  <c r="F17" i="27"/>
  <c r="D18" i="27"/>
  <c r="B19" i="27"/>
  <c r="P16" i="26"/>
  <c r="B18" i="26"/>
  <c r="D17" i="26"/>
  <c r="F17" i="26" s="1"/>
  <c r="D18" i="25"/>
  <c r="B19" i="25"/>
  <c r="F17" i="25"/>
  <c r="P16" i="25"/>
  <c r="D19" i="24"/>
  <c r="B20" i="24"/>
  <c r="F18" i="24"/>
  <c r="P17" i="24"/>
  <c r="F17" i="23"/>
  <c r="P16" i="23"/>
  <c r="D18" i="23"/>
  <c r="B19" i="23"/>
  <c r="B20" i="22"/>
  <c r="D19" i="22"/>
  <c r="P17" i="22"/>
  <c r="F18" i="22"/>
  <c r="M16" i="21"/>
  <c r="M15" i="21"/>
  <c r="F17" i="21"/>
  <c r="I17" i="21" s="1"/>
  <c r="M17" i="21" s="1"/>
  <c r="P16" i="21"/>
  <c r="M4" i="20"/>
  <c r="F17" i="20"/>
  <c r="I17" i="20" s="1"/>
  <c r="P15" i="20"/>
  <c r="F16" i="19"/>
  <c r="I17" i="19" s="1"/>
  <c r="P16" i="19"/>
  <c r="M134" i="14"/>
  <c r="U133" i="14"/>
  <c r="S133" i="14"/>
  <c r="F23" i="12"/>
  <c r="M22" i="12"/>
  <c r="D30" i="10"/>
  <c r="I29" i="10"/>
  <c r="F13" i="17"/>
  <c r="P13" i="17" s="1"/>
  <c r="I12" i="17"/>
  <c r="M13" i="17" s="1"/>
  <c r="M134" i="9"/>
  <c r="O133" i="9"/>
  <c r="K24" i="13"/>
  <c r="Q23" i="13"/>
  <c r="I43" i="7"/>
  <c r="I42" i="7"/>
  <c r="I37" i="7"/>
  <c r="I35" i="7"/>
  <c r="I34" i="7"/>
  <c r="I29" i="7"/>
  <c r="I27" i="7"/>
  <c r="I26" i="7"/>
  <c r="I21" i="7"/>
  <c r="I19" i="7"/>
  <c r="I20" i="7"/>
  <c r="I22" i="7"/>
  <c r="I23" i="7"/>
  <c r="I24" i="7"/>
  <c r="I25" i="7"/>
  <c r="I28" i="7"/>
  <c r="I30" i="7"/>
  <c r="I31" i="7"/>
  <c r="I32" i="7"/>
  <c r="I33" i="7"/>
  <c r="I36" i="7"/>
  <c r="I38" i="7"/>
  <c r="I39" i="7"/>
  <c r="I40" i="7"/>
  <c r="I41" i="7"/>
  <c r="I44" i="7"/>
  <c r="J19" i="7"/>
  <c r="U44" i="7"/>
  <c r="U43" i="7"/>
  <c r="U41" i="7"/>
  <c r="U36" i="7"/>
  <c r="U33" i="7"/>
  <c r="U28" i="7"/>
  <c r="U27" i="7"/>
  <c r="U26" i="7"/>
  <c r="U25" i="7"/>
  <c r="U20" i="7"/>
  <c r="U21" i="7"/>
  <c r="U22" i="7"/>
  <c r="U23" i="7"/>
  <c r="U24" i="7"/>
  <c r="U29" i="7"/>
  <c r="U30" i="7"/>
  <c r="U31" i="7"/>
  <c r="U32" i="7"/>
  <c r="U34" i="7"/>
  <c r="U37" i="7"/>
  <c r="U38" i="7"/>
  <c r="U39" i="7"/>
  <c r="U40" i="7"/>
  <c r="U19" i="7"/>
  <c r="R21" i="7"/>
  <c r="T21" i="7" s="1"/>
  <c r="R22" i="7"/>
  <c r="T22" i="7" s="1"/>
  <c r="R23" i="7"/>
  <c r="T23" i="7" s="1"/>
  <c r="R24" i="7"/>
  <c r="T24" i="7" s="1"/>
  <c r="R25" i="7"/>
  <c r="T25" i="7" s="1"/>
  <c r="R26" i="7"/>
  <c r="T26" i="7" s="1"/>
  <c r="R27" i="7"/>
  <c r="T27" i="7" s="1"/>
  <c r="R28" i="7"/>
  <c r="T28" i="7" s="1"/>
  <c r="R29" i="7"/>
  <c r="T29" i="7" s="1"/>
  <c r="R30" i="7"/>
  <c r="T30" i="7" s="1"/>
  <c r="R31" i="7"/>
  <c r="T31" i="7" s="1"/>
  <c r="R32" i="7"/>
  <c r="T32" i="7" s="1"/>
  <c r="R33" i="7"/>
  <c r="T33" i="7" s="1"/>
  <c r="R34" i="7"/>
  <c r="T34" i="7" s="1"/>
  <c r="R35" i="7"/>
  <c r="T35" i="7" s="1"/>
  <c r="R36" i="7"/>
  <c r="T36" i="7" s="1"/>
  <c r="R37" i="7"/>
  <c r="T37" i="7" s="1"/>
  <c r="R38" i="7"/>
  <c r="T38" i="7" s="1"/>
  <c r="R39" i="7"/>
  <c r="T39" i="7" s="1"/>
  <c r="R40" i="7"/>
  <c r="T40" i="7" s="1"/>
  <c r="R41" i="7"/>
  <c r="T41" i="7" s="1"/>
  <c r="R42" i="7"/>
  <c r="T42" i="7" s="1"/>
  <c r="R43" i="7"/>
  <c r="T43" i="7" s="1"/>
  <c r="R44" i="7"/>
  <c r="T44" i="7" s="1"/>
  <c r="R19" i="7"/>
  <c r="D19" i="27" l="1"/>
  <c r="B20" i="27"/>
  <c r="F18" i="27"/>
  <c r="P17" i="27"/>
  <c r="I17" i="27"/>
  <c r="I17" i="26"/>
  <c r="P17" i="26"/>
  <c r="B19" i="26"/>
  <c r="D18" i="26"/>
  <c r="F18" i="26" s="1"/>
  <c r="F18" i="25"/>
  <c r="P17" i="25"/>
  <c r="D19" i="25"/>
  <c r="B20" i="25"/>
  <c r="M29" i="24"/>
  <c r="I4" i="24"/>
  <c r="M28" i="24" s="1"/>
  <c r="F19" i="24"/>
  <c r="P18" i="24"/>
  <c r="M30" i="24"/>
  <c r="D20" i="24"/>
  <c r="B21" i="24"/>
  <c r="I17" i="23"/>
  <c r="F18" i="23"/>
  <c r="P17" i="23"/>
  <c r="B20" i="23"/>
  <c r="D19" i="23"/>
  <c r="B21" i="22"/>
  <c r="D20" i="22"/>
  <c r="M16" i="22"/>
  <c r="M17" i="22"/>
  <c r="I18" i="22"/>
  <c r="M18" i="22" s="1"/>
  <c r="P18" i="22"/>
  <c r="F19" i="22"/>
  <c r="P17" i="21"/>
  <c r="F18" i="21"/>
  <c r="I18" i="21" s="1"/>
  <c r="M18" i="21" s="1"/>
  <c r="P16" i="20"/>
  <c r="M5" i="20"/>
  <c r="F18" i="20"/>
  <c r="I18" i="20" s="1"/>
  <c r="P17" i="19"/>
  <c r="F17" i="19"/>
  <c r="I18" i="19" s="1"/>
  <c r="M135" i="14"/>
  <c r="S134" i="14"/>
  <c r="U134" i="14"/>
  <c r="F24" i="12"/>
  <c r="M23" i="12"/>
  <c r="D31" i="10"/>
  <c r="I30" i="10"/>
  <c r="F14" i="17"/>
  <c r="P14" i="17" s="1"/>
  <c r="I13" i="17"/>
  <c r="M14" i="17" s="1"/>
  <c r="M135" i="9"/>
  <c r="O134" i="9"/>
  <c r="K25" i="13"/>
  <c r="Q24" i="13"/>
  <c r="U42" i="7"/>
  <c r="U35" i="7"/>
  <c r="F19" i="27" l="1"/>
  <c r="P18" i="27"/>
  <c r="I18" i="27"/>
  <c r="M18" i="27" s="1"/>
  <c r="M17" i="27"/>
  <c r="M16" i="27"/>
  <c r="D20" i="27"/>
  <c r="B21" i="27"/>
  <c r="I18" i="26"/>
  <c r="M18" i="26" s="1"/>
  <c r="P18" i="26"/>
  <c r="B20" i="26"/>
  <c r="D19" i="26"/>
  <c r="F19" i="26" s="1"/>
  <c r="I16" i="26"/>
  <c r="M16" i="26" s="1"/>
  <c r="M17" i="26"/>
  <c r="D20" i="25"/>
  <c r="B21" i="25"/>
  <c r="M53" i="25"/>
  <c r="I52" i="25"/>
  <c r="M52" i="25" s="1"/>
  <c r="P18" i="25"/>
  <c r="F19" i="25"/>
  <c r="M54" i="25"/>
  <c r="B22" i="24"/>
  <c r="D21" i="24"/>
  <c r="M31" i="24"/>
  <c r="F20" i="24"/>
  <c r="P19" i="24"/>
  <c r="M17" i="23"/>
  <c r="I16" i="23"/>
  <c r="M16" i="23" s="1"/>
  <c r="D20" i="23"/>
  <c r="B21" i="23"/>
  <c r="F19" i="23"/>
  <c r="P18" i="23"/>
  <c r="I18" i="23"/>
  <c r="M18" i="23" s="1"/>
  <c r="D21" i="22"/>
  <c r="B22" i="22"/>
  <c r="I19" i="22"/>
  <c r="M19" i="22" s="1"/>
  <c r="F20" i="22"/>
  <c r="P19" i="22"/>
  <c r="F19" i="21"/>
  <c r="I19" i="21" s="1"/>
  <c r="M19" i="21" s="1"/>
  <c r="P18" i="21"/>
  <c r="M6" i="20"/>
  <c r="F19" i="20"/>
  <c r="I19" i="20" s="1"/>
  <c r="P17" i="20"/>
  <c r="P18" i="19"/>
  <c r="F18" i="19"/>
  <c r="I19" i="19" s="1"/>
  <c r="M136" i="14"/>
  <c r="S135" i="14"/>
  <c r="U135" i="14"/>
  <c r="F25" i="12"/>
  <c r="M24" i="12"/>
  <c r="D32" i="10"/>
  <c r="I31" i="10"/>
  <c r="F15" i="17"/>
  <c r="P15" i="17" s="1"/>
  <c r="I14" i="17"/>
  <c r="M15" i="17" s="1"/>
  <c r="M136" i="9"/>
  <c r="O135" i="9"/>
  <c r="K26" i="13"/>
  <c r="Q25" i="13"/>
  <c r="B22" i="27" l="1"/>
  <c r="D21" i="27"/>
  <c r="F20" i="27"/>
  <c r="P19" i="27"/>
  <c r="I19" i="27"/>
  <c r="M19" i="27" s="1"/>
  <c r="F20" i="26"/>
  <c r="I19" i="26"/>
  <c r="M19" i="26" s="1"/>
  <c r="P19" i="26"/>
  <c r="B21" i="26"/>
  <c r="D20" i="26"/>
  <c r="M55" i="25"/>
  <c r="F20" i="25"/>
  <c r="P19" i="25"/>
  <c r="B22" i="25"/>
  <c r="D21" i="25"/>
  <c r="M32" i="24"/>
  <c r="F21" i="24"/>
  <c r="P20" i="24"/>
  <c r="B23" i="24"/>
  <c r="D22" i="24"/>
  <c r="B22" i="23"/>
  <c r="D21" i="23"/>
  <c r="F20" i="23"/>
  <c r="P19" i="23"/>
  <c r="I19" i="23"/>
  <c r="M19" i="23" s="1"/>
  <c r="B23" i="22"/>
  <c r="D22" i="22"/>
  <c r="P20" i="22"/>
  <c r="F21" i="22"/>
  <c r="I20" i="22"/>
  <c r="M20" i="22" s="1"/>
  <c r="P19" i="21"/>
  <c r="F20" i="21"/>
  <c r="I20" i="21" s="1"/>
  <c r="M20" i="21" s="1"/>
  <c r="P18" i="20"/>
  <c r="M7" i="20"/>
  <c r="F20" i="20"/>
  <c r="I20" i="20" s="1"/>
  <c r="F19" i="19"/>
  <c r="I20" i="19" s="1"/>
  <c r="P19" i="19"/>
  <c r="M137" i="14"/>
  <c r="S136" i="14"/>
  <c r="U136" i="14"/>
  <c r="F26" i="12"/>
  <c r="M25" i="12"/>
  <c r="D33" i="10"/>
  <c r="I32" i="10"/>
  <c r="F16" i="17"/>
  <c r="P16" i="17" s="1"/>
  <c r="I15" i="17"/>
  <c r="M16" i="17" s="1"/>
  <c r="M137" i="9"/>
  <c r="O136" i="9"/>
  <c r="K27" i="13"/>
  <c r="Q26" i="13"/>
  <c r="J43" i="7"/>
  <c r="K19" i="7"/>
  <c r="L20" i="7"/>
  <c r="S20" i="7" s="1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19" i="7"/>
  <c r="S19" i="7" s="1"/>
  <c r="J44" i="7"/>
  <c r="J20" i="7"/>
  <c r="K20" i="7" s="1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I20" i="27" l="1"/>
  <c r="M20" i="27" s="1"/>
  <c r="F21" i="27"/>
  <c r="P20" i="27"/>
  <c r="B23" i="27"/>
  <c r="D22" i="27"/>
  <c r="D21" i="26"/>
  <c r="F21" i="26" s="1"/>
  <c r="B22" i="26"/>
  <c r="I20" i="26"/>
  <c r="M20" i="26" s="1"/>
  <c r="P20" i="26"/>
  <c r="B23" i="25"/>
  <c r="D22" i="25"/>
  <c r="M56" i="25"/>
  <c r="F21" i="25"/>
  <c r="P20" i="25"/>
  <c r="D23" i="24"/>
  <c r="B24" i="24"/>
  <c r="M33" i="24"/>
  <c r="F22" i="24"/>
  <c r="P21" i="24"/>
  <c r="D22" i="23"/>
  <c r="B23" i="23"/>
  <c r="I20" i="23"/>
  <c r="M20" i="23" s="1"/>
  <c r="F21" i="23"/>
  <c r="P20" i="23"/>
  <c r="D23" i="22"/>
  <c r="B24" i="22"/>
  <c r="I21" i="22"/>
  <c r="M21" i="22" s="1"/>
  <c r="P21" i="22"/>
  <c r="F22" i="22"/>
  <c r="F21" i="21"/>
  <c r="I21" i="21" s="1"/>
  <c r="M21" i="21" s="1"/>
  <c r="P20" i="21"/>
  <c r="M8" i="20"/>
  <c r="F21" i="20"/>
  <c r="I21" i="20" s="1"/>
  <c r="P19" i="20"/>
  <c r="F20" i="19"/>
  <c r="I21" i="19" s="1"/>
  <c r="P20" i="19"/>
  <c r="M138" i="14"/>
  <c r="S137" i="14"/>
  <c r="U137" i="14"/>
  <c r="F27" i="12"/>
  <c r="M26" i="12"/>
  <c r="K22" i="7"/>
  <c r="K30" i="7"/>
  <c r="K38" i="7"/>
  <c r="K32" i="7"/>
  <c r="K25" i="7"/>
  <c r="K41" i="7"/>
  <c r="K27" i="7"/>
  <c r="K35" i="7"/>
  <c r="K28" i="7"/>
  <c r="K29" i="7"/>
  <c r="K23" i="7"/>
  <c r="K31" i="7"/>
  <c r="K39" i="7"/>
  <c r="K24" i="7"/>
  <c r="K40" i="7"/>
  <c r="K33" i="7"/>
  <c r="K34" i="7"/>
  <c r="K42" i="7"/>
  <c r="K43" i="7"/>
  <c r="K36" i="7"/>
  <c r="K44" i="7"/>
  <c r="K21" i="7"/>
  <c r="K26" i="7"/>
  <c r="K37" i="7"/>
  <c r="D34" i="10"/>
  <c r="I33" i="10"/>
  <c r="F17" i="17"/>
  <c r="P17" i="17" s="1"/>
  <c r="I16" i="17"/>
  <c r="M17" i="17" s="1"/>
  <c r="M138" i="9"/>
  <c r="O137" i="9"/>
  <c r="K28" i="13"/>
  <c r="Q27" i="13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" i="7"/>
  <c r="D23" i="27" l="1"/>
  <c r="B24" i="27"/>
  <c r="I21" i="27"/>
  <c r="M21" i="27" s="1"/>
  <c r="F22" i="27"/>
  <c r="P21" i="27"/>
  <c r="I21" i="26"/>
  <c r="M21" i="26" s="1"/>
  <c r="P21" i="26"/>
  <c r="B23" i="26"/>
  <c r="D22" i="26"/>
  <c r="F22" i="26" s="1"/>
  <c r="M57" i="25"/>
  <c r="P21" i="25"/>
  <c r="F22" i="25"/>
  <c r="D23" i="25"/>
  <c r="B24" i="25"/>
  <c r="D24" i="24"/>
  <c r="B25" i="24"/>
  <c r="P22" i="24"/>
  <c r="M34" i="24"/>
  <c r="F23" i="24"/>
  <c r="I21" i="23"/>
  <c r="M21" i="23" s="1"/>
  <c r="F22" i="23"/>
  <c r="P21" i="23"/>
  <c r="B24" i="23"/>
  <c r="D23" i="23"/>
  <c r="B25" i="22"/>
  <c r="D24" i="22"/>
  <c r="F23" i="22"/>
  <c r="P22" i="22"/>
  <c r="I22" i="22"/>
  <c r="M22" i="22" s="1"/>
  <c r="P21" i="21"/>
  <c r="F22" i="21"/>
  <c r="I22" i="21" s="1"/>
  <c r="M22" i="21" s="1"/>
  <c r="P20" i="20"/>
  <c r="M9" i="20"/>
  <c r="F22" i="20"/>
  <c r="I22" i="20" s="1"/>
  <c r="P21" i="19"/>
  <c r="F21" i="19"/>
  <c r="I22" i="19" s="1"/>
  <c r="M139" i="14"/>
  <c r="U138" i="14"/>
  <c r="S138" i="14"/>
  <c r="F28" i="12"/>
  <c r="M27" i="12"/>
  <c r="D35" i="10"/>
  <c r="I34" i="10"/>
  <c r="F18" i="17"/>
  <c r="P18" i="17" s="1"/>
  <c r="I17" i="17"/>
  <c r="M18" i="17" s="1"/>
  <c r="M139" i="9"/>
  <c r="O138" i="9"/>
  <c r="K29" i="13"/>
  <c r="Q28" i="13"/>
  <c r="K77" i="6"/>
  <c r="Q77" i="6" s="1"/>
  <c r="K79" i="6"/>
  <c r="Q79" i="6" s="1"/>
  <c r="K85" i="6"/>
  <c r="Q85" i="6" s="1"/>
  <c r="K87" i="6"/>
  <c r="Q87" i="6" s="1"/>
  <c r="K93" i="6"/>
  <c r="Q93" i="6" s="1"/>
  <c r="K95" i="6"/>
  <c r="Q95" i="6" s="1"/>
  <c r="K76" i="6"/>
  <c r="Q76" i="6" s="1"/>
  <c r="I78" i="6"/>
  <c r="K78" i="6" s="1"/>
  <c r="Q78" i="6" s="1"/>
  <c r="I79" i="6"/>
  <c r="I80" i="6"/>
  <c r="K80" i="6" s="1"/>
  <c r="Q80" i="6" s="1"/>
  <c r="I81" i="6"/>
  <c r="K81" i="6" s="1"/>
  <c r="Q81" i="6" s="1"/>
  <c r="I82" i="6"/>
  <c r="K82" i="6" s="1"/>
  <c r="Q82" i="6" s="1"/>
  <c r="I83" i="6"/>
  <c r="K83" i="6" s="1"/>
  <c r="Q83" i="6" s="1"/>
  <c r="I84" i="6"/>
  <c r="K84" i="6" s="1"/>
  <c r="Q84" i="6" s="1"/>
  <c r="I85" i="6"/>
  <c r="I86" i="6"/>
  <c r="K86" i="6" s="1"/>
  <c r="Q86" i="6" s="1"/>
  <c r="I87" i="6"/>
  <c r="I88" i="6"/>
  <c r="K88" i="6" s="1"/>
  <c r="Q88" i="6" s="1"/>
  <c r="I89" i="6"/>
  <c r="K89" i="6" s="1"/>
  <c r="Q89" i="6" s="1"/>
  <c r="I90" i="6"/>
  <c r="K90" i="6" s="1"/>
  <c r="Q90" i="6" s="1"/>
  <c r="I91" i="6"/>
  <c r="K91" i="6" s="1"/>
  <c r="Q91" i="6" s="1"/>
  <c r="I92" i="6"/>
  <c r="K92" i="6" s="1"/>
  <c r="Q92" i="6" s="1"/>
  <c r="I93" i="6"/>
  <c r="I94" i="6"/>
  <c r="K94" i="6" s="1"/>
  <c r="Q94" i="6" s="1"/>
  <c r="I95" i="6"/>
  <c r="I96" i="6"/>
  <c r="K96" i="6" s="1"/>
  <c r="Q96" i="6" s="1"/>
  <c r="I97" i="6"/>
  <c r="K97" i="6" s="1"/>
  <c r="Q97" i="6" s="1"/>
  <c r="I98" i="6"/>
  <c r="K98" i="6" s="1"/>
  <c r="Q98" i="6" s="1"/>
  <c r="I99" i="6"/>
  <c r="K99" i="6" s="1"/>
  <c r="Q99" i="6" s="1"/>
  <c r="I100" i="6"/>
  <c r="K100" i="6" s="1"/>
  <c r="Q100" i="6" s="1"/>
  <c r="I77" i="6"/>
  <c r="I101" i="6"/>
  <c r="K101" i="6" s="1"/>
  <c r="Q101" i="6" s="1"/>
  <c r="I76" i="6"/>
  <c r="D13" i="6"/>
  <c r="G13" i="6" s="1"/>
  <c r="D21" i="6"/>
  <c r="D29" i="6"/>
  <c r="G29" i="6" s="1"/>
  <c r="D37" i="6"/>
  <c r="D45" i="6"/>
  <c r="G45" i="6" s="1"/>
  <c r="D50" i="6"/>
  <c r="G50" i="6" s="1"/>
  <c r="D51" i="6"/>
  <c r="D52" i="6"/>
  <c r="D53" i="6"/>
  <c r="G53" i="6" s="1"/>
  <c r="D54" i="6"/>
  <c r="G54" i="6" s="1"/>
  <c r="D55" i="6"/>
  <c r="D56" i="6"/>
  <c r="D57" i="6"/>
  <c r="D58" i="6"/>
  <c r="G58" i="6" s="1"/>
  <c r="D59" i="6"/>
  <c r="D60" i="6"/>
  <c r="D61" i="6"/>
  <c r="D62" i="6"/>
  <c r="G62" i="6" s="1"/>
  <c r="D63" i="6"/>
  <c r="D64" i="6"/>
  <c r="D65" i="6"/>
  <c r="D66" i="6"/>
  <c r="G66" i="6" s="1"/>
  <c r="D67" i="6"/>
  <c r="G67" i="6" s="1"/>
  <c r="D68" i="6"/>
  <c r="D69" i="6"/>
  <c r="G69" i="6" s="1"/>
  <c r="D70" i="6"/>
  <c r="G70" i="6" s="1"/>
  <c r="D71" i="6"/>
  <c r="D72" i="6"/>
  <c r="D73" i="6"/>
  <c r="D74" i="6"/>
  <c r="D75" i="6"/>
  <c r="G75" i="6" s="1"/>
  <c r="D76" i="6"/>
  <c r="D77" i="6"/>
  <c r="G77" i="6" s="1"/>
  <c r="D78" i="6"/>
  <c r="G78" i="6" s="1"/>
  <c r="D79" i="6"/>
  <c r="D80" i="6"/>
  <c r="D81" i="6"/>
  <c r="D82" i="6"/>
  <c r="G82" i="6" s="1"/>
  <c r="D83" i="6"/>
  <c r="G83" i="6" s="1"/>
  <c r="D84" i="6"/>
  <c r="D85" i="6"/>
  <c r="G85" i="6" s="1"/>
  <c r="D86" i="6"/>
  <c r="G86" i="6" s="1"/>
  <c r="D87" i="6"/>
  <c r="D88" i="6"/>
  <c r="D89" i="6"/>
  <c r="D90" i="6"/>
  <c r="G90" i="6" s="1"/>
  <c r="D91" i="6"/>
  <c r="G91" i="6" s="1"/>
  <c r="D92" i="6"/>
  <c r="D93" i="6"/>
  <c r="G93" i="6" s="1"/>
  <c r="D94" i="6"/>
  <c r="G94" i="6" s="1"/>
  <c r="D95" i="6"/>
  <c r="D96" i="6"/>
  <c r="D97" i="6"/>
  <c r="D98" i="6"/>
  <c r="D99" i="6"/>
  <c r="G99" i="6" s="1"/>
  <c r="D100" i="6"/>
  <c r="D101" i="6"/>
  <c r="G101" i="6" s="1"/>
  <c r="D102" i="6"/>
  <c r="G102" i="6" s="1"/>
  <c r="D103" i="6"/>
  <c r="D104" i="6"/>
  <c r="D105" i="6"/>
  <c r="D106" i="6"/>
  <c r="G106" i="6" s="1"/>
  <c r="D107" i="6"/>
  <c r="G107" i="6" s="1"/>
  <c r="D108" i="6"/>
  <c r="D109" i="6"/>
  <c r="G109" i="6" s="1"/>
  <c r="D110" i="6"/>
  <c r="G110" i="6" s="1"/>
  <c r="D111" i="6"/>
  <c r="D112" i="6"/>
  <c r="D113" i="6"/>
  <c r="D114" i="6"/>
  <c r="G114" i="6" s="1"/>
  <c r="D115" i="6"/>
  <c r="G115" i="6" s="1"/>
  <c r="D116" i="6"/>
  <c r="D117" i="6"/>
  <c r="D118" i="6"/>
  <c r="G118" i="6" s="1"/>
  <c r="D119" i="6"/>
  <c r="D120" i="6"/>
  <c r="D121" i="6"/>
  <c r="D122" i="6"/>
  <c r="G122" i="6" s="1"/>
  <c r="D123" i="6"/>
  <c r="G123" i="6" s="1"/>
  <c r="D124" i="6"/>
  <c r="G124" i="6" s="1"/>
  <c r="D125" i="6"/>
  <c r="G125" i="6" s="1"/>
  <c r="G121" i="6"/>
  <c r="G120" i="6"/>
  <c r="G119" i="6"/>
  <c r="G117" i="6"/>
  <c r="G116" i="6"/>
  <c r="G113" i="6"/>
  <c r="G112" i="6"/>
  <c r="G111" i="6"/>
  <c r="G108" i="6"/>
  <c r="G105" i="6"/>
  <c r="G104" i="6"/>
  <c r="G103" i="6"/>
  <c r="G100" i="6"/>
  <c r="G98" i="6"/>
  <c r="G97" i="6"/>
  <c r="G96" i="6"/>
  <c r="G95" i="6"/>
  <c r="G92" i="6"/>
  <c r="G89" i="6"/>
  <c r="G88" i="6"/>
  <c r="G87" i="6"/>
  <c r="G84" i="6"/>
  <c r="G81" i="6"/>
  <c r="G80" i="6"/>
  <c r="G79" i="6"/>
  <c r="G76" i="6"/>
  <c r="G74" i="6"/>
  <c r="G73" i="6"/>
  <c r="G72" i="6"/>
  <c r="G71" i="6"/>
  <c r="G68" i="6"/>
  <c r="G65" i="6"/>
  <c r="G64" i="6"/>
  <c r="G63" i="6"/>
  <c r="G61" i="6"/>
  <c r="G60" i="6"/>
  <c r="G59" i="6"/>
  <c r="G57" i="6"/>
  <c r="G56" i="6"/>
  <c r="G55" i="6"/>
  <c r="G52" i="6"/>
  <c r="G51" i="6"/>
  <c r="G37" i="6"/>
  <c r="G21" i="6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W48" i="5" s="1"/>
  <c r="E49" i="5"/>
  <c r="W49" i="5" s="1"/>
  <c r="E50" i="5"/>
  <c r="W50" i="5" s="1"/>
  <c r="E51" i="5"/>
  <c r="W51" i="5" s="1"/>
  <c r="E52" i="5"/>
  <c r="W52" i="5" s="1"/>
  <c r="E53" i="5"/>
  <c r="W53" i="5" s="1"/>
  <c r="E54" i="5"/>
  <c r="W54" i="5" s="1"/>
  <c r="E55" i="5"/>
  <c r="W55" i="5" s="1"/>
  <c r="E56" i="5"/>
  <c r="W56" i="5" s="1"/>
  <c r="E57" i="5"/>
  <c r="W57" i="5" s="1"/>
  <c r="E58" i="5"/>
  <c r="W58" i="5" s="1"/>
  <c r="E59" i="5"/>
  <c r="W59" i="5" s="1"/>
  <c r="E60" i="5"/>
  <c r="W60" i="5" s="1"/>
  <c r="E61" i="5"/>
  <c r="W61" i="5" s="1"/>
  <c r="E62" i="5"/>
  <c r="W62" i="5" s="1"/>
  <c r="E63" i="5"/>
  <c r="W63" i="5" s="1"/>
  <c r="E64" i="5"/>
  <c r="W64" i="5" s="1"/>
  <c r="E65" i="5"/>
  <c r="W65" i="5" s="1"/>
  <c r="E66" i="5"/>
  <c r="W66" i="5" s="1"/>
  <c r="E67" i="5"/>
  <c r="W67" i="5" s="1"/>
  <c r="E68" i="5"/>
  <c r="W68" i="5" s="1"/>
  <c r="E69" i="5"/>
  <c r="W69" i="5" s="1"/>
  <c r="E70" i="5"/>
  <c r="W70" i="5" s="1"/>
  <c r="E71" i="5"/>
  <c r="W71" i="5" s="1"/>
  <c r="E72" i="5"/>
  <c r="W72" i="5" s="1"/>
  <c r="E73" i="5"/>
  <c r="W73" i="5" s="1"/>
  <c r="E74" i="5"/>
  <c r="W74" i="5" s="1"/>
  <c r="E75" i="5"/>
  <c r="W75" i="5" s="1"/>
  <c r="E76" i="5"/>
  <c r="W76" i="5" s="1"/>
  <c r="E77" i="5"/>
  <c r="W77" i="5" s="1"/>
  <c r="E78" i="5"/>
  <c r="W78" i="5" s="1"/>
  <c r="E79" i="5"/>
  <c r="W79" i="5" s="1"/>
  <c r="E80" i="5"/>
  <c r="W80" i="5" s="1"/>
  <c r="E81" i="5"/>
  <c r="W81" i="5" s="1"/>
  <c r="E82" i="5"/>
  <c r="W82" i="5" s="1"/>
  <c r="E83" i="5"/>
  <c r="W83" i="5" s="1"/>
  <c r="E84" i="5"/>
  <c r="W84" i="5" s="1"/>
  <c r="E85" i="5"/>
  <c r="W85" i="5" s="1"/>
  <c r="E86" i="5"/>
  <c r="W86" i="5" s="1"/>
  <c r="E87" i="5"/>
  <c r="W87" i="5" s="1"/>
  <c r="E88" i="5"/>
  <c r="W88" i="5" s="1"/>
  <c r="E89" i="5"/>
  <c r="W89" i="5" s="1"/>
  <c r="E90" i="5"/>
  <c r="W90" i="5" s="1"/>
  <c r="E91" i="5"/>
  <c r="W91" i="5" s="1"/>
  <c r="E92" i="5"/>
  <c r="W92" i="5" s="1"/>
  <c r="E93" i="5"/>
  <c r="W93" i="5" s="1"/>
  <c r="E94" i="5"/>
  <c r="W94" i="5" s="1"/>
  <c r="E95" i="5"/>
  <c r="W95" i="5" s="1"/>
  <c r="E96" i="5"/>
  <c r="W96" i="5" s="1"/>
  <c r="E97" i="5"/>
  <c r="W97" i="5" s="1"/>
  <c r="E98" i="5"/>
  <c r="W98" i="5" s="1"/>
  <c r="E99" i="5"/>
  <c r="W99" i="5" s="1"/>
  <c r="E100" i="5"/>
  <c r="W100" i="5" s="1"/>
  <c r="E101" i="5"/>
  <c r="W101" i="5" s="1"/>
  <c r="E102" i="5"/>
  <c r="W102" i="5" s="1"/>
  <c r="E103" i="5"/>
  <c r="W103" i="5" s="1"/>
  <c r="E104" i="5"/>
  <c r="W104" i="5" s="1"/>
  <c r="E105" i="5"/>
  <c r="W105" i="5" s="1"/>
  <c r="E106" i="5"/>
  <c r="W106" i="5" s="1"/>
  <c r="E107" i="5"/>
  <c r="W107" i="5" s="1"/>
  <c r="E108" i="5"/>
  <c r="W108" i="5" s="1"/>
  <c r="E109" i="5"/>
  <c r="W109" i="5" s="1"/>
  <c r="E110" i="5"/>
  <c r="W110" i="5" s="1"/>
  <c r="E111" i="5"/>
  <c r="W111" i="5" s="1"/>
  <c r="E112" i="5"/>
  <c r="W112" i="5" s="1"/>
  <c r="E113" i="5"/>
  <c r="W113" i="5" s="1"/>
  <c r="E114" i="5"/>
  <c r="W114" i="5" s="1"/>
  <c r="E115" i="5"/>
  <c r="W115" i="5" s="1"/>
  <c r="E116" i="5"/>
  <c r="W116" i="5" s="1"/>
  <c r="E117" i="5"/>
  <c r="W117" i="5" s="1"/>
  <c r="E118" i="5"/>
  <c r="W118" i="5" s="1"/>
  <c r="E119" i="5"/>
  <c r="W119" i="5" s="1"/>
  <c r="E120" i="5"/>
  <c r="W120" i="5" s="1"/>
  <c r="E121" i="5"/>
  <c r="W121" i="5" s="1"/>
  <c r="E122" i="5"/>
  <c r="W122" i="5" s="1"/>
  <c r="E123" i="5"/>
  <c r="W123" i="5" s="1"/>
  <c r="E124" i="5"/>
  <c r="W124" i="5" s="1"/>
  <c r="E125" i="5"/>
  <c r="W125" i="5" s="1"/>
  <c r="E6" i="5"/>
  <c r="K125" i="5"/>
  <c r="K5" i="5"/>
  <c r="J9" i="5"/>
  <c r="T9" i="5" s="1"/>
  <c r="J17" i="5"/>
  <c r="T17" i="5" s="1"/>
  <c r="J25" i="5"/>
  <c r="T25" i="5" s="1"/>
  <c r="J33" i="5"/>
  <c r="T33" i="5" s="1"/>
  <c r="J41" i="5"/>
  <c r="T41" i="5" s="1"/>
  <c r="J47" i="5"/>
  <c r="T47" i="5" s="1"/>
  <c r="T48" i="5" s="1"/>
  <c r="J125" i="5"/>
  <c r="J5" i="5"/>
  <c r="T5" i="5" s="1"/>
  <c r="D49" i="5"/>
  <c r="D49" i="6" s="1"/>
  <c r="G49" i="6" s="1"/>
  <c r="D42" i="5"/>
  <c r="D42" i="6" s="1"/>
  <c r="D43" i="5"/>
  <c r="D43" i="6" s="1"/>
  <c r="G43" i="6" s="1"/>
  <c r="D44" i="5"/>
  <c r="D44" i="6" s="1"/>
  <c r="G44" i="6" s="1"/>
  <c r="D45" i="5"/>
  <c r="N44" i="5" s="1"/>
  <c r="D46" i="5"/>
  <c r="D46" i="6" s="1"/>
  <c r="G46" i="6" s="1"/>
  <c r="D47" i="5"/>
  <c r="D47" i="6" s="1"/>
  <c r="D48" i="5"/>
  <c r="D48" i="6" s="1"/>
  <c r="G48" i="6" s="1"/>
  <c r="D7" i="5"/>
  <c r="D7" i="6" s="1"/>
  <c r="D8" i="5"/>
  <c r="D8" i="6" s="1"/>
  <c r="G8" i="6" s="1"/>
  <c r="D9" i="5"/>
  <c r="D9" i="6" s="1"/>
  <c r="G9" i="6" s="1"/>
  <c r="D10" i="5"/>
  <c r="D10" i="6" s="1"/>
  <c r="D11" i="5"/>
  <c r="D11" i="6" s="1"/>
  <c r="G11" i="6" s="1"/>
  <c r="D12" i="5"/>
  <c r="N11" i="5" s="1"/>
  <c r="D13" i="5"/>
  <c r="D14" i="5"/>
  <c r="D14" i="6" s="1"/>
  <c r="D15" i="5"/>
  <c r="D15" i="6" s="1"/>
  <c r="D16" i="5"/>
  <c r="D16" i="6" s="1"/>
  <c r="G16" i="6" s="1"/>
  <c r="D17" i="5"/>
  <c r="D17" i="6" s="1"/>
  <c r="D18" i="5"/>
  <c r="D18" i="6" s="1"/>
  <c r="D19" i="5"/>
  <c r="D19" i="6" s="1"/>
  <c r="G19" i="6" s="1"/>
  <c r="D20" i="5"/>
  <c r="N19" i="5" s="1"/>
  <c r="D21" i="5"/>
  <c r="D22" i="5"/>
  <c r="N21" i="5" s="1"/>
  <c r="D23" i="5"/>
  <c r="D23" i="6" s="1"/>
  <c r="D24" i="5"/>
  <c r="D24" i="6" s="1"/>
  <c r="G24" i="6" s="1"/>
  <c r="D25" i="5"/>
  <c r="D25" i="6" s="1"/>
  <c r="D26" i="5"/>
  <c r="D26" i="6" s="1"/>
  <c r="D27" i="5"/>
  <c r="D27" i="6" s="1"/>
  <c r="G27" i="6" s="1"/>
  <c r="D28" i="5"/>
  <c r="G28" i="5" s="1"/>
  <c r="D29" i="5"/>
  <c r="D30" i="5"/>
  <c r="N29" i="5" s="1"/>
  <c r="D31" i="5"/>
  <c r="D31" i="6" s="1"/>
  <c r="D32" i="5"/>
  <c r="D32" i="6" s="1"/>
  <c r="G32" i="6" s="1"/>
  <c r="D33" i="5"/>
  <c r="D33" i="6" s="1"/>
  <c r="G33" i="6" s="1"/>
  <c r="D34" i="5"/>
  <c r="D34" i="6" s="1"/>
  <c r="D35" i="5"/>
  <c r="D35" i="6" s="1"/>
  <c r="G35" i="6" s="1"/>
  <c r="D36" i="5"/>
  <c r="G36" i="5" s="1"/>
  <c r="D37" i="5"/>
  <c r="D38" i="5"/>
  <c r="N37" i="5" s="1"/>
  <c r="D39" i="5"/>
  <c r="D39" i="6" s="1"/>
  <c r="G39" i="6" s="1"/>
  <c r="D40" i="5"/>
  <c r="D40" i="6" s="1"/>
  <c r="G40" i="6" s="1"/>
  <c r="D41" i="5"/>
  <c r="D41" i="6" s="1"/>
  <c r="G41" i="6" s="1"/>
  <c r="D6" i="5"/>
  <c r="N5" i="5" s="1"/>
  <c r="N6" i="5"/>
  <c r="N7" i="5"/>
  <c r="N8" i="5"/>
  <c r="N9" i="5"/>
  <c r="N10" i="5"/>
  <c r="N12" i="5"/>
  <c r="N14" i="5"/>
  <c r="N15" i="5"/>
  <c r="N16" i="5"/>
  <c r="N17" i="5"/>
  <c r="N18" i="5"/>
  <c r="N20" i="5"/>
  <c r="N22" i="5"/>
  <c r="N23" i="5"/>
  <c r="N24" i="5"/>
  <c r="N25" i="5"/>
  <c r="N26" i="5"/>
  <c r="N27" i="5"/>
  <c r="N28" i="5"/>
  <c r="N30" i="5"/>
  <c r="N31" i="5"/>
  <c r="N32" i="5"/>
  <c r="N33" i="5"/>
  <c r="N34" i="5"/>
  <c r="N36" i="5"/>
  <c r="N38" i="5"/>
  <c r="N39" i="5"/>
  <c r="N40" i="5"/>
  <c r="N42" i="5"/>
  <c r="N43" i="5"/>
  <c r="N45" i="5"/>
  <c r="N46" i="5"/>
  <c r="N47" i="5"/>
  <c r="N48" i="5"/>
  <c r="H50" i="5"/>
  <c r="H40" i="5"/>
  <c r="J40" i="5" s="1"/>
  <c r="T40" i="5" s="1"/>
  <c r="H41" i="5"/>
  <c r="H42" i="5"/>
  <c r="J42" i="5" s="1"/>
  <c r="T42" i="5" s="1"/>
  <c r="H43" i="5"/>
  <c r="J43" i="5" s="1"/>
  <c r="T43" i="5" s="1"/>
  <c r="H44" i="5"/>
  <c r="J44" i="5" s="1"/>
  <c r="T44" i="5" s="1"/>
  <c r="H45" i="5"/>
  <c r="J45" i="5" s="1"/>
  <c r="T45" i="5" s="1"/>
  <c r="H46" i="5"/>
  <c r="J46" i="5" s="1"/>
  <c r="T46" i="5" s="1"/>
  <c r="H47" i="5"/>
  <c r="H48" i="5"/>
  <c r="H49" i="5"/>
  <c r="H7" i="5"/>
  <c r="J7" i="5" s="1"/>
  <c r="T7" i="5" s="1"/>
  <c r="H8" i="5"/>
  <c r="J8" i="5" s="1"/>
  <c r="T8" i="5" s="1"/>
  <c r="H9" i="5"/>
  <c r="H10" i="5"/>
  <c r="J10" i="5" s="1"/>
  <c r="T10" i="5" s="1"/>
  <c r="H11" i="5"/>
  <c r="J11" i="5" s="1"/>
  <c r="T11" i="5" s="1"/>
  <c r="H12" i="5"/>
  <c r="J12" i="5" s="1"/>
  <c r="T12" i="5" s="1"/>
  <c r="H13" i="5"/>
  <c r="J13" i="5" s="1"/>
  <c r="T13" i="5" s="1"/>
  <c r="H14" i="5"/>
  <c r="J14" i="5" s="1"/>
  <c r="T14" i="5" s="1"/>
  <c r="H15" i="5"/>
  <c r="J15" i="5" s="1"/>
  <c r="T15" i="5" s="1"/>
  <c r="H16" i="5"/>
  <c r="J16" i="5" s="1"/>
  <c r="T16" i="5" s="1"/>
  <c r="H17" i="5"/>
  <c r="H18" i="5"/>
  <c r="J18" i="5" s="1"/>
  <c r="T18" i="5" s="1"/>
  <c r="H19" i="5"/>
  <c r="J19" i="5" s="1"/>
  <c r="T19" i="5" s="1"/>
  <c r="H20" i="5"/>
  <c r="J20" i="5" s="1"/>
  <c r="T20" i="5" s="1"/>
  <c r="H21" i="5"/>
  <c r="J21" i="5" s="1"/>
  <c r="T21" i="5" s="1"/>
  <c r="H22" i="5"/>
  <c r="J22" i="5" s="1"/>
  <c r="T22" i="5" s="1"/>
  <c r="H23" i="5"/>
  <c r="J23" i="5" s="1"/>
  <c r="T23" i="5" s="1"/>
  <c r="H24" i="5"/>
  <c r="J24" i="5" s="1"/>
  <c r="T24" i="5" s="1"/>
  <c r="H25" i="5"/>
  <c r="H26" i="5"/>
  <c r="J26" i="5" s="1"/>
  <c r="T26" i="5" s="1"/>
  <c r="H27" i="5"/>
  <c r="J27" i="5" s="1"/>
  <c r="T27" i="5" s="1"/>
  <c r="H28" i="5"/>
  <c r="J28" i="5" s="1"/>
  <c r="T28" i="5" s="1"/>
  <c r="H29" i="5"/>
  <c r="J29" i="5" s="1"/>
  <c r="T29" i="5" s="1"/>
  <c r="H30" i="5"/>
  <c r="J30" i="5" s="1"/>
  <c r="T30" i="5" s="1"/>
  <c r="H31" i="5"/>
  <c r="J31" i="5" s="1"/>
  <c r="T31" i="5" s="1"/>
  <c r="H32" i="5"/>
  <c r="J32" i="5" s="1"/>
  <c r="T32" i="5" s="1"/>
  <c r="H33" i="5"/>
  <c r="H34" i="5"/>
  <c r="J34" i="5" s="1"/>
  <c r="T34" i="5" s="1"/>
  <c r="H35" i="5"/>
  <c r="J35" i="5" s="1"/>
  <c r="T35" i="5" s="1"/>
  <c r="H36" i="5"/>
  <c r="J36" i="5" s="1"/>
  <c r="T36" i="5" s="1"/>
  <c r="H37" i="5"/>
  <c r="J37" i="5" s="1"/>
  <c r="T37" i="5" s="1"/>
  <c r="H38" i="5"/>
  <c r="J38" i="5" s="1"/>
  <c r="T38" i="5" s="1"/>
  <c r="H39" i="5"/>
  <c r="J39" i="5" s="1"/>
  <c r="T39" i="5" s="1"/>
  <c r="H6" i="5"/>
  <c r="J6" i="5" s="1"/>
  <c r="T6" i="5" s="1"/>
  <c r="G7" i="5"/>
  <c r="G8" i="5"/>
  <c r="G9" i="5"/>
  <c r="G10" i="5"/>
  <c r="G11" i="5"/>
  <c r="G13" i="5"/>
  <c r="G15" i="5"/>
  <c r="G16" i="5"/>
  <c r="G17" i="5"/>
  <c r="G18" i="5"/>
  <c r="G19" i="5"/>
  <c r="G21" i="5"/>
  <c r="G23" i="5"/>
  <c r="G24" i="5"/>
  <c r="G25" i="5"/>
  <c r="G26" i="5"/>
  <c r="G27" i="5"/>
  <c r="G29" i="5"/>
  <c r="G31" i="5"/>
  <c r="G32" i="5"/>
  <c r="G33" i="5"/>
  <c r="G34" i="5"/>
  <c r="G35" i="5"/>
  <c r="G37" i="5"/>
  <c r="G39" i="5"/>
  <c r="G40" i="5"/>
  <c r="G41" i="5"/>
  <c r="G42" i="5"/>
  <c r="G43" i="5"/>
  <c r="G44" i="5"/>
  <c r="G47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6" i="5"/>
  <c r="I22" i="27" l="1"/>
  <c r="M22" i="27" s="1"/>
  <c r="F23" i="27"/>
  <c r="P22" i="27"/>
  <c r="D24" i="27"/>
  <c r="B25" i="27"/>
  <c r="I22" i="26"/>
  <c r="M22" i="26" s="1"/>
  <c r="P22" i="26"/>
  <c r="B24" i="26"/>
  <c r="D23" i="26"/>
  <c r="F23" i="26" s="1"/>
  <c r="M58" i="25"/>
  <c r="F23" i="25"/>
  <c r="P22" i="25"/>
  <c r="D24" i="25"/>
  <c r="B25" i="25"/>
  <c r="P23" i="24"/>
  <c r="M35" i="24"/>
  <c r="F24" i="24"/>
  <c r="D25" i="24"/>
  <c r="B26" i="24"/>
  <c r="D24" i="23"/>
  <c r="B25" i="23"/>
  <c r="F23" i="23"/>
  <c r="P22" i="23"/>
  <c r="I22" i="23"/>
  <c r="M22" i="23" s="1"/>
  <c r="B26" i="22"/>
  <c r="D25" i="22"/>
  <c r="I23" i="22"/>
  <c r="M23" i="22" s="1"/>
  <c r="P23" i="22"/>
  <c r="F24" i="22"/>
  <c r="F23" i="21"/>
  <c r="I23" i="21" s="1"/>
  <c r="M23" i="21" s="1"/>
  <c r="P22" i="21"/>
  <c r="M10" i="20"/>
  <c r="F23" i="20"/>
  <c r="I23" i="20" s="1"/>
  <c r="P21" i="20"/>
  <c r="P22" i="19"/>
  <c r="F22" i="19"/>
  <c r="I23" i="19" s="1"/>
  <c r="N35" i="5"/>
  <c r="D36" i="6"/>
  <c r="G36" i="6" s="1"/>
  <c r="D28" i="6"/>
  <c r="G28" i="6" s="1"/>
  <c r="D20" i="6"/>
  <c r="G20" i="6" s="1"/>
  <c r="D12" i="6"/>
  <c r="F72" i="5"/>
  <c r="X72" i="5" s="1"/>
  <c r="F64" i="5"/>
  <c r="X64" i="5" s="1"/>
  <c r="G12" i="5"/>
  <c r="P5" i="5"/>
  <c r="U5" i="5"/>
  <c r="F29" i="12"/>
  <c r="M28" i="12"/>
  <c r="F32" i="5"/>
  <c r="I32" i="5" s="1"/>
  <c r="K32" i="5" s="1"/>
  <c r="G48" i="5"/>
  <c r="G20" i="5"/>
  <c r="F8" i="5"/>
  <c r="I8" i="5" s="1"/>
  <c r="K8" i="5" s="1"/>
  <c r="F16" i="5"/>
  <c r="I16" i="5" s="1"/>
  <c r="K16" i="5" s="1"/>
  <c r="F96" i="5"/>
  <c r="X96" i="5" s="1"/>
  <c r="G46" i="5"/>
  <c r="D6" i="6"/>
  <c r="D38" i="6"/>
  <c r="G38" i="6" s="1"/>
  <c r="D30" i="6"/>
  <c r="G30" i="6" s="1"/>
  <c r="D22" i="6"/>
  <c r="G22" i="6" s="1"/>
  <c r="M140" i="14"/>
  <c r="U139" i="14"/>
  <c r="S139" i="14"/>
  <c r="D36" i="10"/>
  <c r="I35" i="10"/>
  <c r="F19" i="17"/>
  <c r="P19" i="17" s="1"/>
  <c r="I18" i="17"/>
  <c r="M19" i="17" s="1"/>
  <c r="M140" i="9"/>
  <c r="O139" i="9"/>
  <c r="K30" i="13"/>
  <c r="Q29" i="13"/>
  <c r="G14" i="6"/>
  <c r="G23" i="6"/>
  <c r="G7" i="6"/>
  <c r="G47" i="6"/>
  <c r="G17" i="6"/>
  <c r="G31" i="6"/>
  <c r="J99" i="6"/>
  <c r="L99" i="6" s="1"/>
  <c r="G15" i="6"/>
  <c r="G25" i="6"/>
  <c r="J81" i="6"/>
  <c r="L81" i="6" s="1"/>
  <c r="J89" i="6"/>
  <c r="L89" i="6" s="1"/>
  <c r="J97" i="6"/>
  <c r="L97" i="6" s="1"/>
  <c r="J78" i="6"/>
  <c r="L78" i="6" s="1"/>
  <c r="J86" i="6"/>
  <c r="L86" i="6" s="1"/>
  <c r="J94" i="6"/>
  <c r="L94" i="6" s="1"/>
  <c r="G10" i="6"/>
  <c r="G18" i="6"/>
  <c r="G26" i="6"/>
  <c r="G34" i="6"/>
  <c r="G42" i="6"/>
  <c r="J80" i="6"/>
  <c r="L80" i="6" s="1"/>
  <c r="J88" i="6"/>
  <c r="L88" i="6" s="1"/>
  <c r="J96" i="6"/>
  <c r="L96" i="6" s="1"/>
  <c r="J77" i="6"/>
  <c r="L77" i="6" s="1"/>
  <c r="J85" i="6"/>
  <c r="L85" i="6" s="1"/>
  <c r="J93" i="6"/>
  <c r="L93" i="6" s="1"/>
  <c r="J91" i="6"/>
  <c r="L91" i="6" s="1"/>
  <c r="G12" i="6"/>
  <c r="J82" i="6"/>
  <c r="L82" i="6" s="1"/>
  <c r="J90" i="6"/>
  <c r="L90" i="6" s="1"/>
  <c r="J98" i="6"/>
  <c r="L98" i="6" s="1"/>
  <c r="J83" i="6"/>
  <c r="L83" i="6" s="1"/>
  <c r="J79" i="6"/>
  <c r="L79" i="6" s="1"/>
  <c r="J87" i="6"/>
  <c r="L87" i="6" s="1"/>
  <c r="J95" i="6"/>
  <c r="L95" i="6" s="1"/>
  <c r="G6" i="6"/>
  <c r="J84" i="6"/>
  <c r="L84" i="6" s="1"/>
  <c r="J92" i="6"/>
  <c r="L92" i="6" s="1"/>
  <c r="F120" i="5"/>
  <c r="X120" i="5" s="1"/>
  <c r="F56" i="5"/>
  <c r="X56" i="5" s="1"/>
  <c r="G45" i="5"/>
  <c r="F9" i="5"/>
  <c r="I9" i="5" s="1"/>
  <c r="K9" i="5" s="1"/>
  <c r="F112" i="5"/>
  <c r="X112" i="5" s="1"/>
  <c r="F48" i="5"/>
  <c r="F104" i="5"/>
  <c r="X104" i="5" s="1"/>
  <c r="F40" i="5"/>
  <c r="I40" i="5" s="1"/>
  <c r="K40" i="5" s="1"/>
  <c r="R40" i="5" s="1"/>
  <c r="F88" i="5"/>
  <c r="X88" i="5" s="1"/>
  <c r="F24" i="5"/>
  <c r="I24" i="5" s="1"/>
  <c r="K24" i="5" s="1"/>
  <c r="N41" i="5"/>
  <c r="F80" i="5"/>
  <c r="X80" i="5" s="1"/>
  <c r="F119" i="5"/>
  <c r="X119" i="5" s="1"/>
  <c r="F111" i="5"/>
  <c r="X111" i="5" s="1"/>
  <c r="F103" i="5"/>
  <c r="X103" i="5" s="1"/>
  <c r="F95" i="5"/>
  <c r="X95" i="5" s="1"/>
  <c r="F87" i="5"/>
  <c r="X87" i="5" s="1"/>
  <c r="F79" i="5"/>
  <c r="X79" i="5" s="1"/>
  <c r="F71" i="5"/>
  <c r="X71" i="5" s="1"/>
  <c r="F63" i="5"/>
  <c r="X63" i="5" s="1"/>
  <c r="F55" i="5"/>
  <c r="X55" i="5" s="1"/>
  <c r="F47" i="5"/>
  <c r="I47" i="5" s="1"/>
  <c r="K47" i="5" s="1"/>
  <c r="F39" i="5"/>
  <c r="I39" i="5" s="1"/>
  <c r="K39" i="5" s="1"/>
  <c r="R39" i="5" s="1"/>
  <c r="F31" i="5"/>
  <c r="I31" i="5" s="1"/>
  <c r="K31" i="5" s="1"/>
  <c r="F23" i="5"/>
  <c r="I23" i="5" s="1"/>
  <c r="K23" i="5" s="1"/>
  <c r="F15" i="5"/>
  <c r="I15" i="5" s="1"/>
  <c r="K15" i="5" s="1"/>
  <c r="F7" i="5"/>
  <c r="I7" i="5" s="1"/>
  <c r="K7" i="5" s="1"/>
  <c r="F6" i="5"/>
  <c r="I6" i="5" s="1"/>
  <c r="K6" i="5" s="1"/>
  <c r="F118" i="5"/>
  <c r="X118" i="5" s="1"/>
  <c r="F110" i="5"/>
  <c r="X110" i="5" s="1"/>
  <c r="F102" i="5"/>
  <c r="X102" i="5" s="1"/>
  <c r="F94" i="5"/>
  <c r="X94" i="5" s="1"/>
  <c r="F86" i="5"/>
  <c r="X86" i="5" s="1"/>
  <c r="F78" i="5"/>
  <c r="X78" i="5" s="1"/>
  <c r="F70" i="5"/>
  <c r="X70" i="5" s="1"/>
  <c r="F62" i="5"/>
  <c r="X62" i="5" s="1"/>
  <c r="F54" i="5"/>
  <c r="X54" i="5" s="1"/>
  <c r="F46" i="5"/>
  <c r="I46" i="5" s="1"/>
  <c r="K46" i="5" s="1"/>
  <c r="F38" i="5"/>
  <c r="I38" i="5" s="1"/>
  <c r="K38" i="5" s="1"/>
  <c r="F30" i="5"/>
  <c r="I30" i="5" s="1"/>
  <c r="K30" i="5" s="1"/>
  <c r="F22" i="5"/>
  <c r="I22" i="5" s="1"/>
  <c r="K22" i="5" s="1"/>
  <c r="F14" i="5"/>
  <c r="I14" i="5" s="1"/>
  <c r="K14" i="5" s="1"/>
  <c r="P14" i="5" s="1"/>
  <c r="G38" i="5"/>
  <c r="G30" i="5"/>
  <c r="G22" i="5"/>
  <c r="G14" i="5"/>
  <c r="F125" i="5"/>
  <c r="X125" i="5" s="1"/>
  <c r="F117" i="5"/>
  <c r="X117" i="5" s="1"/>
  <c r="F109" i="5"/>
  <c r="X109" i="5" s="1"/>
  <c r="F101" i="5"/>
  <c r="X101" i="5" s="1"/>
  <c r="F93" i="5"/>
  <c r="X93" i="5" s="1"/>
  <c r="F85" i="5"/>
  <c r="X85" i="5" s="1"/>
  <c r="F77" i="5"/>
  <c r="X77" i="5" s="1"/>
  <c r="F69" i="5"/>
  <c r="X69" i="5" s="1"/>
  <c r="F61" i="5"/>
  <c r="X61" i="5" s="1"/>
  <c r="F53" i="5"/>
  <c r="X53" i="5" s="1"/>
  <c r="F45" i="5"/>
  <c r="I45" i="5" s="1"/>
  <c r="K45" i="5" s="1"/>
  <c r="F37" i="5"/>
  <c r="I37" i="5" s="1"/>
  <c r="K37" i="5" s="1"/>
  <c r="F29" i="5"/>
  <c r="I29" i="5" s="1"/>
  <c r="K29" i="5" s="1"/>
  <c r="F21" i="5"/>
  <c r="I21" i="5" s="1"/>
  <c r="K21" i="5" s="1"/>
  <c r="F13" i="5"/>
  <c r="I13" i="5" s="1"/>
  <c r="K13" i="5" s="1"/>
  <c r="F124" i="5"/>
  <c r="X124" i="5" s="1"/>
  <c r="F116" i="5"/>
  <c r="X116" i="5" s="1"/>
  <c r="F108" i="5"/>
  <c r="X108" i="5" s="1"/>
  <c r="F100" i="5"/>
  <c r="X100" i="5" s="1"/>
  <c r="F92" i="5"/>
  <c r="X92" i="5" s="1"/>
  <c r="F84" i="5"/>
  <c r="X84" i="5" s="1"/>
  <c r="F76" i="5"/>
  <c r="X76" i="5" s="1"/>
  <c r="F68" i="5"/>
  <c r="X68" i="5" s="1"/>
  <c r="F60" i="5"/>
  <c r="X60" i="5" s="1"/>
  <c r="F52" i="5"/>
  <c r="X52" i="5" s="1"/>
  <c r="F44" i="5"/>
  <c r="I44" i="5" s="1"/>
  <c r="K44" i="5" s="1"/>
  <c r="F36" i="5"/>
  <c r="I36" i="5" s="1"/>
  <c r="K36" i="5" s="1"/>
  <c r="F28" i="5"/>
  <c r="I28" i="5" s="1"/>
  <c r="K28" i="5" s="1"/>
  <c r="F20" i="5"/>
  <c r="I20" i="5" s="1"/>
  <c r="K20" i="5" s="1"/>
  <c r="F12" i="5"/>
  <c r="I12" i="5" s="1"/>
  <c r="K12" i="5" s="1"/>
  <c r="N13" i="5"/>
  <c r="F123" i="5"/>
  <c r="X123" i="5" s="1"/>
  <c r="F115" i="5"/>
  <c r="X115" i="5" s="1"/>
  <c r="F107" i="5"/>
  <c r="X107" i="5" s="1"/>
  <c r="F99" i="5"/>
  <c r="X99" i="5" s="1"/>
  <c r="F91" i="5"/>
  <c r="X91" i="5" s="1"/>
  <c r="F83" i="5"/>
  <c r="X83" i="5" s="1"/>
  <c r="F75" i="5"/>
  <c r="X75" i="5" s="1"/>
  <c r="F67" i="5"/>
  <c r="X67" i="5" s="1"/>
  <c r="F59" i="5"/>
  <c r="X59" i="5" s="1"/>
  <c r="F51" i="5"/>
  <c r="X51" i="5" s="1"/>
  <c r="F43" i="5"/>
  <c r="I43" i="5" s="1"/>
  <c r="K43" i="5" s="1"/>
  <c r="F35" i="5"/>
  <c r="I35" i="5" s="1"/>
  <c r="K35" i="5" s="1"/>
  <c r="R35" i="5" s="1"/>
  <c r="F27" i="5"/>
  <c r="I27" i="5" s="1"/>
  <c r="K27" i="5" s="1"/>
  <c r="F19" i="5"/>
  <c r="I19" i="5" s="1"/>
  <c r="K19" i="5" s="1"/>
  <c r="F11" i="5"/>
  <c r="I11" i="5" s="1"/>
  <c r="K11" i="5" s="1"/>
  <c r="P11" i="5" s="1"/>
  <c r="F122" i="5"/>
  <c r="X122" i="5" s="1"/>
  <c r="F114" i="5"/>
  <c r="X114" i="5" s="1"/>
  <c r="F106" i="5"/>
  <c r="X106" i="5" s="1"/>
  <c r="F98" i="5"/>
  <c r="X98" i="5" s="1"/>
  <c r="F90" i="5"/>
  <c r="X90" i="5" s="1"/>
  <c r="F82" i="5"/>
  <c r="X82" i="5" s="1"/>
  <c r="F74" i="5"/>
  <c r="X74" i="5" s="1"/>
  <c r="F66" i="5"/>
  <c r="X66" i="5" s="1"/>
  <c r="F58" i="5"/>
  <c r="X58" i="5" s="1"/>
  <c r="F50" i="5"/>
  <c r="F42" i="5"/>
  <c r="I42" i="5" s="1"/>
  <c r="K42" i="5" s="1"/>
  <c r="R42" i="5" s="1"/>
  <c r="F34" i="5"/>
  <c r="I34" i="5" s="1"/>
  <c r="K34" i="5" s="1"/>
  <c r="F26" i="5"/>
  <c r="I26" i="5" s="1"/>
  <c r="K26" i="5" s="1"/>
  <c r="F18" i="5"/>
  <c r="I18" i="5" s="1"/>
  <c r="K18" i="5" s="1"/>
  <c r="F10" i="5"/>
  <c r="I10" i="5" s="1"/>
  <c r="K10" i="5" s="1"/>
  <c r="F121" i="5"/>
  <c r="X121" i="5" s="1"/>
  <c r="F113" i="5"/>
  <c r="X113" i="5" s="1"/>
  <c r="F105" i="5"/>
  <c r="X105" i="5" s="1"/>
  <c r="F97" i="5"/>
  <c r="X97" i="5" s="1"/>
  <c r="F89" i="5"/>
  <c r="X89" i="5" s="1"/>
  <c r="F81" i="5"/>
  <c r="X81" i="5" s="1"/>
  <c r="F73" i="5"/>
  <c r="X73" i="5" s="1"/>
  <c r="F65" i="5"/>
  <c r="X65" i="5" s="1"/>
  <c r="F57" i="5"/>
  <c r="X57" i="5" s="1"/>
  <c r="F49" i="5"/>
  <c r="F41" i="5"/>
  <c r="I41" i="5" s="1"/>
  <c r="K41" i="5" s="1"/>
  <c r="F33" i="5"/>
  <c r="I33" i="5" s="1"/>
  <c r="K33" i="5" s="1"/>
  <c r="F25" i="5"/>
  <c r="I25" i="5" s="1"/>
  <c r="K25" i="5" s="1"/>
  <c r="F17" i="5"/>
  <c r="I17" i="5" s="1"/>
  <c r="K17" i="5" s="1"/>
  <c r="I23" i="27" l="1"/>
  <c r="M23" i="27" s="1"/>
  <c r="P23" i="27"/>
  <c r="F24" i="27"/>
  <c r="D25" i="27"/>
  <c r="B26" i="27"/>
  <c r="I23" i="26"/>
  <c r="M23" i="26" s="1"/>
  <c r="P23" i="26"/>
  <c r="D24" i="26"/>
  <c r="F24" i="26" s="1"/>
  <c r="B25" i="26"/>
  <c r="P23" i="25"/>
  <c r="M59" i="25"/>
  <c r="F24" i="25"/>
  <c r="D25" i="25"/>
  <c r="B26" i="25"/>
  <c r="D26" i="24"/>
  <c r="B27" i="24"/>
  <c r="F25" i="24"/>
  <c r="P24" i="24"/>
  <c r="M36" i="24"/>
  <c r="F24" i="23"/>
  <c r="P23" i="23"/>
  <c r="I23" i="23"/>
  <c r="M23" i="23" s="1"/>
  <c r="B26" i="23"/>
  <c r="D25" i="23"/>
  <c r="B27" i="22"/>
  <c r="D26" i="22"/>
  <c r="I24" i="22"/>
  <c r="M24" i="22" s="1"/>
  <c r="F25" i="22"/>
  <c r="P24" i="22"/>
  <c r="P23" i="21"/>
  <c r="F24" i="21"/>
  <c r="I24" i="21" s="1"/>
  <c r="M24" i="21" s="1"/>
  <c r="P22" i="20"/>
  <c r="M11" i="20"/>
  <c r="F24" i="20"/>
  <c r="I24" i="20" s="1"/>
  <c r="F23" i="19"/>
  <c r="I24" i="19" s="1"/>
  <c r="P23" i="19"/>
  <c r="U38" i="5"/>
  <c r="R38" i="5"/>
  <c r="U41" i="5"/>
  <c r="R41" i="5"/>
  <c r="I50" i="5"/>
  <c r="X50" i="5"/>
  <c r="U46" i="5"/>
  <c r="R46" i="5"/>
  <c r="U47" i="5"/>
  <c r="R47" i="5"/>
  <c r="I48" i="5"/>
  <c r="K48" i="5" s="1"/>
  <c r="R48" i="5" s="1"/>
  <c r="X48" i="5"/>
  <c r="U26" i="5"/>
  <c r="P26" i="5"/>
  <c r="R26" i="5"/>
  <c r="U23" i="5"/>
  <c r="P23" i="5"/>
  <c r="R33" i="5"/>
  <c r="U33" i="5"/>
  <c r="I49" i="5"/>
  <c r="X49" i="5"/>
  <c r="U13" i="5"/>
  <c r="P13" i="5"/>
  <c r="R32" i="5"/>
  <c r="U32" i="5"/>
  <c r="U12" i="5"/>
  <c r="P12" i="5"/>
  <c r="U21" i="5"/>
  <c r="P21" i="5"/>
  <c r="P6" i="5"/>
  <c r="U6" i="5"/>
  <c r="U9" i="5"/>
  <c r="P9" i="5"/>
  <c r="U36" i="5"/>
  <c r="R36" i="5"/>
  <c r="P22" i="5"/>
  <c r="U22" i="5"/>
  <c r="U10" i="5"/>
  <c r="P10" i="5"/>
  <c r="U19" i="5"/>
  <c r="P19" i="5"/>
  <c r="U20" i="5"/>
  <c r="P20" i="5"/>
  <c r="R29" i="5"/>
  <c r="U29" i="5"/>
  <c r="P29" i="5"/>
  <c r="U7" i="5"/>
  <c r="P7" i="5"/>
  <c r="F30" i="12"/>
  <c r="M29" i="12"/>
  <c r="U17" i="5"/>
  <c r="P17" i="5"/>
  <c r="U18" i="5"/>
  <c r="P18" i="5"/>
  <c r="R27" i="5"/>
  <c r="P27" i="5"/>
  <c r="R28" i="5"/>
  <c r="P28" i="5"/>
  <c r="U28" i="5"/>
  <c r="U37" i="5"/>
  <c r="R37" i="5"/>
  <c r="P15" i="5"/>
  <c r="U15" i="5"/>
  <c r="P24" i="5"/>
  <c r="U24" i="5"/>
  <c r="R24" i="5"/>
  <c r="U16" i="5"/>
  <c r="P16" i="5"/>
  <c r="R45" i="5"/>
  <c r="U45" i="5"/>
  <c r="U25" i="5"/>
  <c r="P25" i="5"/>
  <c r="R25" i="5"/>
  <c r="U34" i="5"/>
  <c r="R34" i="5"/>
  <c r="R43" i="5"/>
  <c r="U43" i="5"/>
  <c r="U44" i="5"/>
  <c r="R44" i="5"/>
  <c r="P30" i="5"/>
  <c r="R30" i="5"/>
  <c r="U30" i="5"/>
  <c r="R31" i="5"/>
  <c r="U31" i="5"/>
  <c r="M141" i="14"/>
  <c r="U140" i="14"/>
  <c r="S140" i="14"/>
  <c r="U8" i="5"/>
  <c r="P8" i="5"/>
  <c r="D37" i="10"/>
  <c r="I36" i="10"/>
  <c r="F20" i="17"/>
  <c r="P20" i="17" s="1"/>
  <c r="I19" i="17"/>
  <c r="M20" i="17" s="1"/>
  <c r="J76" i="6"/>
  <c r="L76" i="6" s="1"/>
  <c r="J101" i="6"/>
  <c r="L101" i="6" s="1"/>
  <c r="J100" i="6"/>
  <c r="L100" i="6" s="1"/>
  <c r="M141" i="9"/>
  <c r="O140" i="9"/>
  <c r="K31" i="13"/>
  <c r="Q30" i="13"/>
  <c r="F34" i="4"/>
  <c r="I34" i="4" s="1"/>
  <c r="I29" i="4"/>
  <c r="F56" i="4"/>
  <c r="I56" i="4" s="1"/>
  <c r="F55" i="4"/>
  <c r="K55" i="4"/>
  <c r="F54" i="4"/>
  <c r="I54" i="4" s="1"/>
  <c r="F53" i="4"/>
  <c r="F52" i="4"/>
  <c r="F51" i="4"/>
  <c r="F50" i="4"/>
  <c r="F49" i="4"/>
  <c r="I49" i="4" s="1"/>
  <c r="F48" i="4"/>
  <c r="I48" i="4" s="1"/>
  <c r="F47" i="4"/>
  <c r="I47" i="4" s="1"/>
  <c r="F46" i="4"/>
  <c r="F45" i="4"/>
  <c r="F44" i="4"/>
  <c r="I44" i="4" s="1"/>
  <c r="F43" i="4"/>
  <c r="I43" i="4" s="1"/>
  <c r="F42" i="4"/>
  <c r="F41" i="4"/>
  <c r="I41" i="4" s="1"/>
  <c r="F40" i="4"/>
  <c r="I40" i="4" s="1"/>
  <c r="F39" i="4"/>
  <c r="I39" i="4" s="1"/>
  <c r="F38" i="4"/>
  <c r="F37" i="4"/>
  <c r="F36" i="4"/>
  <c r="I36" i="4" s="1"/>
  <c r="F35" i="4"/>
  <c r="I35" i="4" s="1"/>
  <c r="F32" i="4"/>
  <c r="I32" i="4" s="1"/>
  <c r="F33" i="4"/>
  <c r="E54" i="4"/>
  <c r="L54" i="4" s="1"/>
  <c r="K52" i="4"/>
  <c r="K48" i="4"/>
  <c r="E46" i="4"/>
  <c r="K44" i="4"/>
  <c r="K40" i="4"/>
  <c r="E38" i="4"/>
  <c r="K36" i="4"/>
  <c r="K32" i="4"/>
  <c r="E30" i="4"/>
  <c r="K28" i="4"/>
  <c r="K24" i="4"/>
  <c r="E22" i="4"/>
  <c r="L22" i="4" s="1"/>
  <c r="K20" i="4"/>
  <c r="K16" i="4"/>
  <c r="E14" i="4"/>
  <c r="L14" i="4" s="1"/>
  <c r="K12" i="4"/>
  <c r="K8" i="4"/>
  <c r="L56" i="4"/>
  <c r="K9" i="4"/>
  <c r="K10" i="4"/>
  <c r="K11" i="4"/>
  <c r="K13" i="4"/>
  <c r="K14" i="4"/>
  <c r="K15" i="4"/>
  <c r="K17" i="4"/>
  <c r="K18" i="4"/>
  <c r="K19" i="4"/>
  <c r="K21" i="4"/>
  <c r="K22" i="4"/>
  <c r="K23" i="4"/>
  <c r="K25" i="4"/>
  <c r="K26" i="4"/>
  <c r="K27" i="4"/>
  <c r="K29" i="4"/>
  <c r="K30" i="4"/>
  <c r="K31" i="4"/>
  <c r="K33" i="4"/>
  <c r="K34" i="4"/>
  <c r="K35" i="4"/>
  <c r="K37" i="4"/>
  <c r="K38" i="4"/>
  <c r="K39" i="4"/>
  <c r="K41" i="4"/>
  <c r="K42" i="4"/>
  <c r="K43" i="4"/>
  <c r="K45" i="4"/>
  <c r="K46" i="4"/>
  <c r="K47" i="4"/>
  <c r="K49" i="4"/>
  <c r="K50" i="4"/>
  <c r="K51" i="4"/>
  <c r="K53" i="4"/>
  <c r="K54" i="4"/>
  <c r="K7" i="4"/>
  <c r="I30" i="4"/>
  <c r="I31" i="4"/>
  <c r="I33" i="4"/>
  <c r="I37" i="4"/>
  <c r="I38" i="4"/>
  <c r="I42" i="4"/>
  <c r="I45" i="4"/>
  <c r="I46" i="4"/>
  <c r="I50" i="4"/>
  <c r="I51" i="4"/>
  <c r="I52" i="4"/>
  <c r="I53" i="4"/>
  <c r="I55" i="4"/>
  <c r="H56" i="4"/>
  <c r="E8" i="4"/>
  <c r="L8" i="4" s="1"/>
  <c r="E9" i="4"/>
  <c r="L9" i="4" s="1"/>
  <c r="E10" i="4"/>
  <c r="L10" i="4" s="1"/>
  <c r="E11" i="4"/>
  <c r="L11" i="4" s="1"/>
  <c r="E12" i="4"/>
  <c r="L12" i="4" s="1"/>
  <c r="E13" i="4"/>
  <c r="L13" i="4" s="1"/>
  <c r="E15" i="4"/>
  <c r="L15" i="4" s="1"/>
  <c r="E16" i="4"/>
  <c r="L16" i="4" s="1"/>
  <c r="E17" i="4"/>
  <c r="L17" i="4" s="1"/>
  <c r="E18" i="4"/>
  <c r="L18" i="4" s="1"/>
  <c r="E19" i="4"/>
  <c r="L19" i="4" s="1"/>
  <c r="E20" i="4"/>
  <c r="L20" i="4" s="1"/>
  <c r="E21" i="4"/>
  <c r="L21" i="4" s="1"/>
  <c r="E23" i="4"/>
  <c r="L23" i="4" s="1"/>
  <c r="E24" i="4"/>
  <c r="L24" i="4" s="1"/>
  <c r="E25" i="4"/>
  <c r="L25" i="4" s="1"/>
  <c r="E26" i="4"/>
  <c r="L26" i="4" s="1"/>
  <c r="E27" i="4"/>
  <c r="L27" i="4" s="1"/>
  <c r="E28" i="4"/>
  <c r="L28" i="4" s="1"/>
  <c r="E29" i="4"/>
  <c r="H29" i="4" s="1"/>
  <c r="J29" i="4" s="1"/>
  <c r="E31" i="4"/>
  <c r="H31" i="4" s="1"/>
  <c r="J31" i="4" s="1"/>
  <c r="E32" i="4"/>
  <c r="H32" i="4" s="1"/>
  <c r="J32" i="4" s="1"/>
  <c r="E33" i="4"/>
  <c r="L33" i="4" s="1"/>
  <c r="E34" i="4"/>
  <c r="L34" i="4" s="1"/>
  <c r="E35" i="4"/>
  <c r="L35" i="4" s="1"/>
  <c r="E36" i="4"/>
  <c r="L36" i="4" s="1"/>
  <c r="E37" i="4"/>
  <c r="L37" i="4" s="1"/>
  <c r="E39" i="4"/>
  <c r="H39" i="4" s="1"/>
  <c r="J39" i="4" s="1"/>
  <c r="E40" i="4"/>
  <c r="H40" i="4" s="1"/>
  <c r="J40" i="4" s="1"/>
  <c r="E41" i="4"/>
  <c r="L41" i="4" s="1"/>
  <c r="E42" i="4"/>
  <c r="L42" i="4" s="1"/>
  <c r="E43" i="4"/>
  <c r="L43" i="4" s="1"/>
  <c r="E44" i="4"/>
  <c r="L44" i="4" s="1"/>
  <c r="E45" i="4"/>
  <c r="L45" i="4" s="1"/>
  <c r="E47" i="4"/>
  <c r="H47" i="4" s="1"/>
  <c r="J47" i="4" s="1"/>
  <c r="E48" i="4"/>
  <c r="H48" i="4" s="1"/>
  <c r="J48" i="4" s="1"/>
  <c r="E49" i="4"/>
  <c r="L49" i="4" s="1"/>
  <c r="E50" i="4"/>
  <c r="L50" i="4" s="1"/>
  <c r="E51" i="4"/>
  <c r="L51" i="4" s="1"/>
  <c r="E52" i="4"/>
  <c r="L52" i="4" s="1"/>
  <c r="E53" i="4"/>
  <c r="L53" i="4" s="1"/>
  <c r="L55" i="4"/>
  <c r="L7" i="4"/>
  <c r="D26" i="27" l="1"/>
  <c r="B27" i="27"/>
  <c r="P24" i="27"/>
  <c r="F25" i="27"/>
  <c r="I24" i="27"/>
  <c r="M24" i="27" s="1"/>
  <c r="F25" i="26"/>
  <c r="I24" i="26"/>
  <c r="M24" i="26" s="1"/>
  <c r="P24" i="26"/>
  <c r="B26" i="26"/>
  <c r="D25" i="26"/>
  <c r="B27" i="25"/>
  <c r="D26" i="25"/>
  <c r="F25" i="25"/>
  <c r="P24" i="25"/>
  <c r="M60" i="25"/>
  <c r="D27" i="24"/>
  <c r="B28" i="24"/>
  <c r="F26" i="24"/>
  <c r="P25" i="24"/>
  <c r="M37" i="24"/>
  <c r="I24" i="23"/>
  <c r="M24" i="23" s="1"/>
  <c r="F25" i="23"/>
  <c r="P24" i="23"/>
  <c r="D26" i="23"/>
  <c r="B27" i="23"/>
  <c r="D27" i="22"/>
  <c r="B28" i="22"/>
  <c r="P25" i="22"/>
  <c r="F26" i="22"/>
  <c r="I25" i="22"/>
  <c r="M25" i="22" s="1"/>
  <c r="F25" i="21"/>
  <c r="I25" i="21" s="1"/>
  <c r="M25" i="21" s="1"/>
  <c r="P24" i="21"/>
  <c r="M12" i="20"/>
  <c r="F25" i="20"/>
  <c r="I25" i="20" s="1"/>
  <c r="P23" i="20"/>
  <c r="F24" i="19"/>
  <c r="I25" i="19" s="1"/>
  <c r="P24" i="19"/>
  <c r="F31" i="12"/>
  <c r="M30" i="12"/>
  <c r="T3" i="6"/>
  <c r="M142" i="14"/>
  <c r="U141" i="14"/>
  <c r="S141" i="14"/>
  <c r="R101" i="6"/>
  <c r="W1" i="5"/>
  <c r="D38" i="10"/>
  <c r="I37" i="10"/>
  <c r="F21" i="17"/>
  <c r="P21" i="17" s="1"/>
  <c r="I20" i="17"/>
  <c r="M21" i="17" s="1"/>
  <c r="M142" i="9"/>
  <c r="O141" i="9"/>
  <c r="K32" i="13"/>
  <c r="Q31" i="13"/>
  <c r="H55" i="4"/>
  <c r="L38" i="4"/>
  <c r="H38" i="4"/>
  <c r="J38" i="4" s="1"/>
  <c r="L46" i="4"/>
  <c r="H46" i="4"/>
  <c r="J46" i="4" s="1"/>
  <c r="L30" i="4"/>
  <c r="H30" i="4"/>
  <c r="J30" i="4" s="1"/>
  <c r="H54" i="4"/>
  <c r="J54" i="4" s="1"/>
  <c r="L48" i="4"/>
  <c r="L40" i="4"/>
  <c r="L32" i="4"/>
  <c r="H53" i="4"/>
  <c r="J53" i="4" s="1"/>
  <c r="H45" i="4"/>
  <c r="J45" i="4" s="1"/>
  <c r="H37" i="4"/>
  <c r="J37" i="4" s="1"/>
  <c r="L47" i="4"/>
  <c r="L39" i="4"/>
  <c r="L31" i="4"/>
  <c r="H52" i="4"/>
  <c r="J52" i="4" s="1"/>
  <c r="H44" i="4"/>
  <c r="J44" i="4" s="1"/>
  <c r="H36" i="4"/>
  <c r="J36" i="4" s="1"/>
  <c r="H51" i="4"/>
  <c r="J51" i="4" s="1"/>
  <c r="H43" i="4"/>
  <c r="J43" i="4" s="1"/>
  <c r="H35" i="4"/>
  <c r="J35" i="4" s="1"/>
  <c r="L29" i="4"/>
  <c r="H50" i="4"/>
  <c r="J50" i="4" s="1"/>
  <c r="H42" i="4"/>
  <c r="J42" i="4" s="1"/>
  <c r="H34" i="4"/>
  <c r="J34" i="4" s="1"/>
  <c r="H49" i="4"/>
  <c r="J49" i="4" s="1"/>
  <c r="H41" i="4"/>
  <c r="J41" i="4" s="1"/>
  <c r="H33" i="4"/>
  <c r="J33" i="4" s="1"/>
  <c r="D27" i="27" l="1"/>
  <c r="B28" i="27"/>
  <c r="F26" i="27"/>
  <c r="P25" i="27"/>
  <c r="I25" i="27"/>
  <c r="M25" i="27" s="1"/>
  <c r="F26" i="26"/>
  <c r="I25" i="26"/>
  <c r="M25" i="26" s="1"/>
  <c r="P25" i="26"/>
  <c r="B27" i="26"/>
  <c r="D26" i="26"/>
  <c r="F26" i="25"/>
  <c r="P25" i="25"/>
  <c r="M61" i="25"/>
  <c r="D27" i="25"/>
  <c r="B28" i="25"/>
  <c r="B29" i="24"/>
  <c r="D28" i="24"/>
  <c r="F27" i="24"/>
  <c r="M38" i="24"/>
  <c r="P26" i="24"/>
  <c r="I25" i="23"/>
  <c r="M25" i="23" s="1"/>
  <c r="F26" i="23"/>
  <c r="P25" i="23"/>
  <c r="D27" i="23"/>
  <c r="B28" i="23"/>
  <c r="B29" i="22"/>
  <c r="D28" i="22"/>
  <c r="P26" i="22"/>
  <c r="F27" i="22"/>
  <c r="I26" i="22"/>
  <c r="M26" i="22" s="1"/>
  <c r="P25" i="21"/>
  <c r="F26" i="21"/>
  <c r="I26" i="21" s="1"/>
  <c r="M26" i="21" s="1"/>
  <c r="P24" i="20"/>
  <c r="M13" i="20"/>
  <c r="F26" i="20"/>
  <c r="I26" i="20" s="1"/>
  <c r="P25" i="19"/>
  <c r="F25" i="19"/>
  <c r="I26" i="19" s="1"/>
  <c r="M143" i="14"/>
  <c r="S142" i="14"/>
  <c r="U142" i="14"/>
  <c r="R77" i="6"/>
  <c r="P6" i="6"/>
  <c r="P90" i="6"/>
  <c r="P114" i="6"/>
  <c r="P122" i="6"/>
  <c r="P97" i="6"/>
  <c r="P13" i="6"/>
  <c r="P44" i="6"/>
  <c r="P59" i="6"/>
  <c r="P65" i="6"/>
  <c r="P56" i="6"/>
  <c r="P119" i="6"/>
  <c r="P118" i="6"/>
  <c r="P100" i="6"/>
  <c r="P36" i="6"/>
  <c r="P115" i="6"/>
  <c r="P49" i="6"/>
  <c r="P112" i="6"/>
  <c r="P48" i="6"/>
  <c r="P111" i="6"/>
  <c r="P31" i="6"/>
  <c r="P110" i="6"/>
  <c r="P46" i="6"/>
  <c r="P125" i="6"/>
  <c r="P61" i="6"/>
  <c r="P121" i="6"/>
  <c r="P92" i="6"/>
  <c r="P28" i="6"/>
  <c r="P42" i="6"/>
  <c r="P107" i="6"/>
  <c r="P43" i="6"/>
  <c r="P41" i="6"/>
  <c r="P104" i="6"/>
  <c r="P40" i="6"/>
  <c r="P58" i="6"/>
  <c r="P103" i="6"/>
  <c r="P23" i="6"/>
  <c r="P102" i="6"/>
  <c r="P38" i="6"/>
  <c r="P117" i="6"/>
  <c r="P53" i="6"/>
  <c r="P89" i="6"/>
  <c r="P84" i="6"/>
  <c r="P20" i="6"/>
  <c r="P10" i="6"/>
  <c r="P99" i="6"/>
  <c r="P35" i="6"/>
  <c r="P96" i="6"/>
  <c r="P79" i="6"/>
  <c r="P15" i="6"/>
  <c r="P30" i="6"/>
  <c r="P109" i="6"/>
  <c r="P45" i="6"/>
  <c r="P106" i="6"/>
  <c r="P76" i="6"/>
  <c r="P12" i="6"/>
  <c r="P91" i="6"/>
  <c r="P27" i="6"/>
  <c r="P25" i="6"/>
  <c r="P88" i="6"/>
  <c r="P105" i="6"/>
  <c r="P71" i="6"/>
  <c r="P86" i="6"/>
  <c r="P101" i="6"/>
  <c r="P82" i="6"/>
  <c r="P68" i="6"/>
  <c r="P83" i="6"/>
  <c r="P33" i="6"/>
  <c r="P32" i="6"/>
  <c r="P94" i="6"/>
  <c r="P24" i="6"/>
  <c r="P7" i="6"/>
  <c r="P22" i="6"/>
  <c r="P37" i="6"/>
  <c r="P87" i="6"/>
  <c r="P113" i="6"/>
  <c r="P19" i="6"/>
  <c r="P66" i="6"/>
  <c r="P17" i="6"/>
  <c r="P80" i="6"/>
  <c r="P16" i="6"/>
  <c r="P81" i="6"/>
  <c r="P63" i="6"/>
  <c r="P78" i="6"/>
  <c r="P14" i="6"/>
  <c r="P93" i="6"/>
  <c r="P29" i="6"/>
  <c r="P50" i="6"/>
  <c r="P124" i="6"/>
  <c r="P60" i="6"/>
  <c r="P73" i="6"/>
  <c r="P75" i="6"/>
  <c r="P11" i="6"/>
  <c r="P26" i="6"/>
  <c r="P9" i="6"/>
  <c r="P72" i="6"/>
  <c r="P8" i="6"/>
  <c r="P57" i="6"/>
  <c r="P55" i="6"/>
  <c r="P70" i="6"/>
  <c r="P85" i="6"/>
  <c r="P21" i="6"/>
  <c r="P34" i="6"/>
  <c r="P116" i="6"/>
  <c r="P52" i="6"/>
  <c r="P95" i="6"/>
  <c r="P67" i="6"/>
  <c r="P64" i="6"/>
  <c r="P47" i="6"/>
  <c r="P62" i="6"/>
  <c r="P77" i="6"/>
  <c r="P18" i="6"/>
  <c r="P108" i="6"/>
  <c r="P98" i="6"/>
  <c r="P123" i="6"/>
  <c r="P120" i="6"/>
  <c r="P39" i="6"/>
  <c r="P54" i="6"/>
  <c r="P69" i="6"/>
  <c r="P74" i="6"/>
  <c r="P51" i="6"/>
  <c r="R97" i="6"/>
  <c r="R94" i="6"/>
  <c r="R90" i="6"/>
  <c r="R92" i="6"/>
  <c r="R87" i="6"/>
  <c r="R99" i="6"/>
  <c r="R88" i="6"/>
  <c r="R79" i="6"/>
  <c r="R83" i="6"/>
  <c r="R84" i="6"/>
  <c r="R93" i="6"/>
  <c r="R86" i="6"/>
  <c r="R89" i="6"/>
  <c r="R96" i="6"/>
  <c r="R82" i="6"/>
  <c r="R81" i="6"/>
  <c r="R80" i="6"/>
  <c r="R95" i="6"/>
  <c r="R85" i="6"/>
  <c r="R78" i="6"/>
  <c r="R91" i="6"/>
  <c r="R98" i="6"/>
  <c r="R76" i="6"/>
  <c r="R100" i="6"/>
  <c r="F32" i="12"/>
  <c r="M31" i="12"/>
  <c r="D39" i="10"/>
  <c r="I38" i="10"/>
  <c r="F22" i="17"/>
  <c r="P22" i="17" s="1"/>
  <c r="I21" i="17"/>
  <c r="M22" i="17" s="1"/>
  <c r="M143" i="9"/>
  <c r="O142" i="9"/>
  <c r="K33" i="13"/>
  <c r="Q32" i="13"/>
  <c r="J77" i="2"/>
  <c r="I76" i="2"/>
  <c r="I77" i="2" s="1"/>
  <c r="E53" i="2"/>
  <c r="F27" i="27" l="1"/>
  <c r="P26" i="27"/>
  <c r="I26" i="27"/>
  <c r="M26" i="27" s="1"/>
  <c r="D28" i="27"/>
  <c r="B29" i="27"/>
  <c r="I26" i="26"/>
  <c r="M26" i="26" s="1"/>
  <c r="P26" i="26"/>
  <c r="B28" i="26"/>
  <c r="D27" i="26"/>
  <c r="F27" i="26" s="1"/>
  <c r="D28" i="25"/>
  <c r="B29" i="25"/>
  <c r="P26" i="25"/>
  <c r="F27" i="25"/>
  <c r="M62" i="25"/>
  <c r="M39" i="24"/>
  <c r="F28" i="24"/>
  <c r="P27" i="24"/>
  <c r="B30" i="24"/>
  <c r="D29" i="24"/>
  <c r="D28" i="23"/>
  <c r="B29" i="23"/>
  <c r="F27" i="23"/>
  <c r="P26" i="23"/>
  <c r="I26" i="23"/>
  <c r="M26" i="23" s="1"/>
  <c r="B30" i="22"/>
  <c r="D29" i="22"/>
  <c r="F28" i="22"/>
  <c r="I27" i="22"/>
  <c r="M27" i="22" s="1"/>
  <c r="P27" i="22"/>
  <c r="F27" i="21"/>
  <c r="I27" i="21" s="1"/>
  <c r="M27" i="21" s="1"/>
  <c r="P26" i="21"/>
  <c r="M14" i="20"/>
  <c r="F27" i="20"/>
  <c r="I27" i="20" s="1"/>
  <c r="P25" i="20"/>
  <c r="P26" i="19"/>
  <c r="F26" i="19"/>
  <c r="I27" i="19" s="1"/>
  <c r="F33" i="12"/>
  <c r="M32" i="12"/>
  <c r="M144" i="14"/>
  <c r="S143" i="14"/>
  <c r="U143" i="14"/>
  <c r="D40" i="10"/>
  <c r="I39" i="10"/>
  <c r="F23" i="17"/>
  <c r="P23" i="17" s="1"/>
  <c r="I22" i="17"/>
  <c r="M23" i="17" s="1"/>
  <c r="M144" i="9"/>
  <c r="O143" i="9"/>
  <c r="K34" i="13"/>
  <c r="Q33" i="13"/>
  <c r="L53" i="2"/>
  <c r="L54" i="2"/>
  <c r="L56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5" i="2"/>
  <c r="L10" i="3"/>
  <c r="L18" i="3"/>
  <c r="L26" i="3"/>
  <c r="L34" i="3"/>
  <c r="L42" i="3"/>
  <c r="L50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6" i="3"/>
  <c r="I6" i="3"/>
  <c r="N6" i="3" s="1"/>
  <c r="I7" i="3"/>
  <c r="N7" i="3" s="1"/>
  <c r="I13" i="3"/>
  <c r="N13" i="3" s="1"/>
  <c r="I14" i="3"/>
  <c r="N14" i="3" s="1"/>
  <c r="I15" i="3"/>
  <c r="N15" i="3" s="1"/>
  <c r="I21" i="3"/>
  <c r="N21" i="3" s="1"/>
  <c r="I22" i="3"/>
  <c r="N22" i="3" s="1"/>
  <c r="I23" i="3"/>
  <c r="N23" i="3" s="1"/>
  <c r="I29" i="3"/>
  <c r="N29" i="3" s="1"/>
  <c r="I5" i="3"/>
  <c r="N5" i="3" s="1"/>
  <c r="H10" i="3"/>
  <c r="J10" i="3" s="1"/>
  <c r="H11" i="3"/>
  <c r="J11" i="3" s="1"/>
  <c r="H18" i="3"/>
  <c r="J18" i="3" s="1"/>
  <c r="H19" i="3"/>
  <c r="J19" i="3" s="1"/>
  <c r="H26" i="3"/>
  <c r="J26" i="3" s="1"/>
  <c r="H27" i="3"/>
  <c r="J27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6" i="3"/>
  <c r="G5" i="3" s="1"/>
  <c r="F7" i="3"/>
  <c r="F8" i="3"/>
  <c r="I8" i="3" s="1"/>
  <c r="N8" i="3" s="1"/>
  <c r="F9" i="3"/>
  <c r="I9" i="3" s="1"/>
  <c r="N9" i="3" s="1"/>
  <c r="F10" i="3"/>
  <c r="I10" i="3" s="1"/>
  <c r="N10" i="3" s="1"/>
  <c r="F11" i="3"/>
  <c r="I11" i="3" s="1"/>
  <c r="N11" i="3" s="1"/>
  <c r="F12" i="3"/>
  <c r="I12" i="3" s="1"/>
  <c r="N12" i="3" s="1"/>
  <c r="F13" i="3"/>
  <c r="F14" i="3"/>
  <c r="F15" i="3"/>
  <c r="F16" i="3"/>
  <c r="I16" i="3" s="1"/>
  <c r="N16" i="3" s="1"/>
  <c r="F17" i="3"/>
  <c r="I17" i="3" s="1"/>
  <c r="N17" i="3" s="1"/>
  <c r="F18" i="3"/>
  <c r="I18" i="3" s="1"/>
  <c r="N18" i="3" s="1"/>
  <c r="F19" i="3"/>
  <c r="I19" i="3" s="1"/>
  <c r="N19" i="3" s="1"/>
  <c r="F20" i="3"/>
  <c r="I20" i="3" s="1"/>
  <c r="N20" i="3" s="1"/>
  <c r="F21" i="3"/>
  <c r="F22" i="3"/>
  <c r="F23" i="3"/>
  <c r="F24" i="3"/>
  <c r="I24" i="3" s="1"/>
  <c r="N24" i="3" s="1"/>
  <c r="F25" i="3"/>
  <c r="I25" i="3" s="1"/>
  <c r="N25" i="3" s="1"/>
  <c r="F26" i="3"/>
  <c r="I26" i="3" s="1"/>
  <c r="N26" i="3" s="1"/>
  <c r="F27" i="3"/>
  <c r="I27" i="3" s="1"/>
  <c r="N27" i="3" s="1"/>
  <c r="F28" i="3"/>
  <c r="I28" i="3" s="1"/>
  <c r="N28" i="3" s="1"/>
  <c r="F29" i="3"/>
  <c r="F30" i="3" s="1"/>
  <c r="I30" i="3" s="1"/>
  <c r="N30" i="3" s="1"/>
  <c r="F6" i="3"/>
  <c r="E7" i="3"/>
  <c r="L7" i="3" s="1"/>
  <c r="E8" i="3"/>
  <c r="E9" i="3"/>
  <c r="H9" i="3" s="1"/>
  <c r="J9" i="3" s="1"/>
  <c r="E10" i="3"/>
  <c r="E11" i="3"/>
  <c r="E12" i="3"/>
  <c r="E13" i="3"/>
  <c r="E14" i="3"/>
  <c r="E15" i="3"/>
  <c r="H15" i="3" s="1"/>
  <c r="J15" i="3" s="1"/>
  <c r="E16" i="3"/>
  <c r="H16" i="3" s="1"/>
  <c r="J16" i="3" s="1"/>
  <c r="E17" i="3"/>
  <c r="E18" i="3"/>
  <c r="E19" i="3"/>
  <c r="E20" i="3"/>
  <c r="E21" i="3"/>
  <c r="E22" i="3"/>
  <c r="E23" i="3"/>
  <c r="H23" i="3" s="1"/>
  <c r="J23" i="3" s="1"/>
  <c r="E24" i="3"/>
  <c r="L24" i="3" s="1"/>
  <c r="E25" i="3"/>
  <c r="H25" i="3" s="1"/>
  <c r="J25" i="3" s="1"/>
  <c r="E26" i="3"/>
  <c r="E27" i="3"/>
  <c r="E28" i="3"/>
  <c r="E29" i="3"/>
  <c r="E30" i="3"/>
  <c r="E31" i="3"/>
  <c r="L31" i="3" s="1"/>
  <c r="E32" i="3"/>
  <c r="E33" i="3"/>
  <c r="L33" i="3" s="1"/>
  <c r="E34" i="3"/>
  <c r="E35" i="3"/>
  <c r="E36" i="3"/>
  <c r="E37" i="3"/>
  <c r="E38" i="3"/>
  <c r="E39" i="3"/>
  <c r="E40" i="3"/>
  <c r="L40" i="3" s="1"/>
  <c r="E41" i="3"/>
  <c r="E42" i="3"/>
  <c r="E43" i="3"/>
  <c r="E44" i="3"/>
  <c r="E45" i="3"/>
  <c r="E46" i="3"/>
  <c r="E47" i="3"/>
  <c r="L47" i="3" s="1"/>
  <c r="E48" i="3"/>
  <c r="E49" i="3"/>
  <c r="L49" i="3" s="1"/>
  <c r="E50" i="3"/>
  <c r="E51" i="3"/>
  <c r="E52" i="3"/>
  <c r="E53" i="3"/>
  <c r="E6" i="3"/>
  <c r="H53" i="2"/>
  <c r="J53" i="2" s="1"/>
  <c r="H56" i="2"/>
  <c r="J56" i="2" s="1"/>
  <c r="H61" i="2"/>
  <c r="J61" i="2" s="1"/>
  <c r="E6" i="2"/>
  <c r="L6" i="2" s="1"/>
  <c r="E7" i="2"/>
  <c r="L7" i="2" s="1"/>
  <c r="E8" i="2"/>
  <c r="L8" i="2" s="1"/>
  <c r="E9" i="2"/>
  <c r="L9" i="2" s="1"/>
  <c r="E10" i="2"/>
  <c r="L10" i="2" s="1"/>
  <c r="E11" i="2"/>
  <c r="L11" i="2" s="1"/>
  <c r="E12" i="2"/>
  <c r="L12" i="2" s="1"/>
  <c r="E13" i="2"/>
  <c r="L13" i="2" s="1"/>
  <c r="E14" i="2"/>
  <c r="L14" i="2" s="1"/>
  <c r="E15" i="2"/>
  <c r="L15" i="2" s="1"/>
  <c r="E16" i="2"/>
  <c r="L16" i="2" s="1"/>
  <c r="E17" i="2"/>
  <c r="L17" i="2" s="1"/>
  <c r="E18" i="2"/>
  <c r="L18" i="2" s="1"/>
  <c r="E19" i="2"/>
  <c r="L19" i="2" s="1"/>
  <c r="E20" i="2"/>
  <c r="L20" i="2" s="1"/>
  <c r="E21" i="2"/>
  <c r="L21" i="2" s="1"/>
  <c r="E22" i="2"/>
  <c r="L22" i="2" s="1"/>
  <c r="E23" i="2"/>
  <c r="L23" i="2" s="1"/>
  <c r="E24" i="2"/>
  <c r="L24" i="2" s="1"/>
  <c r="E25" i="2"/>
  <c r="L25" i="2" s="1"/>
  <c r="E26" i="2"/>
  <c r="L26" i="2" s="1"/>
  <c r="E27" i="2"/>
  <c r="L27" i="2" s="1"/>
  <c r="E28" i="2"/>
  <c r="L28" i="2" s="1"/>
  <c r="E29" i="2"/>
  <c r="L29" i="2" s="1"/>
  <c r="E30" i="2"/>
  <c r="L30" i="2" s="1"/>
  <c r="E31" i="2"/>
  <c r="L31" i="2" s="1"/>
  <c r="E32" i="2"/>
  <c r="L32" i="2" s="1"/>
  <c r="E33" i="2"/>
  <c r="L33" i="2" s="1"/>
  <c r="E34" i="2"/>
  <c r="L34" i="2" s="1"/>
  <c r="E35" i="2"/>
  <c r="L35" i="2" s="1"/>
  <c r="E36" i="2"/>
  <c r="L36" i="2" s="1"/>
  <c r="E37" i="2"/>
  <c r="L37" i="2" s="1"/>
  <c r="E38" i="2"/>
  <c r="L38" i="2" s="1"/>
  <c r="E39" i="2"/>
  <c r="L39" i="2" s="1"/>
  <c r="E40" i="2"/>
  <c r="L40" i="2" s="1"/>
  <c r="E41" i="2"/>
  <c r="L41" i="2" s="1"/>
  <c r="E42" i="2"/>
  <c r="L42" i="2" s="1"/>
  <c r="E43" i="2"/>
  <c r="L43" i="2" s="1"/>
  <c r="E44" i="2"/>
  <c r="L44" i="2" s="1"/>
  <c r="E45" i="2"/>
  <c r="L45" i="2" s="1"/>
  <c r="E46" i="2"/>
  <c r="L46" i="2" s="1"/>
  <c r="E47" i="2"/>
  <c r="L47" i="2" s="1"/>
  <c r="E48" i="2"/>
  <c r="L48" i="2" s="1"/>
  <c r="E49" i="2"/>
  <c r="L49" i="2" s="1"/>
  <c r="E50" i="2"/>
  <c r="L50" i="2" s="1"/>
  <c r="E51" i="2"/>
  <c r="L51" i="2" s="1"/>
  <c r="E52" i="2"/>
  <c r="H52" i="2" s="1"/>
  <c r="E54" i="2"/>
  <c r="H54" i="2" s="1"/>
  <c r="J54" i="2" s="1"/>
  <c r="E55" i="2"/>
  <c r="L55" i="2" s="1"/>
  <c r="E56" i="2"/>
  <c r="E57" i="2"/>
  <c r="L57" i="2" s="1"/>
  <c r="E58" i="2"/>
  <c r="L58" i="2" s="1"/>
  <c r="E59" i="2"/>
  <c r="L59" i="2" s="1"/>
  <c r="E60" i="2"/>
  <c r="L60" i="2" s="1"/>
  <c r="E61" i="2"/>
  <c r="L61" i="2" s="1"/>
  <c r="E62" i="2"/>
  <c r="H62" i="2" s="1"/>
  <c r="J62" i="2" s="1"/>
  <c r="E63" i="2"/>
  <c r="L63" i="2" s="1"/>
  <c r="E64" i="2"/>
  <c r="H64" i="2" s="1"/>
  <c r="J64" i="2" s="1"/>
  <c r="E65" i="2"/>
  <c r="L65" i="2" s="1"/>
  <c r="E66" i="2"/>
  <c r="L66" i="2" s="1"/>
  <c r="E67" i="2"/>
  <c r="L67" i="2" s="1"/>
  <c r="E68" i="2"/>
  <c r="L68" i="2" s="1"/>
  <c r="E69" i="2"/>
  <c r="L69" i="2" s="1"/>
  <c r="E70" i="2"/>
  <c r="H70" i="2" s="1"/>
  <c r="J70" i="2" s="1"/>
  <c r="E71" i="2"/>
  <c r="L71" i="2" s="1"/>
  <c r="E72" i="2"/>
  <c r="H72" i="2" s="1"/>
  <c r="J72" i="2" s="1"/>
  <c r="E73" i="2"/>
  <c r="L73" i="2" s="1"/>
  <c r="E74" i="2"/>
  <c r="L74" i="2" s="1"/>
  <c r="E75" i="2"/>
  <c r="L75" i="2" s="1"/>
  <c r="E76" i="2"/>
  <c r="L76" i="2" s="1"/>
  <c r="E5" i="2"/>
  <c r="L5" i="2" s="1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52" i="2"/>
  <c r="F53" i="2"/>
  <c r="I53" i="2" s="1"/>
  <c r="I52" i="2" s="1"/>
  <c r="F54" i="2"/>
  <c r="I54" i="2" s="1"/>
  <c r="F55" i="2"/>
  <c r="I55" i="2" s="1"/>
  <c r="F56" i="2"/>
  <c r="I56" i="2" s="1"/>
  <c r="F57" i="2"/>
  <c r="I57" i="2" s="1"/>
  <c r="F58" i="2"/>
  <c r="I58" i="2" s="1"/>
  <c r="F59" i="2"/>
  <c r="I59" i="2" s="1"/>
  <c r="F60" i="2"/>
  <c r="I60" i="2" s="1"/>
  <c r="F61" i="2"/>
  <c r="I61" i="2" s="1"/>
  <c r="F62" i="2"/>
  <c r="I62" i="2" s="1"/>
  <c r="F63" i="2"/>
  <c r="I63" i="2" s="1"/>
  <c r="F64" i="2"/>
  <c r="I64" i="2" s="1"/>
  <c r="F65" i="2"/>
  <c r="I65" i="2" s="1"/>
  <c r="F66" i="2"/>
  <c r="I66" i="2" s="1"/>
  <c r="F67" i="2"/>
  <c r="I67" i="2" s="1"/>
  <c r="F68" i="2"/>
  <c r="I68" i="2" s="1"/>
  <c r="F69" i="2"/>
  <c r="I69" i="2" s="1"/>
  <c r="F70" i="2"/>
  <c r="I70" i="2" s="1"/>
  <c r="F71" i="2"/>
  <c r="I71" i="2" s="1"/>
  <c r="F72" i="2"/>
  <c r="I72" i="2" s="1"/>
  <c r="F73" i="2"/>
  <c r="I73" i="2" s="1"/>
  <c r="F74" i="2"/>
  <c r="I74" i="2" s="1"/>
  <c r="F75" i="2"/>
  <c r="I75" i="2" s="1"/>
  <c r="F52" i="2"/>
  <c r="B30" i="27" l="1"/>
  <c r="D29" i="27"/>
  <c r="F28" i="27"/>
  <c r="P27" i="27"/>
  <c r="I27" i="27"/>
  <c r="M27" i="27" s="1"/>
  <c r="F28" i="26"/>
  <c r="I27" i="26"/>
  <c r="M27" i="26" s="1"/>
  <c r="P27" i="26"/>
  <c r="D28" i="26"/>
  <c r="B29" i="26"/>
  <c r="M63" i="25"/>
  <c r="F28" i="25"/>
  <c r="P27" i="25"/>
  <c r="B30" i="25"/>
  <c r="D29" i="25"/>
  <c r="B31" i="24"/>
  <c r="D30" i="24"/>
  <c r="M40" i="24"/>
  <c r="F29" i="24"/>
  <c r="P28" i="24"/>
  <c r="F28" i="23"/>
  <c r="P27" i="23"/>
  <c r="I27" i="23"/>
  <c r="M27" i="23" s="1"/>
  <c r="B30" i="23"/>
  <c r="D29" i="23"/>
  <c r="B31" i="22"/>
  <c r="D30" i="22"/>
  <c r="P28" i="22"/>
  <c r="F29" i="22"/>
  <c r="I28" i="22"/>
  <c r="M28" i="22" s="1"/>
  <c r="M39" i="21"/>
  <c r="P27" i="21"/>
  <c r="F28" i="21"/>
  <c r="I28" i="21" s="1"/>
  <c r="M28" i="21" s="1"/>
  <c r="P26" i="20"/>
  <c r="M15" i="20"/>
  <c r="F28" i="20"/>
  <c r="F27" i="19"/>
  <c r="I28" i="19" s="1"/>
  <c r="P27" i="19"/>
  <c r="L16" i="3"/>
  <c r="H24" i="3"/>
  <c r="J24" i="3" s="1"/>
  <c r="H8" i="3"/>
  <c r="J8" i="3" s="1"/>
  <c r="L39" i="3"/>
  <c r="L23" i="3"/>
  <c r="L15" i="3"/>
  <c r="L17" i="3"/>
  <c r="H6" i="3"/>
  <c r="H7" i="3"/>
  <c r="J7" i="3" s="1"/>
  <c r="L6" i="3"/>
  <c r="L46" i="3"/>
  <c r="L38" i="3"/>
  <c r="L30" i="3"/>
  <c r="L22" i="3"/>
  <c r="L14" i="3"/>
  <c r="L72" i="2"/>
  <c r="L25" i="3"/>
  <c r="L9" i="3"/>
  <c r="L32" i="3"/>
  <c r="L8" i="3"/>
  <c r="H30" i="3"/>
  <c r="J30" i="3" s="1"/>
  <c r="H22" i="3"/>
  <c r="J22" i="3" s="1"/>
  <c r="H14" i="3"/>
  <c r="J14" i="3" s="1"/>
  <c r="L53" i="3"/>
  <c r="L45" i="3"/>
  <c r="L37" i="3"/>
  <c r="L29" i="3"/>
  <c r="L21" i="3"/>
  <c r="L13" i="3"/>
  <c r="L70" i="2"/>
  <c r="M145" i="14"/>
  <c r="S144" i="14"/>
  <c r="U144" i="14"/>
  <c r="L48" i="3"/>
  <c r="H69" i="2"/>
  <c r="J69" i="2" s="1"/>
  <c r="H29" i="3"/>
  <c r="J29" i="3" s="1"/>
  <c r="H21" i="3"/>
  <c r="J21" i="3" s="1"/>
  <c r="H13" i="3"/>
  <c r="J13" i="3" s="1"/>
  <c r="L52" i="3"/>
  <c r="L44" i="3"/>
  <c r="L36" i="3"/>
  <c r="L28" i="3"/>
  <c r="L20" i="3"/>
  <c r="L12" i="3"/>
  <c r="L64" i="2"/>
  <c r="L41" i="3"/>
  <c r="H17" i="3"/>
  <c r="J17" i="3" s="1"/>
  <c r="H28" i="3"/>
  <c r="J28" i="3" s="1"/>
  <c r="H20" i="3"/>
  <c r="J20" i="3" s="1"/>
  <c r="H12" i="3"/>
  <c r="J12" i="3" s="1"/>
  <c r="L51" i="3"/>
  <c r="L43" i="3"/>
  <c r="L35" i="3"/>
  <c r="L27" i="3"/>
  <c r="L19" i="3"/>
  <c r="L11" i="3"/>
  <c r="L62" i="2"/>
  <c r="F34" i="12"/>
  <c r="M33" i="12"/>
  <c r="D41" i="10"/>
  <c r="I40" i="10"/>
  <c r="F24" i="17"/>
  <c r="P24" i="17" s="1"/>
  <c r="I23" i="17"/>
  <c r="M24" i="17" s="1"/>
  <c r="M145" i="9"/>
  <c r="O144" i="9"/>
  <c r="K35" i="13"/>
  <c r="Q34" i="13"/>
  <c r="H71" i="2"/>
  <c r="J71" i="2" s="1"/>
  <c r="H63" i="2"/>
  <c r="J63" i="2" s="1"/>
  <c r="H55" i="2"/>
  <c r="J55" i="2" s="1"/>
  <c r="H76" i="2"/>
  <c r="J76" i="2" s="1"/>
  <c r="H68" i="2"/>
  <c r="J68" i="2" s="1"/>
  <c r="H60" i="2"/>
  <c r="J60" i="2" s="1"/>
  <c r="H75" i="2"/>
  <c r="J75" i="2" s="1"/>
  <c r="H67" i="2"/>
  <c r="J67" i="2" s="1"/>
  <c r="H59" i="2"/>
  <c r="J59" i="2" s="1"/>
  <c r="H74" i="2"/>
  <c r="J74" i="2" s="1"/>
  <c r="H66" i="2"/>
  <c r="J66" i="2" s="1"/>
  <c r="H58" i="2"/>
  <c r="J58" i="2" s="1"/>
  <c r="H73" i="2"/>
  <c r="J73" i="2" s="1"/>
  <c r="H65" i="2"/>
  <c r="J65" i="2" s="1"/>
  <c r="H57" i="2"/>
  <c r="J57" i="2" s="1"/>
  <c r="L52" i="2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I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28" i="1"/>
  <c r="B31" i="27" l="1"/>
  <c r="D30" i="27"/>
  <c r="I28" i="27"/>
  <c r="M28" i="27" s="1"/>
  <c r="F29" i="27"/>
  <c r="P28" i="27"/>
  <c r="I28" i="26"/>
  <c r="M28" i="26" s="1"/>
  <c r="F29" i="26"/>
  <c r="P28" i="26"/>
  <c r="B30" i="26"/>
  <c r="D29" i="26"/>
  <c r="B31" i="25"/>
  <c r="D30" i="25"/>
  <c r="M64" i="25"/>
  <c r="F29" i="25"/>
  <c r="P28" i="25"/>
  <c r="B32" i="24"/>
  <c r="D31" i="24"/>
  <c r="M41" i="24"/>
  <c r="F30" i="24"/>
  <c r="P29" i="24"/>
  <c r="B31" i="23"/>
  <c r="D30" i="23"/>
  <c r="I28" i="23"/>
  <c r="M28" i="23" s="1"/>
  <c r="F29" i="23"/>
  <c r="P28" i="23"/>
  <c r="B32" i="22"/>
  <c r="D31" i="22"/>
  <c r="I29" i="22"/>
  <c r="M29" i="22" s="1"/>
  <c r="P29" i="22"/>
  <c r="F30" i="22"/>
  <c r="F29" i="21"/>
  <c r="I29" i="21" s="1"/>
  <c r="M29" i="21" s="1"/>
  <c r="P28" i="21"/>
  <c r="M16" i="20"/>
  <c r="F29" i="20"/>
  <c r="P27" i="20"/>
  <c r="F28" i="19"/>
  <c r="I29" i="19" s="1"/>
  <c r="P28" i="19"/>
  <c r="F35" i="12"/>
  <c r="M34" i="12"/>
  <c r="H5" i="3"/>
  <c r="J5" i="3" s="1"/>
  <c r="J6" i="3"/>
  <c r="M146" i="14"/>
  <c r="S145" i="14"/>
  <c r="U145" i="14"/>
  <c r="D42" i="10"/>
  <c r="I41" i="10"/>
  <c r="F25" i="17"/>
  <c r="P25" i="17" s="1"/>
  <c r="I24" i="17"/>
  <c r="M25" i="17" s="1"/>
  <c r="M146" i="9"/>
  <c r="O145" i="9"/>
  <c r="K36" i="13"/>
  <c r="Q35" i="13"/>
  <c r="D31" i="27" l="1"/>
  <c r="B32" i="27"/>
  <c r="F30" i="27"/>
  <c r="I29" i="27"/>
  <c r="M29" i="27" s="1"/>
  <c r="P29" i="27"/>
  <c r="F30" i="26"/>
  <c r="I29" i="26"/>
  <c r="M29" i="26" s="1"/>
  <c r="P29" i="26"/>
  <c r="B31" i="26"/>
  <c r="D30" i="26"/>
  <c r="B32" i="25"/>
  <c r="D31" i="25"/>
  <c r="M65" i="25"/>
  <c r="F30" i="25"/>
  <c r="P29" i="25"/>
  <c r="F31" i="24"/>
  <c r="M42" i="24"/>
  <c r="P30" i="24"/>
  <c r="D32" i="24"/>
  <c r="B33" i="24"/>
  <c r="F30" i="23"/>
  <c r="I29" i="23"/>
  <c r="M29" i="23" s="1"/>
  <c r="P29" i="23"/>
  <c r="B32" i="23"/>
  <c r="D31" i="23"/>
  <c r="B33" i="22"/>
  <c r="D32" i="22"/>
  <c r="P30" i="22"/>
  <c r="F31" i="22"/>
  <c r="I30" i="22"/>
  <c r="M30" i="22" s="1"/>
  <c r="P29" i="21"/>
  <c r="F30" i="21"/>
  <c r="I30" i="21" s="1"/>
  <c r="M30" i="21" s="1"/>
  <c r="P28" i="20"/>
  <c r="M17" i="20"/>
  <c r="F30" i="20"/>
  <c r="F29" i="19"/>
  <c r="I30" i="19" s="1"/>
  <c r="P29" i="19"/>
  <c r="F36" i="12"/>
  <c r="M35" i="12"/>
  <c r="M147" i="14"/>
  <c r="U146" i="14"/>
  <c r="S146" i="14"/>
  <c r="R1" i="3"/>
  <c r="O6" i="3" s="1"/>
  <c r="D43" i="10"/>
  <c r="I42" i="10"/>
  <c r="F26" i="17"/>
  <c r="P26" i="17" s="1"/>
  <c r="I25" i="17"/>
  <c r="M26" i="17" s="1"/>
  <c r="M147" i="9"/>
  <c r="O146" i="9"/>
  <c r="K37" i="13"/>
  <c r="Q36" i="13"/>
  <c r="P30" i="27" l="1"/>
  <c r="F31" i="27"/>
  <c r="I30" i="27"/>
  <c r="M30" i="27" s="1"/>
  <c r="B33" i="27"/>
  <c r="D32" i="27"/>
  <c r="I30" i="26"/>
  <c r="M30" i="26" s="1"/>
  <c r="P30" i="26"/>
  <c r="F31" i="26"/>
  <c r="B32" i="26"/>
  <c r="D31" i="26"/>
  <c r="M66" i="25"/>
  <c r="F31" i="25"/>
  <c r="P30" i="25"/>
  <c r="D32" i="25"/>
  <c r="B33" i="25"/>
  <c r="B34" i="24"/>
  <c r="D33" i="24"/>
  <c r="M43" i="24"/>
  <c r="P31" i="24"/>
  <c r="F32" i="24"/>
  <c r="D32" i="23"/>
  <c r="B33" i="23"/>
  <c r="F31" i="23"/>
  <c r="I30" i="23"/>
  <c r="M30" i="23" s="1"/>
  <c r="P30" i="23"/>
  <c r="D33" i="22"/>
  <c r="B34" i="22"/>
  <c r="F32" i="22"/>
  <c r="I31" i="22"/>
  <c r="M31" i="22" s="1"/>
  <c r="P31" i="22"/>
  <c r="F31" i="21"/>
  <c r="I31" i="21" s="1"/>
  <c r="M31" i="21" s="1"/>
  <c r="P30" i="21"/>
  <c r="M18" i="20"/>
  <c r="F31" i="20"/>
  <c r="P29" i="20"/>
  <c r="F30" i="19"/>
  <c r="I31" i="19" s="1"/>
  <c r="P30" i="19"/>
  <c r="O26" i="3"/>
  <c r="O11" i="3"/>
  <c r="R45" i="3"/>
  <c r="R36" i="3"/>
  <c r="R35" i="3"/>
  <c r="R42" i="3"/>
  <c r="R15" i="3"/>
  <c r="R17" i="3"/>
  <c r="R47" i="3"/>
  <c r="R5" i="3"/>
  <c r="O15" i="3"/>
  <c r="O16" i="3"/>
  <c r="R37" i="3"/>
  <c r="R28" i="3"/>
  <c r="R27" i="3"/>
  <c r="R48" i="3"/>
  <c r="R34" i="3"/>
  <c r="R9" i="3"/>
  <c r="R6" i="3"/>
  <c r="R32" i="3"/>
  <c r="R52" i="3"/>
  <c r="R44" i="3"/>
  <c r="R25" i="3"/>
  <c r="O19" i="3"/>
  <c r="O10" i="3"/>
  <c r="R29" i="3"/>
  <c r="R40" i="3"/>
  <c r="R20" i="3"/>
  <c r="R46" i="3"/>
  <c r="R19" i="3"/>
  <c r="R8" i="3"/>
  <c r="R26" i="3"/>
  <c r="R22" i="3"/>
  <c r="R41" i="3"/>
  <c r="O25" i="3"/>
  <c r="R51" i="3"/>
  <c r="O9" i="3"/>
  <c r="R39" i="3"/>
  <c r="R50" i="3"/>
  <c r="O23" i="3"/>
  <c r="R16" i="3"/>
  <c r="R21" i="3"/>
  <c r="R31" i="3"/>
  <c r="R12" i="3"/>
  <c r="R14" i="3"/>
  <c r="R11" i="3"/>
  <c r="R23" i="3"/>
  <c r="R18" i="3"/>
  <c r="R38" i="3"/>
  <c r="R33" i="3"/>
  <c r="R24" i="3"/>
  <c r="O18" i="3"/>
  <c r="R7" i="3"/>
  <c r="R13" i="3"/>
  <c r="R30" i="3"/>
  <c r="R10" i="3"/>
  <c r="R49" i="3"/>
  <c r="O27" i="3"/>
  <c r="R43" i="3"/>
  <c r="O13" i="3"/>
  <c r="O20" i="3"/>
  <c r="O14" i="3"/>
  <c r="O17" i="3"/>
  <c r="O12" i="3"/>
  <c r="O8" i="3"/>
  <c r="O29" i="3"/>
  <c r="O7" i="3"/>
  <c r="O30" i="3"/>
  <c r="O22" i="3"/>
  <c r="O24" i="3"/>
  <c r="O28" i="3"/>
  <c r="O21" i="3"/>
  <c r="M148" i="14"/>
  <c r="U147" i="14"/>
  <c r="S147" i="14"/>
  <c r="O5" i="3"/>
  <c r="F37" i="12"/>
  <c r="M36" i="12"/>
  <c r="D44" i="10"/>
  <c r="I43" i="10"/>
  <c r="F27" i="17"/>
  <c r="I26" i="17"/>
  <c r="M148" i="9"/>
  <c r="O147" i="9"/>
  <c r="K38" i="13"/>
  <c r="Q37" i="13"/>
  <c r="D33" i="27" l="1"/>
  <c r="B34" i="27"/>
  <c r="F32" i="27"/>
  <c r="I31" i="27"/>
  <c r="M31" i="27" s="1"/>
  <c r="P31" i="27"/>
  <c r="F32" i="26"/>
  <c r="I31" i="26"/>
  <c r="M31" i="26" s="1"/>
  <c r="P31" i="26"/>
  <c r="B33" i="26"/>
  <c r="D32" i="26"/>
  <c r="B34" i="25"/>
  <c r="D33" i="25"/>
  <c r="M67" i="25"/>
  <c r="P31" i="25"/>
  <c r="F32" i="25"/>
  <c r="B35" i="24"/>
  <c r="D34" i="24"/>
  <c r="P32" i="24"/>
  <c r="F33" i="24"/>
  <c r="M44" i="24"/>
  <c r="I31" i="23"/>
  <c r="M31" i="23" s="1"/>
  <c r="P31" i="23"/>
  <c r="F32" i="23"/>
  <c r="B34" i="23"/>
  <c r="D33" i="23"/>
  <c r="B35" i="22"/>
  <c r="D34" i="22"/>
  <c r="P32" i="22"/>
  <c r="I32" i="22"/>
  <c r="M32" i="22" s="1"/>
  <c r="F33" i="22"/>
  <c r="F32" i="21"/>
  <c r="I32" i="21" s="1"/>
  <c r="M32" i="21" s="1"/>
  <c r="P31" i="21"/>
  <c r="P30" i="20"/>
  <c r="M19" i="20"/>
  <c r="F32" i="20"/>
  <c r="P31" i="19"/>
  <c r="F31" i="19"/>
  <c r="I32" i="19" s="1"/>
  <c r="F38" i="12"/>
  <c r="M37" i="12"/>
  <c r="F28" i="17"/>
  <c r="P27" i="17"/>
  <c r="M149" i="14"/>
  <c r="U148" i="14"/>
  <c r="S148" i="14"/>
  <c r="D45" i="10"/>
  <c r="I44" i="10"/>
  <c r="M27" i="17"/>
  <c r="I27" i="17"/>
  <c r="M28" i="17" s="1"/>
  <c r="M149" i="9"/>
  <c r="O148" i="9"/>
  <c r="K39" i="13"/>
  <c r="Q38" i="13"/>
  <c r="I32" i="27" l="1"/>
  <c r="M32" i="27" s="1"/>
  <c r="F33" i="27"/>
  <c r="P32" i="27"/>
  <c r="B35" i="27"/>
  <c r="D34" i="27"/>
  <c r="I32" i="26"/>
  <c r="M32" i="26" s="1"/>
  <c r="P32" i="26"/>
  <c r="F33" i="26"/>
  <c r="B34" i="26"/>
  <c r="D33" i="26"/>
  <c r="B35" i="25"/>
  <c r="D34" i="25"/>
  <c r="P32" i="25"/>
  <c r="F33" i="25"/>
  <c r="M68" i="25"/>
  <c r="D35" i="24"/>
  <c r="B36" i="24"/>
  <c r="F34" i="24"/>
  <c r="M45" i="24"/>
  <c r="P33" i="24"/>
  <c r="B35" i="23"/>
  <c r="D34" i="23"/>
  <c r="P32" i="23"/>
  <c r="F33" i="23"/>
  <c r="I32" i="23"/>
  <c r="M32" i="23" s="1"/>
  <c r="B36" i="22"/>
  <c r="D35" i="22"/>
  <c r="P33" i="22"/>
  <c r="F34" i="22"/>
  <c r="I33" i="22"/>
  <c r="M33" i="22" s="1"/>
  <c r="F33" i="21"/>
  <c r="I33" i="21" s="1"/>
  <c r="M33" i="21" s="1"/>
  <c r="P32" i="21"/>
  <c r="M20" i="20"/>
  <c r="F33" i="20"/>
  <c r="P31" i="20"/>
  <c r="P32" i="19"/>
  <c r="F32" i="19"/>
  <c r="I33" i="19" s="1"/>
  <c r="M150" i="14"/>
  <c r="U149" i="14"/>
  <c r="S149" i="14"/>
  <c r="F29" i="17"/>
  <c r="P28" i="17"/>
  <c r="F39" i="12"/>
  <c r="M38" i="12"/>
  <c r="D46" i="10"/>
  <c r="I45" i="10"/>
  <c r="M150" i="9"/>
  <c r="O149" i="9"/>
  <c r="K40" i="13"/>
  <c r="Q39" i="13"/>
  <c r="P33" i="27" l="1"/>
  <c r="F34" i="27"/>
  <c r="I33" i="27"/>
  <c r="M33" i="27" s="1"/>
  <c r="B36" i="27"/>
  <c r="D35" i="27"/>
  <c r="B35" i="26"/>
  <c r="D34" i="26"/>
  <c r="I33" i="26"/>
  <c r="M33" i="26" s="1"/>
  <c r="P33" i="26"/>
  <c r="F34" i="26"/>
  <c r="F34" i="25"/>
  <c r="M69" i="25"/>
  <c r="P33" i="25"/>
  <c r="D35" i="25"/>
  <c r="B36" i="25"/>
  <c r="M46" i="24"/>
  <c r="P34" i="24"/>
  <c r="F35" i="24"/>
  <c r="B37" i="24"/>
  <c r="D36" i="24"/>
  <c r="F34" i="23"/>
  <c r="I33" i="23"/>
  <c r="M33" i="23" s="1"/>
  <c r="P33" i="23"/>
  <c r="D35" i="23"/>
  <c r="B36" i="23"/>
  <c r="B37" i="22"/>
  <c r="D36" i="22"/>
  <c r="F35" i="22"/>
  <c r="I34" i="22"/>
  <c r="M34" i="22" s="1"/>
  <c r="P34" i="22"/>
  <c r="F34" i="21"/>
  <c r="I34" i="21" s="1"/>
  <c r="M34" i="21" s="1"/>
  <c r="P33" i="21"/>
  <c r="P32" i="20"/>
  <c r="M21" i="20"/>
  <c r="F34" i="20"/>
  <c r="F33" i="19"/>
  <c r="I34" i="19" s="1"/>
  <c r="P33" i="19"/>
  <c r="F40" i="12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M39" i="12"/>
  <c r="M40" i="12" s="1"/>
  <c r="F30" i="17"/>
  <c r="P29" i="17"/>
  <c r="M151" i="14"/>
  <c r="S150" i="14"/>
  <c r="U150" i="14"/>
  <c r="D47" i="10"/>
  <c r="I46" i="10"/>
  <c r="M151" i="9"/>
  <c r="M152" i="9" s="1"/>
  <c r="M153" i="9" s="1"/>
  <c r="M154" i="9" s="1"/>
  <c r="M155" i="9" s="1"/>
  <c r="M156" i="9" s="1"/>
  <c r="M157" i="9" s="1"/>
  <c r="M158" i="9" s="1"/>
  <c r="M159" i="9" s="1"/>
  <c r="M160" i="9" s="1"/>
  <c r="M161" i="9" s="1"/>
  <c r="M162" i="9" s="1"/>
  <c r="M163" i="9" s="1"/>
  <c r="M164" i="9" s="1"/>
  <c r="M165" i="9" s="1"/>
  <c r="M166" i="9" s="1"/>
  <c r="M167" i="9" s="1"/>
  <c r="M168" i="9" s="1"/>
  <c r="M169" i="9" s="1"/>
  <c r="M170" i="9" s="1"/>
  <c r="M171" i="9" s="1"/>
  <c r="O150" i="9"/>
  <c r="K41" i="13"/>
  <c r="Q41" i="13" s="1"/>
  <c r="Q40" i="13"/>
  <c r="F35" i="27" l="1"/>
  <c r="I34" i="27"/>
  <c r="M34" i="27" s="1"/>
  <c r="P34" i="27"/>
  <c r="D36" i="27"/>
  <c r="B37" i="27"/>
  <c r="F35" i="26"/>
  <c r="I34" i="26"/>
  <c r="M34" i="26" s="1"/>
  <c r="P34" i="26"/>
  <c r="B36" i="26"/>
  <c r="D35" i="26"/>
  <c r="B37" i="25"/>
  <c r="D36" i="25"/>
  <c r="P34" i="25"/>
  <c r="F35" i="25"/>
  <c r="M70" i="25"/>
  <c r="B38" i="24"/>
  <c r="D37" i="24"/>
  <c r="P35" i="24"/>
  <c r="F36" i="24"/>
  <c r="M47" i="24"/>
  <c r="B37" i="23"/>
  <c r="D36" i="23"/>
  <c r="P34" i="23"/>
  <c r="F35" i="23"/>
  <c r="I34" i="23"/>
  <c r="M34" i="23" s="1"/>
  <c r="D37" i="22"/>
  <c r="B38" i="22"/>
  <c r="F36" i="22"/>
  <c r="I35" i="22"/>
  <c r="M35" i="22" s="1"/>
  <c r="P35" i="22"/>
  <c r="P34" i="21"/>
  <c r="F35" i="21"/>
  <c r="I35" i="21" s="1"/>
  <c r="M35" i="21" s="1"/>
  <c r="M22" i="20"/>
  <c r="F35" i="20"/>
  <c r="P33" i="20"/>
  <c r="F34" i="19"/>
  <c r="I35" i="19" s="1"/>
  <c r="P34" i="19"/>
  <c r="U151" i="14"/>
  <c r="S151" i="14"/>
  <c r="F31" i="17"/>
  <c r="P30" i="17"/>
  <c r="D48" i="10"/>
  <c r="I47" i="10"/>
  <c r="P35" i="27" l="1"/>
  <c r="I35" i="27"/>
  <c r="M35" i="27" s="1"/>
  <c r="F36" i="27"/>
  <c r="B38" i="27"/>
  <c r="D37" i="27"/>
  <c r="D36" i="26"/>
  <c r="F36" i="26" s="1"/>
  <c r="B37" i="26"/>
  <c r="I35" i="26"/>
  <c r="M35" i="26" s="1"/>
  <c r="P35" i="26"/>
  <c r="P35" i="25"/>
  <c r="F36" i="25"/>
  <c r="M71" i="25"/>
  <c r="B38" i="25"/>
  <c r="D37" i="25"/>
  <c r="B39" i="24"/>
  <c r="D38" i="24"/>
  <c r="F37" i="24"/>
  <c r="M48" i="24"/>
  <c r="P36" i="24"/>
  <c r="P35" i="23"/>
  <c r="F36" i="23"/>
  <c r="I35" i="23"/>
  <c r="M35" i="23" s="1"/>
  <c r="B38" i="23"/>
  <c r="D37" i="23"/>
  <c r="B39" i="22"/>
  <c r="D38" i="22"/>
  <c r="F37" i="22"/>
  <c r="P36" i="22"/>
  <c r="I36" i="22"/>
  <c r="M36" i="22" s="1"/>
  <c r="F36" i="21"/>
  <c r="I36" i="21" s="1"/>
  <c r="M36" i="21" s="1"/>
  <c r="P35" i="21"/>
  <c r="P34" i="20"/>
  <c r="M23" i="20"/>
  <c r="F36" i="20"/>
  <c r="P35" i="19"/>
  <c r="F35" i="19"/>
  <c r="I36" i="19" s="1"/>
  <c r="F32" i="17"/>
  <c r="P31" i="17"/>
  <c r="D49" i="10"/>
  <c r="I49" i="10" s="1"/>
  <c r="I48" i="10"/>
  <c r="P36" i="27" l="1"/>
  <c r="F37" i="27"/>
  <c r="I36" i="27"/>
  <c r="M36" i="27" s="1"/>
  <c r="B39" i="27"/>
  <c r="D38" i="27"/>
  <c r="I36" i="26"/>
  <c r="M36" i="26" s="1"/>
  <c r="P36" i="26"/>
  <c r="B38" i="26"/>
  <c r="D37" i="26"/>
  <c r="F37" i="26" s="1"/>
  <c r="B39" i="25"/>
  <c r="D38" i="25"/>
  <c r="F37" i="25"/>
  <c r="M72" i="25"/>
  <c r="P36" i="25"/>
  <c r="P37" i="24"/>
  <c r="F38" i="24"/>
  <c r="M49" i="24"/>
  <c r="B40" i="24"/>
  <c r="D39" i="24"/>
  <c r="B39" i="23"/>
  <c r="D38" i="23"/>
  <c r="F37" i="23"/>
  <c r="I36" i="23"/>
  <c r="M36" i="23" s="1"/>
  <c r="P36" i="23"/>
  <c r="B40" i="22"/>
  <c r="D39" i="22"/>
  <c r="P37" i="22"/>
  <c r="F38" i="22"/>
  <c r="I37" i="22"/>
  <c r="M37" i="22" s="1"/>
  <c r="F37" i="21"/>
  <c r="I37" i="21" s="1"/>
  <c r="M37" i="21" s="1"/>
  <c r="P36" i="21"/>
  <c r="M24" i="20"/>
  <c r="F37" i="20"/>
  <c r="P35" i="20"/>
  <c r="P36" i="19"/>
  <c r="F36" i="19"/>
  <c r="I37" i="19" s="1"/>
  <c r="F33" i="17"/>
  <c r="P32" i="17"/>
  <c r="F38" i="27" l="1"/>
  <c r="I37" i="27"/>
  <c r="M37" i="27" s="1"/>
  <c r="P37" i="27"/>
  <c r="D39" i="27"/>
  <c r="B40" i="27"/>
  <c r="I37" i="26"/>
  <c r="M37" i="26" s="1"/>
  <c r="P37" i="26"/>
  <c r="B39" i="26"/>
  <c r="D38" i="26"/>
  <c r="F38" i="26" s="1"/>
  <c r="B40" i="25"/>
  <c r="D39" i="25"/>
  <c r="P37" i="25"/>
  <c r="F38" i="25"/>
  <c r="M73" i="25"/>
  <c r="D40" i="24"/>
  <c r="B41" i="24"/>
  <c r="F39" i="24"/>
  <c r="M50" i="24"/>
  <c r="P38" i="24"/>
  <c r="P37" i="23"/>
  <c r="F38" i="23"/>
  <c r="I37" i="23"/>
  <c r="M37" i="23" s="1"/>
  <c r="B40" i="23"/>
  <c r="D39" i="23"/>
  <c r="B41" i="22"/>
  <c r="D40" i="22"/>
  <c r="F39" i="22"/>
  <c r="I38" i="22"/>
  <c r="M38" i="22" s="1"/>
  <c r="P38" i="22"/>
  <c r="F38" i="21"/>
  <c r="I38" i="21" s="1"/>
  <c r="M38" i="21" s="1"/>
  <c r="P37" i="21"/>
  <c r="P36" i="20"/>
  <c r="M25" i="20"/>
  <c r="F38" i="20"/>
  <c r="F37" i="19"/>
  <c r="I38" i="19" s="1"/>
  <c r="P37" i="19"/>
  <c r="F34" i="17"/>
  <c r="P33" i="17"/>
  <c r="B41" i="27" l="1"/>
  <c r="D40" i="27"/>
  <c r="P38" i="27"/>
  <c r="F39" i="27"/>
  <c r="I38" i="27"/>
  <c r="M38" i="27" s="1"/>
  <c r="I38" i="26"/>
  <c r="M38" i="26" s="1"/>
  <c r="P38" i="26"/>
  <c r="D39" i="26"/>
  <c r="F39" i="26" s="1"/>
  <c r="B40" i="26"/>
  <c r="D40" i="25"/>
  <c r="B41" i="25"/>
  <c r="M74" i="25"/>
  <c r="F39" i="25"/>
  <c r="P38" i="25"/>
  <c r="M51" i="24"/>
  <c r="P39" i="24"/>
  <c r="F40" i="24"/>
  <c r="B42" i="24"/>
  <c r="D41" i="24"/>
  <c r="F39" i="23"/>
  <c r="I38" i="23"/>
  <c r="M38" i="23" s="1"/>
  <c r="P38" i="23"/>
  <c r="D40" i="23"/>
  <c r="B41" i="23"/>
  <c r="B42" i="22"/>
  <c r="D41" i="22"/>
  <c r="F40" i="22"/>
  <c r="I39" i="22"/>
  <c r="M39" i="22" s="1"/>
  <c r="P39" i="22"/>
  <c r="F39" i="21"/>
  <c r="P38" i="21"/>
  <c r="M26" i="20"/>
  <c r="F39" i="20"/>
  <c r="P37" i="20"/>
  <c r="F38" i="19"/>
  <c r="I39" i="19" s="1"/>
  <c r="P38" i="19"/>
  <c r="F35" i="17"/>
  <c r="P34" i="17"/>
  <c r="F40" i="27" l="1"/>
  <c r="I39" i="27"/>
  <c r="M39" i="27" s="1"/>
  <c r="P39" i="27"/>
  <c r="D41" i="27"/>
  <c r="B42" i="27"/>
  <c r="P39" i="26"/>
  <c r="I39" i="26"/>
  <c r="M39" i="26" s="1"/>
  <c r="B41" i="26"/>
  <c r="D40" i="26"/>
  <c r="F40" i="26" s="1"/>
  <c r="M75" i="25"/>
  <c r="P39" i="25"/>
  <c r="F40" i="25"/>
  <c r="B42" i="25"/>
  <c r="D41" i="25"/>
  <c r="P40" i="24"/>
  <c r="F41" i="24"/>
  <c r="D42" i="24"/>
  <c r="B43" i="24"/>
  <c r="B42" i="23"/>
  <c r="D41" i="23"/>
  <c r="I39" i="23"/>
  <c r="M39" i="23" s="1"/>
  <c r="P39" i="23"/>
  <c r="F40" i="23"/>
  <c r="B43" i="22"/>
  <c r="D42" i="22"/>
  <c r="P40" i="22"/>
  <c r="I40" i="22"/>
  <c r="F41" i="22"/>
  <c r="P39" i="21"/>
  <c r="F40" i="21"/>
  <c r="P38" i="20"/>
  <c r="M27" i="20"/>
  <c r="F40" i="20"/>
  <c r="P39" i="19"/>
  <c r="F39" i="19"/>
  <c r="F36" i="17"/>
  <c r="P35" i="17"/>
  <c r="I40" i="27" l="1"/>
  <c r="M40" i="27" s="1"/>
  <c r="F41" i="27"/>
  <c r="P40" i="27"/>
  <c r="D42" i="27"/>
  <c r="B43" i="27"/>
  <c r="I40" i="26"/>
  <c r="M40" i="26" s="1"/>
  <c r="P40" i="26"/>
  <c r="D41" i="26"/>
  <c r="F41" i="26" s="1"/>
  <c r="B42" i="26"/>
  <c r="X27" i="26"/>
  <c r="X25" i="26"/>
  <c r="D42" i="25"/>
  <c r="B43" i="25"/>
  <c r="P40" i="25"/>
  <c r="F41" i="25"/>
  <c r="M52" i="24"/>
  <c r="D43" i="24"/>
  <c r="B44" i="24"/>
  <c r="F42" i="24"/>
  <c r="P41" i="24"/>
  <c r="P40" i="23"/>
  <c r="I40" i="23"/>
  <c r="F41" i="23"/>
  <c r="B43" i="23"/>
  <c r="D42" i="23"/>
  <c r="D43" i="22"/>
  <c r="B44" i="22"/>
  <c r="P41" i="22"/>
  <c r="F42" i="22"/>
  <c r="M41" i="22"/>
  <c r="M40" i="22"/>
  <c r="F41" i="21"/>
  <c r="P40" i="21"/>
  <c r="F41" i="20"/>
  <c r="P40" i="19"/>
  <c r="F40" i="19"/>
  <c r="F37" i="17"/>
  <c r="P36" i="17"/>
  <c r="F42" i="27" l="1"/>
  <c r="P41" i="27"/>
  <c r="X28" i="27"/>
  <c r="X4" i="27"/>
  <c r="X5" i="27"/>
  <c r="X6" i="27"/>
  <c r="X7" i="27"/>
  <c r="X8" i="27"/>
  <c r="X9" i="27"/>
  <c r="X10" i="27"/>
  <c r="X11" i="27"/>
  <c r="X12" i="27"/>
  <c r="X13" i="27"/>
  <c r="X14" i="27"/>
  <c r="X15" i="27"/>
  <c r="X18" i="27"/>
  <c r="X16" i="27"/>
  <c r="X17" i="27"/>
  <c r="X20" i="27"/>
  <c r="X19" i="27"/>
  <c r="X22" i="27"/>
  <c r="X23" i="27"/>
  <c r="X25" i="27"/>
  <c r="X24" i="27"/>
  <c r="X21" i="27"/>
  <c r="X26" i="27"/>
  <c r="D43" i="27"/>
  <c r="B44" i="27"/>
  <c r="X27" i="27"/>
  <c r="P41" i="26"/>
  <c r="B43" i="26"/>
  <c r="D42" i="26"/>
  <c r="F42" i="26" s="1"/>
  <c r="X28" i="26"/>
  <c r="X7" i="26"/>
  <c r="X6" i="26"/>
  <c r="X4" i="26"/>
  <c r="X5" i="26"/>
  <c r="X8" i="26"/>
  <c r="X11" i="26"/>
  <c r="X9" i="26"/>
  <c r="X13" i="26"/>
  <c r="X12" i="26"/>
  <c r="X10" i="26"/>
  <c r="X15" i="26"/>
  <c r="X17" i="26"/>
  <c r="X14" i="26"/>
  <c r="X18" i="26"/>
  <c r="X16" i="26"/>
  <c r="X19" i="26"/>
  <c r="X21" i="26"/>
  <c r="X20" i="26"/>
  <c r="X24" i="26"/>
  <c r="X26" i="26"/>
  <c r="X22" i="26"/>
  <c r="X23" i="26"/>
  <c r="M76" i="25"/>
  <c r="F42" i="25"/>
  <c r="P41" i="25"/>
  <c r="D43" i="25"/>
  <c r="B44" i="25"/>
  <c r="F43" i="24"/>
  <c r="P42" i="24"/>
  <c r="D44" i="24"/>
  <c r="B45" i="24"/>
  <c r="X28" i="24"/>
  <c r="X27" i="24"/>
  <c r="X26" i="24"/>
  <c r="X24" i="24"/>
  <c r="X25" i="24"/>
  <c r="X22" i="24"/>
  <c r="X7" i="24"/>
  <c r="X8" i="24"/>
  <c r="X4" i="24"/>
  <c r="X5" i="24"/>
  <c r="X6" i="24"/>
  <c r="X10" i="24"/>
  <c r="X12" i="24"/>
  <c r="X9" i="24"/>
  <c r="X11" i="24"/>
  <c r="X13" i="24"/>
  <c r="X14" i="24"/>
  <c r="X16" i="24"/>
  <c r="X15" i="24"/>
  <c r="X20" i="24"/>
  <c r="X17" i="24"/>
  <c r="X18" i="24"/>
  <c r="X19" i="24"/>
  <c r="X23" i="24"/>
  <c r="X21" i="24"/>
  <c r="F42" i="23"/>
  <c r="P41" i="23"/>
  <c r="D43" i="23"/>
  <c r="B44" i="23"/>
  <c r="M40" i="23"/>
  <c r="B45" i="22"/>
  <c r="D44" i="22"/>
  <c r="X28" i="22"/>
  <c r="X22" i="22"/>
  <c r="X24" i="22"/>
  <c r="X23" i="22"/>
  <c r="X21" i="22"/>
  <c r="X25" i="22"/>
  <c r="X26" i="22"/>
  <c r="X27" i="22"/>
  <c r="P42" i="22"/>
  <c r="F43" i="22"/>
  <c r="X29" i="22"/>
  <c r="X6" i="22"/>
  <c r="X5" i="22"/>
  <c r="X7" i="22"/>
  <c r="X8" i="22"/>
  <c r="X12" i="22"/>
  <c r="X10" i="22"/>
  <c r="X9" i="22"/>
  <c r="X11" i="22"/>
  <c r="X14" i="22"/>
  <c r="X16" i="22"/>
  <c r="X13" i="22"/>
  <c r="X15" i="22"/>
  <c r="X18" i="22"/>
  <c r="X17" i="22"/>
  <c r="X20" i="22"/>
  <c r="X19" i="22"/>
  <c r="F42" i="21"/>
  <c r="P41" i="21"/>
  <c r="F42" i="20"/>
  <c r="F41" i="19"/>
  <c r="P41" i="19"/>
  <c r="F38" i="17"/>
  <c r="P37" i="17"/>
  <c r="D44" i="27" l="1"/>
  <c r="B45" i="27"/>
  <c r="F43" i="27"/>
  <c r="P42" i="27"/>
  <c r="P42" i="26"/>
  <c r="B44" i="26"/>
  <c r="D43" i="26"/>
  <c r="F43" i="26" s="1"/>
  <c r="D44" i="25"/>
  <c r="B45" i="25"/>
  <c r="X28" i="25"/>
  <c r="X22" i="25"/>
  <c r="X26" i="25"/>
  <c r="X24" i="25"/>
  <c r="X25" i="25"/>
  <c r="X27" i="25"/>
  <c r="F43" i="25"/>
  <c r="P42" i="25"/>
  <c r="X4" i="25"/>
  <c r="X6" i="25"/>
  <c r="X5" i="25"/>
  <c r="X10" i="25"/>
  <c r="X8" i="25"/>
  <c r="X7" i="25"/>
  <c r="X9" i="25"/>
  <c r="X13" i="25"/>
  <c r="X12" i="25"/>
  <c r="X11" i="25"/>
  <c r="X15" i="25"/>
  <c r="X14" i="25"/>
  <c r="X17" i="25"/>
  <c r="X16" i="25"/>
  <c r="X19" i="25"/>
  <c r="X18" i="25"/>
  <c r="X20" i="25"/>
  <c r="X21" i="25"/>
  <c r="X23" i="25"/>
  <c r="B46" i="24"/>
  <c r="D45" i="24"/>
  <c r="P43" i="24"/>
  <c r="F44" i="24"/>
  <c r="F43" i="23"/>
  <c r="P42" i="23"/>
  <c r="X5" i="23"/>
  <c r="X7" i="23"/>
  <c r="X6" i="23"/>
  <c r="X4" i="23"/>
  <c r="X10" i="23"/>
  <c r="X8" i="23"/>
  <c r="X9" i="23"/>
  <c r="X12" i="23"/>
  <c r="X11" i="23"/>
  <c r="X14" i="23"/>
  <c r="X13" i="23"/>
  <c r="X16" i="23"/>
  <c r="X17" i="23"/>
  <c r="X15" i="23"/>
  <c r="X19" i="23"/>
  <c r="X18" i="23"/>
  <c r="X22" i="23"/>
  <c r="X21" i="23"/>
  <c r="X20" i="23"/>
  <c r="X28" i="23"/>
  <c r="X27" i="23"/>
  <c r="X25" i="23"/>
  <c r="X24" i="23"/>
  <c r="X23" i="23"/>
  <c r="X26" i="23"/>
  <c r="D44" i="23"/>
  <c r="B45" i="23"/>
  <c r="B46" i="22"/>
  <c r="D45" i="22"/>
  <c r="F44" i="22"/>
  <c r="P43" i="22"/>
  <c r="F43" i="21"/>
  <c r="P42" i="21"/>
  <c r="F43" i="20"/>
  <c r="F42" i="19"/>
  <c r="P42" i="19"/>
  <c r="F39" i="17"/>
  <c r="P38" i="17"/>
  <c r="F44" i="27" l="1"/>
  <c r="P43" i="27"/>
  <c r="B46" i="27"/>
  <c r="D45" i="27"/>
  <c r="P43" i="26"/>
  <c r="D44" i="26"/>
  <c r="F44" i="26" s="1"/>
  <c r="B45" i="26"/>
  <c r="P43" i="25"/>
  <c r="F44" i="25"/>
  <c r="B46" i="25"/>
  <c r="D45" i="25"/>
  <c r="P44" i="24"/>
  <c r="F45" i="24"/>
  <c r="B47" i="24"/>
  <c r="D46" i="24"/>
  <c r="P43" i="23"/>
  <c r="F44" i="23"/>
  <c r="B46" i="23"/>
  <c r="D45" i="23"/>
  <c r="B47" i="22"/>
  <c r="D46" i="22"/>
  <c r="F45" i="22"/>
  <c r="P44" i="22"/>
  <c r="F44" i="21"/>
  <c r="P43" i="21"/>
  <c r="F44" i="20"/>
  <c r="P43" i="19"/>
  <c r="F43" i="19"/>
  <c r="F40" i="17"/>
  <c r="P39" i="17"/>
  <c r="B47" i="27" l="1"/>
  <c r="D46" i="27"/>
  <c r="P44" i="27"/>
  <c r="F45" i="27"/>
  <c r="P44" i="26"/>
  <c r="B46" i="26"/>
  <c r="D45" i="26"/>
  <c r="F45" i="26" s="1"/>
  <c r="B47" i="25"/>
  <c r="D46" i="25"/>
  <c r="P44" i="25"/>
  <c r="F45" i="25"/>
  <c r="P45" i="24"/>
  <c r="F46" i="24"/>
  <c r="D47" i="24"/>
  <c r="B48" i="24"/>
  <c r="B47" i="23"/>
  <c r="D46" i="23"/>
  <c r="P44" i="23"/>
  <c r="F45" i="23"/>
  <c r="B48" i="22"/>
  <c r="D47" i="22"/>
  <c r="P45" i="22"/>
  <c r="F46" i="22"/>
  <c r="F45" i="21"/>
  <c r="P44" i="21"/>
  <c r="F45" i="20"/>
  <c r="P44" i="19"/>
  <c r="F44" i="19"/>
  <c r="F41" i="17"/>
  <c r="P40" i="17"/>
  <c r="P45" i="27" l="1"/>
  <c r="F46" i="27"/>
  <c r="B48" i="27"/>
  <c r="D47" i="27"/>
  <c r="P45" i="26"/>
  <c r="B47" i="26"/>
  <c r="D46" i="26"/>
  <c r="F46" i="26" s="1"/>
  <c r="D47" i="25"/>
  <c r="B48" i="25"/>
  <c r="P45" i="25"/>
  <c r="F46" i="25"/>
  <c r="D48" i="24"/>
  <c r="B49" i="24"/>
  <c r="P46" i="24"/>
  <c r="F47" i="24"/>
  <c r="F46" i="23"/>
  <c r="P45" i="23"/>
  <c r="D47" i="23"/>
  <c r="B48" i="23"/>
  <c r="B49" i="22"/>
  <c r="D48" i="22"/>
  <c r="F47" i="22"/>
  <c r="P46" i="22"/>
  <c r="F46" i="21"/>
  <c r="P45" i="21"/>
  <c r="F46" i="20"/>
  <c r="F45" i="19"/>
  <c r="P45" i="19"/>
  <c r="F42" i="17"/>
  <c r="P41" i="17"/>
  <c r="D48" i="27" l="1"/>
  <c r="B49" i="27"/>
  <c r="P46" i="27"/>
  <c r="F47" i="27"/>
  <c r="P46" i="26"/>
  <c r="D47" i="26"/>
  <c r="F47" i="26" s="1"/>
  <c r="B48" i="26"/>
  <c r="D48" i="25"/>
  <c r="B49" i="25"/>
  <c r="P46" i="25"/>
  <c r="F47" i="25"/>
  <c r="P47" i="24"/>
  <c r="F48" i="24"/>
  <c r="D49" i="24"/>
  <c r="B50" i="24"/>
  <c r="D48" i="23"/>
  <c r="B49" i="23"/>
  <c r="P46" i="23"/>
  <c r="F47" i="23"/>
  <c r="B50" i="22"/>
  <c r="D49" i="22"/>
  <c r="F48" i="22"/>
  <c r="P47" i="22"/>
  <c r="F47" i="21"/>
  <c r="P46" i="21"/>
  <c r="F47" i="20"/>
  <c r="F46" i="19"/>
  <c r="P46" i="19"/>
  <c r="F43" i="17"/>
  <c r="P42" i="17"/>
  <c r="P47" i="27" l="1"/>
  <c r="F48" i="27"/>
  <c r="D49" i="27"/>
  <c r="B50" i="27"/>
  <c r="P47" i="26"/>
  <c r="B49" i="26"/>
  <c r="D48" i="26"/>
  <c r="F48" i="26" s="1"/>
  <c r="D49" i="25"/>
  <c r="B50" i="25"/>
  <c r="P47" i="25"/>
  <c r="F48" i="25"/>
  <c r="D50" i="24"/>
  <c r="B51" i="24"/>
  <c r="F49" i="24"/>
  <c r="P48" i="24"/>
  <c r="P47" i="23"/>
  <c r="F48" i="23"/>
  <c r="D49" i="23"/>
  <c r="B50" i="23"/>
  <c r="B51" i="22"/>
  <c r="D50" i="22"/>
  <c r="F49" i="22"/>
  <c r="P48" i="22"/>
  <c r="F48" i="21"/>
  <c r="P47" i="21"/>
  <c r="F48" i="20"/>
  <c r="P47" i="19"/>
  <c r="F47" i="19"/>
  <c r="F44" i="17"/>
  <c r="P43" i="17"/>
  <c r="D50" i="27" l="1"/>
  <c r="B51" i="27"/>
  <c r="F49" i="27"/>
  <c r="P48" i="27"/>
  <c r="P48" i="26"/>
  <c r="D49" i="26"/>
  <c r="F49" i="26" s="1"/>
  <c r="B50" i="26"/>
  <c r="F49" i="25"/>
  <c r="P48" i="25"/>
  <c r="D50" i="25"/>
  <c r="B51" i="25"/>
  <c r="F50" i="24"/>
  <c r="P49" i="24"/>
  <c r="D51" i="24"/>
  <c r="B52" i="24"/>
  <c r="D52" i="24" s="1"/>
  <c r="D50" i="23"/>
  <c r="B51" i="23"/>
  <c r="F49" i="23"/>
  <c r="P48" i="23"/>
  <c r="D51" i="22"/>
  <c r="B52" i="22"/>
  <c r="D52" i="22" s="1"/>
  <c r="P49" i="22"/>
  <c r="F50" i="22"/>
  <c r="F49" i="21"/>
  <c r="P48" i="21"/>
  <c r="F49" i="20"/>
  <c r="P48" i="19"/>
  <c r="F48" i="19"/>
  <c r="F45" i="17"/>
  <c r="P44" i="17"/>
  <c r="F50" i="27" l="1"/>
  <c r="P49" i="27"/>
  <c r="D51" i="27"/>
  <c r="B52" i="27"/>
  <c r="D52" i="27" s="1"/>
  <c r="P49" i="26"/>
  <c r="B51" i="26"/>
  <c r="D50" i="26"/>
  <c r="F50" i="26" s="1"/>
  <c r="D51" i="25"/>
  <c r="B52" i="25"/>
  <c r="D52" i="25" s="1"/>
  <c r="F50" i="25"/>
  <c r="P49" i="25"/>
  <c r="F51" i="24"/>
  <c r="P50" i="24"/>
  <c r="F50" i="23"/>
  <c r="P49" i="23"/>
  <c r="D51" i="23"/>
  <c r="B52" i="23"/>
  <c r="D52" i="23" s="1"/>
  <c r="P50" i="22"/>
  <c r="F51" i="22"/>
  <c r="F50" i="21"/>
  <c r="P49" i="21"/>
  <c r="F50" i="20"/>
  <c r="F49" i="19"/>
  <c r="P49" i="19"/>
  <c r="F46" i="17"/>
  <c r="P45" i="17"/>
  <c r="F51" i="27" l="1"/>
  <c r="P50" i="27"/>
  <c r="P50" i="26"/>
  <c r="B52" i="26"/>
  <c r="D51" i="26"/>
  <c r="F51" i="26" s="1"/>
  <c r="F51" i="25"/>
  <c r="P50" i="25"/>
  <c r="P51" i="24"/>
  <c r="F52" i="24"/>
  <c r="P52" i="24" s="1"/>
  <c r="F51" i="23"/>
  <c r="P50" i="23"/>
  <c r="F52" i="22"/>
  <c r="P52" i="22" s="1"/>
  <c r="P51" i="22"/>
  <c r="F51" i="21"/>
  <c r="P51" i="21" s="1"/>
  <c r="P50" i="21"/>
  <c r="F51" i="20"/>
  <c r="F50" i="19"/>
  <c r="P50" i="19"/>
  <c r="F47" i="17"/>
  <c r="P46" i="17"/>
  <c r="F52" i="27" l="1"/>
  <c r="P52" i="27" s="1"/>
  <c r="P51" i="27"/>
  <c r="P51" i="26"/>
  <c r="D52" i="26"/>
  <c r="F52" i="26" s="1"/>
  <c r="P51" i="25"/>
  <c r="F52" i="25"/>
  <c r="P52" i="25" s="1"/>
  <c r="P51" i="23"/>
  <c r="F52" i="23"/>
  <c r="P52" i="23" s="1"/>
  <c r="P51" i="19"/>
  <c r="F51" i="19"/>
  <c r="F52" i="19" s="1"/>
  <c r="F53" i="19" s="1"/>
  <c r="F54" i="19" s="1"/>
  <c r="F55" i="19" s="1"/>
  <c r="F56" i="19" s="1"/>
  <c r="F57" i="19" s="1"/>
  <c r="F58" i="19" s="1"/>
  <c r="F59" i="19" s="1"/>
  <c r="F60" i="19" s="1"/>
  <c r="F61" i="19" s="1"/>
  <c r="F62" i="19" s="1"/>
  <c r="F63" i="19" s="1"/>
  <c r="F64" i="19" s="1"/>
  <c r="F65" i="19" s="1"/>
  <c r="F66" i="19" s="1"/>
  <c r="F67" i="19" s="1"/>
  <c r="F68" i="19" s="1"/>
  <c r="F69" i="19" s="1"/>
  <c r="F70" i="19" s="1"/>
  <c r="F71" i="19" s="1"/>
  <c r="F72" i="19" s="1"/>
  <c r="F73" i="19" s="1"/>
  <c r="F74" i="19" s="1"/>
  <c r="F75" i="19" s="1"/>
  <c r="F48" i="17"/>
  <c r="P47" i="17"/>
  <c r="P52" i="26" l="1"/>
  <c r="F49" i="17"/>
  <c r="P48" i="17"/>
  <c r="F50" i="17" l="1"/>
  <c r="P50" i="17" s="1"/>
  <c r="P49" i="17"/>
  <c r="X3" i="20" l="1"/>
  <c r="X4" i="20"/>
  <c r="X6" i="20"/>
  <c r="X5" i="20"/>
  <c r="X7" i="20"/>
  <c r="X8" i="20"/>
  <c r="X10" i="20"/>
  <c r="X9" i="20"/>
  <c r="X11" i="20"/>
  <c r="X12" i="20"/>
  <c r="X13" i="20"/>
  <c r="X14" i="20"/>
  <c r="X15" i="20"/>
  <c r="X16" i="20"/>
  <c r="X18" i="20"/>
  <c r="X17" i="20"/>
  <c r="X20" i="20"/>
  <c r="X19" i="20"/>
  <c r="X22" i="20"/>
  <c r="X21" i="20"/>
  <c r="X23" i="20"/>
  <c r="X26" i="20"/>
  <c r="X25" i="20"/>
  <c r="X24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tc={7FA4FC18-1022-4316-9C01-D44D5C43C918}</author>
  </authors>
  <commentList>
    <comment ref="A1" authorId="0" shapeId="0" xr:uid="{7FA4FC18-1022-4316-9C01-D44D5C43C9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Attention: G1 = E24 , G2 = E23, G3 = E22 and so on!! Switch ERT profile
Reply:
    This means, that if ERT is switched, E25 becomes G1, E26 = G2
</t>
      </text>
    </comment>
  </commentList>
</comments>
</file>

<file path=xl/sharedStrings.xml><?xml version="1.0" encoding="utf-8"?>
<sst xmlns="http://schemas.openxmlformats.org/spreadsheetml/2006/main" count="2696" uniqueCount="337">
  <si>
    <t>abra02</t>
  </si>
  <si>
    <t>G1 = E25</t>
  </si>
  <si>
    <t>x</t>
  </si>
  <si>
    <t>z</t>
  </si>
  <si>
    <t>RST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</si>
  <si>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</si>
  <si>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</si>
  <si>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</si>
  <si>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</si>
  <si>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</si>
  <si>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</si>
  <si>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</si>
  <si>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</si>
  <si>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</si>
  <si>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</si>
  <si>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</si>
  <si>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</si>
  <si>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</si>
  <si>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</si>
  <si>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</si>
  <si>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</si>
  <si>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</si>
  <si>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</si>
  <si>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</si>
  <si>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</si>
  <si>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</si>
  <si>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</si>
  <si>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</si>
  <si>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</si>
  <si>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</si>
  <si>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</si>
  <si>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</si>
  <si>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</si>
  <si>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</si>
  <si>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</si>
  <si>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</si>
  <si>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</si>
  <si>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</si>
  <si>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</si>
  <si>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</si>
  <si>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</si>
  <si>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</si>
  <si>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</si>
  <si>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</si>
  <si>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</si>
  <si>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</si>
  <si>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</si>
  <si>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</si>
  <si>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</si>
  <si>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</si>
  <si>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</si>
  <si>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</si>
  <si>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</si>
  <si>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</si>
  <si>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</si>
  <si>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</si>
  <si>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</si>
  <si>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</si>
  <si>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</si>
  <si>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</si>
  <si>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</si>
  <si>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</si>
  <si>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</si>
  <si>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</si>
  <si>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</si>
  <si>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</si>
  <si>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</si>
  <si>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</si>
  <si>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</si>
  <si>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</si>
  <si>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</si>
  <si>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</si>
  <si>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</si>
  <si>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</si>
  <si>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</si>
  <si>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</si>
  <si>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</si>
  <si>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</si>
  <si>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</si>
  <si>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</si>
  <si>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</si>
  <si>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</si>
  <si>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</si>
  <si>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</si>
  <si>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</si>
  <si>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</si>
  <si>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</si>
  <si>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</si>
  <si>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</si>
  <si>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</si>
  <si>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</si>
  <si>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</si>
  <si>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</si>
  <si>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</si>
  <si>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</si>
  <si>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</si>
  <si>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</si>
  <si>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</si>
  <si>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</si>
  <si>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</si>
  <si>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</si>
  <si>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#ERT</t>
  </si>
  <si>
    <t>#GST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</si>
  <si>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</si>
  <si>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</si>
  <si>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</si>
  <si>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</si>
  <si>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</si>
  <si>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</si>
  <si>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</si>
  <si>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</si>
  <si>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</si>
  <si>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</si>
  <si>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</si>
  <si>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</si>
  <si>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</si>
  <si>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</si>
  <si>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</si>
  <si>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</si>
  <si>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</si>
  <si>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</si>
  <si>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</si>
  <si>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</si>
  <si>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</si>
  <si>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</si>
  <si>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</si>
  <si>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</si>
  <si>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</si>
  <si>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</si>
  <si>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</si>
  <si>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</si>
  <si>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</si>
  <si>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</si>
  <si>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</si>
  <si>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</si>
  <si>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</si>
  <si>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</si>
  <si>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</si>
  <si>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</si>
  <si>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</si>
  <si>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</si>
  <si>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</si>
  <si>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</si>
  <si>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</si>
  <si>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</si>
  <si>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</si>
  <si>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</si>
  <si>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</si>
  <si>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</si>
  <si>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</si>
  <si>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</si>
  <si>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</si>
  <si>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</si>
  <si>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</si>
  <si>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</si>
  <si>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</si>
  <si>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</si>
  <si>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</si>
  <si>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</si>
  <si>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</si>
  <si>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</si>
  <si>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</si>
  <si>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</si>
  <si>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</si>
  <si>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</si>
  <si>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</si>
  <si>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</si>
  <si>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</si>
  <si>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</si>
  <si>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</si>
  <si>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</si>
  <si>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</si>
  <si>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</si>
  <si>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</si>
  <si>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</si>
  <si>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offset</t>
  </si>
  <si>
    <t>z_alt</t>
  </si>
  <si>
    <t>z_depth</t>
  </si>
  <si>
    <t>ERT (original)</t>
  </si>
  <si>
    <t>RST (new)</t>
  </si>
  <si>
    <t>Only 72 electrodes in 2022, 96 in 2021</t>
  </si>
  <si>
    <t>abra09</t>
  </si>
  <si>
    <t>abra10</t>
  </si>
  <si>
    <t>G1 = E1</t>
  </si>
  <si>
    <t>G1 = E48</t>
  </si>
  <si>
    <t>GOL01</t>
  </si>
  <si>
    <t>GOL07ab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</si>
  <si>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</si>
  <si>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</si>
  <si>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</si>
  <si>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</si>
  <si>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</si>
  <si>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</si>
  <si>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</si>
  <si>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</si>
  <si>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</si>
  <si>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</si>
  <si>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</si>
  <si>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</si>
  <si>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</si>
  <si>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</si>
  <si>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</si>
  <si>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</si>
  <si>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</si>
  <si>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</si>
  <si>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</si>
  <si>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</si>
  <si>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</si>
  <si>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</si>
  <si>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</si>
  <si>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</si>
  <si>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G1 = E72</t>
  </si>
  <si>
    <t>SUE02</t>
  </si>
  <si>
    <t>G1 = E16</t>
  </si>
  <si>
    <t>RST = 3m spacing, ERT = 5m spacing</t>
  </si>
  <si>
    <t>RST original</t>
  </si>
  <si>
    <t>ERT</t>
  </si>
  <si>
    <t>diff</t>
  </si>
  <si>
    <t>depth</t>
  </si>
  <si>
    <t>depth ERT</t>
  </si>
  <si>
    <t>ERT = 5m spacing, RST = 2.5 m spacing</t>
  </si>
  <si>
    <t>altitude</t>
  </si>
  <si>
    <t>Electrode</t>
  </si>
  <si>
    <t>x_rst</t>
  </si>
  <si>
    <t>altitude_rst</t>
  </si>
  <si>
    <t xml:space="preserve">x </t>
  </si>
  <si>
    <t>ERT = 5m spacing</t>
  </si>
  <si>
    <t>RST = 3m spacing</t>
  </si>
  <si>
    <t>G1 = E16, G22 = E39</t>
  </si>
  <si>
    <t>ERT true</t>
  </si>
  <si>
    <t>geophone</t>
  </si>
  <si>
    <t>RST true PJI</t>
  </si>
  <si>
    <t>RST normal topo</t>
  </si>
  <si>
    <t>G1 = E124 of KUM02_ERT5m</t>
  </si>
  <si>
    <t>Both 5m spacing!</t>
  </si>
  <si>
    <t>G13 = E13</t>
  </si>
  <si>
    <t>Both 5m spacing</t>
  </si>
  <si>
    <t>electrode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</si>
  <si>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</si>
  <si>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</si>
  <si>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</si>
  <si>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</si>
  <si>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</si>
  <si>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</si>
  <si>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</si>
  <si>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</si>
  <si>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</si>
  <si>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</si>
  <si>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</si>
  <si>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</si>
  <si>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</si>
  <si>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</si>
  <si>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</si>
  <si>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</si>
  <si>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</si>
  <si>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</si>
  <si>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</si>
  <si>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</si>
  <si>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</si>
  <si>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</si>
  <si>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</si>
  <si>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</si>
  <si>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</si>
  <si>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</si>
  <si>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</si>
  <si>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</si>
  <si>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</si>
  <si>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</si>
  <si>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</si>
  <si>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</si>
  <si>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</si>
  <si>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</si>
  <si>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</si>
  <si>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</si>
  <si>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</si>
  <si>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</si>
  <si>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</si>
  <si>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</si>
  <si>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</si>
  <si>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</si>
  <si>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</si>
  <si>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</si>
  <si>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</si>
  <si>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</si>
  <si>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</si>
  <si>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</si>
  <si>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Ert</t>
  </si>
  <si>
    <t>RST (scroll down)</t>
  </si>
  <si>
    <t>adapted</t>
  </si>
  <si>
    <t>ERT dept</t>
  </si>
  <si>
    <t>RST depth</t>
  </si>
  <si>
    <t>xz</t>
  </si>
  <si>
    <t>ERT depth (true</t>
  </si>
  <si>
    <t>RST depth (true)</t>
  </si>
  <si>
    <t>5m</t>
  </si>
  <si>
    <t>2m</t>
  </si>
  <si>
    <t>G1 = E124</t>
  </si>
  <si>
    <t>RST, scroll down to E124</t>
  </si>
  <si>
    <t>x_true</t>
  </si>
  <si>
    <t>Where do they match??</t>
  </si>
  <si>
    <t>GOL07a only</t>
  </si>
  <si>
    <t>GOL07b only</t>
  </si>
  <si>
    <t>ERT depth</t>
  </si>
  <si>
    <t>Make RST start with highest point at point 0 for PJI</t>
  </si>
  <si>
    <t>RST max=</t>
  </si>
  <si>
    <t>RST final</t>
  </si>
  <si>
    <t>ERT final</t>
  </si>
  <si>
    <t>Make max RST point = 0</t>
  </si>
  <si>
    <t xml:space="preserve">RST max = </t>
  </si>
  <si>
    <t>z depth</t>
  </si>
  <si>
    <t>x true</t>
  </si>
  <si>
    <t>zdepth</t>
  </si>
  <si>
    <t>RST_max</t>
  </si>
  <si>
    <t>RST_max = 0</t>
  </si>
  <si>
    <t xml:space="preserve">RST_max = </t>
  </si>
  <si>
    <t>RST smooth</t>
  </si>
  <si>
    <t>ERT smooth</t>
  </si>
  <si>
    <t>GOL07c_max = set to 0</t>
  </si>
  <si>
    <t xml:space="preserve">GOL07c_max = </t>
  </si>
  <si>
    <t>ERTused</t>
  </si>
  <si>
    <t>RST used for Pygimli</t>
  </si>
  <si>
    <t>RST_final_fit</t>
  </si>
  <si>
    <t>G1 = E13</t>
  </si>
  <si>
    <t>RST (geophones) true horizontal</t>
  </si>
  <si>
    <t>ERT true horziontal</t>
  </si>
  <si>
    <t>ERT final (trure horizontal)</t>
  </si>
  <si>
    <t>This fits the ERT with the RST topo for pji inversions!</t>
  </si>
  <si>
    <t>RST topo_surface</t>
  </si>
  <si>
    <t>RST final pygimli fit</t>
  </si>
  <si>
    <t>RST _topo (true horizontal x)</t>
  </si>
  <si>
    <t>offset 10 m, 3m spacing</t>
  </si>
  <si>
    <t>G1 = E14</t>
  </si>
  <si>
    <t>spacing</t>
  </si>
  <si>
    <t>offset 2</t>
  </si>
  <si>
    <t>G1 = E24</t>
  </si>
  <si>
    <t>flipped ERT!!!</t>
  </si>
  <si>
    <t>G1 = E49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</si>
</sst>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dashed">
        <color indexed="64"/>
      </left>
      <right/>
      <top/>
      <bottom style="dotted">
        <color indexed="64"/>
      </bottom>
      <diagonal/>
    </border>
    <border>
      <left/>
      <right style="dash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4" xfId="0" applyBorder="1"/>
    <xf numFmtId="0" fontId="0" fillId="0" borderId="6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64" fontId="0" fillId="0" borderId="0" xfId="0" applyNumberFormat="1"/>
    <xf numFmtId="164" fontId="0" fillId="0" borderId="1" xfId="0" applyNumberFormat="1" applyBorder="1"/>
    <xf numFmtId="0" fontId="0" fillId="0" borderId="2" xfId="0" applyBorder="1"/>
    <xf numFmtId="164" fontId="0" fillId="0" borderId="3" xfId="0" applyNumberFormat="1" applyBorder="1"/>
    <xf numFmtId="164" fontId="0" fillId="0" borderId="5" xfId="0" applyNumberFormat="1" applyBorder="1"/>
    <xf numFmtId="0" fontId="1" fillId="2" borderId="0" xfId="0" applyFont="1" applyFill="1"/>
    <xf numFmtId="164" fontId="1" fillId="2" borderId="0" xfId="0" applyNumberFormat="1" applyFon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1" fillId="2" borderId="3" xfId="0" applyNumberFormat="1" applyFont="1" applyFill="1" applyBorder="1"/>
    <xf numFmtId="164" fontId="1" fillId="2" borderId="4" xfId="0" applyNumberFormat="1" applyFont="1" applyFill="1" applyBorder="1"/>
    <xf numFmtId="164" fontId="1" fillId="0" borderId="7" xfId="0" applyNumberFormat="1" applyFont="1" applyBorder="1"/>
    <xf numFmtId="0" fontId="0" fillId="0" borderId="7" xfId="0" applyBorder="1"/>
    <xf numFmtId="0" fontId="0" fillId="0" borderId="0" xfId="0" applyAlignment="1">
      <alignment horizontal="center"/>
    </xf>
    <xf numFmtId="164" fontId="0" fillId="0" borderId="7" xfId="0" applyNumberFormat="1" applyBorder="1"/>
    <xf numFmtId="165" fontId="0" fillId="0" borderId="0" xfId="0" applyNumberFormat="1"/>
    <xf numFmtId="0" fontId="3" fillId="0" borderId="0" xfId="0" applyFont="1"/>
    <xf numFmtId="164" fontId="4" fillId="3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1" fontId="0" fillId="0" borderId="0" xfId="0" applyNumberFormat="1"/>
    <xf numFmtId="164" fontId="1" fillId="2" borderId="1" xfId="0" applyNumberFormat="1" applyFont="1" applyFill="1" applyBorder="1"/>
    <xf numFmtId="164" fontId="1" fillId="2" borderId="2" xfId="0" applyNumberFormat="1" applyFont="1" applyFill="1" applyBorder="1"/>
    <xf numFmtId="164" fontId="1" fillId="2" borderId="5" xfId="0" applyNumberFormat="1" applyFont="1" applyFill="1" applyBorder="1"/>
    <xf numFmtId="164" fontId="1" fillId="2" borderId="6" xfId="0" applyNumberFormat="1" applyFont="1" applyFill="1" applyBorder="1"/>
    <xf numFmtId="164" fontId="1" fillId="0" borderId="1" xfId="0" applyNumberFormat="1" applyFont="1" applyBorder="1"/>
    <xf numFmtId="0" fontId="1" fillId="0" borderId="8" xfId="0" applyFont="1" applyBorder="1"/>
    <xf numFmtId="164" fontId="1" fillId="0" borderId="8" xfId="0" applyNumberFormat="1" applyFont="1" applyBorder="1"/>
    <xf numFmtId="0" fontId="1" fillId="0" borderId="2" xfId="0" applyFont="1" applyBorder="1"/>
    <xf numFmtId="164" fontId="1" fillId="0" borderId="3" xfId="0" applyNumberFormat="1" applyFont="1" applyBorder="1"/>
    <xf numFmtId="0" fontId="0" fillId="0" borderId="9" xfId="0" applyBorder="1"/>
    <xf numFmtId="164" fontId="0" fillId="0" borderId="9" xfId="0" applyNumberFormat="1" applyBorder="1"/>
    <xf numFmtId="0" fontId="7" fillId="0" borderId="0" xfId="0" applyFont="1"/>
    <xf numFmtId="2" fontId="7" fillId="0" borderId="0" xfId="0" applyNumberFormat="1" applyFont="1"/>
    <xf numFmtId="0" fontId="8" fillId="0" borderId="0" xfId="0" applyFont="1"/>
    <xf numFmtId="0" fontId="1" fillId="0" borderId="10" xfId="0" applyFont="1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3" xfId="0" applyFont="1" applyBorder="1"/>
    <xf numFmtId="164" fontId="4" fillId="3" borderId="12" xfId="0" applyNumberFormat="1" applyFont="1" applyFill="1" applyBorder="1" applyAlignment="1">
      <alignment horizontal="center"/>
    </xf>
    <xf numFmtId="164" fontId="4" fillId="3" borderId="14" xfId="0" applyNumberFormat="1" applyFont="1" applyFill="1" applyBorder="1" applyAlignment="1">
      <alignment horizontal="center"/>
    </xf>
    <xf numFmtId="0" fontId="1" fillId="0" borderId="16" xfId="0" applyFont="1" applyBorder="1"/>
    <xf numFmtId="0" fontId="1" fillId="0" borderId="12" xfId="0" applyFont="1" applyBorder="1"/>
    <xf numFmtId="0" fontId="0" fillId="0" borderId="19" xfId="0" applyBorder="1"/>
    <xf numFmtId="164" fontId="0" fillId="0" borderId="20" xfId="0" applyNumberFormat="1" applyBorder="1"/>
    <xf numFmtId="0" fontId="0" fillId="0" borderId="21" xfId="0" applyBorder="1"/>
    <xf numFmtId="0" fontId="0" fillId="0" borderId="22" xfId="0" applyBorder="1"/>
    <xf numFmtId="0" fontId="1" fillId="4" borderId="0" xfId="0" applyFont="1" applyFill="1"/>
    <xf numFmtId="0" fontId="0" fillId="4" borderId="0" xfId="0" applyFill="1"/>
    <xf numFmtId="164" fontId="1" fillId="4" borderId="0" xfId="0" applyNumberFormat="1" applyFont="1" applyFill="1"/>
    <xf numFmtId="164" fontId="0" fillId="4" borderId="0" xfId="0" applyNumberFormat="1" applyFill="1"/>
    <xf numFmtId="164" fontId="1" fillId="4" borderId="18" xfId="0" applyNumberFormat="1" applyFont="1" applyFill="1" applyBorder="1"/>
    <xf numFmtId="0" fontId="1" fillId="4" borderId="18" xfId="0" applyFont="1" applyFill="1" applyBorder="1"/>
    <xf numFmtId="0" fontId="0" fillId="4" borderId="18" xfId="0" applyFill="1" applyBorder="1"/>
    <xf numFmtId="164" fontId="0" fillId="4" borderId="18" xfId="0" applyNumberFormat="1" applyFill="1" applyBorder="1"/>
    <xf numFmtId="164" fontId="1" fillId="4" borderId="23" xfId="0" applyNumberFormat="1" applyFont="1" applyFill="1" applyBorder="1"/>
    <xf numFmtId="0" fontId="1" fillId="4" borderId="24" xfId="0" applyFont="1" applyFill="1" applyBorder="1"/>
    <xf numFmtId="164" fontId="1" fillId="4" borderId="24" xfId="0" applyNumberFormat="1" applyFont="1" applyFill="1" applyBorder="1"/>
    <xf numFmtId="0" fontId="1" fillId="4" borderId="25" xfId="0" applyFont="1" applyFill="1" applyBorder="1"/>
    <xf numFmtId="164" fontId="1" fillId="4" borderId="26" xfId="0" applyNumberFormat="1" applyFont="1" applyFill="1" applyBorder="1"/>
    <xf numFmtId="0" fontId="0" fillId="4" borderId="27" xfId="0" applyFill="1" applyBorder="1"/>
    <xf numFmtId="164" fontId="0" fillId="4" borderId="26" xfId="0" applyNumberFormat="1" applyFill="1" applyBorder="1"/>
    <xf numFmtId="164" fontId="0" fillId="4" borderId="28" xfId="0" applyNumberFormat="1" applyFill="1" applyBorder="1"/>
    <xf numFmtId="0" fontId="0" fillId="4" borderId="29" xfId="0" applyFill="1" applyBorder="1"/>
    <xf numFmtId="164" fontId="0" fillId="4" borderId="29" xfId="0" applyNumberFormat="1" applyFill="1" applyBorder="1"/>
    <xf numFmtId="0" fontId="0" fillId="4" borderId="30" xfId="0" applyFill="1" applyBorder="1"/>
    <xf numFmtId="164" fontId="1" fillId="4" borderId="1" xfId="0" applyNumberFormat="1" applyFont="1" applyFill="1" applyBorder="1"/>
    <xf numFmtId="0" fontId="1" fillId="4" borderId="8" xfId="0" applyFont="1" applyFill="1" applyBorder="1"/>
    <xf numFmtId="164" fontId="1" fillId="4" borderId="8" xfId="0" applyNumberFormat="1" applyFont="1" applyFill="1" applyBorder="1"/>
    <xf numFmtId="0" fontId="1" fillId="4" borderId="31" xfId="0" applyFont="1" applyFill="1" applyBorder="1"/>
    <xf numFmtId="0" fontId="1" fillId="4" borderId="32" xfId="0" applyFont="1" applyFill="1" applyBorder="1"/>
    <xf numFmtId="0" fontId="1" fillId="4" borderId="2" xfId="0" applyFont="1" applyFill="1" applyBorder="1"/>
    <xf numFmtId="164" fontId="1" fillId="4" borderId="3" xfId="0" applyNumberFormat="1" applyFont="1" applyFill="1" applyBorder="1"/>
    <xf numFmtId="0" fontId="1" fillId="4" borderId="13" xfId="0" applyFont="1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4" xfId="0" applyFill="1" applyBorder="1"/>
    <xf numFmtId="164" fontId="0" fillId="4" borderId="3" xfId="0" applyNumberFormat="1" applyFill="1" applyBorder="1"/>
    <xf numFmtId="0" fontId="0" fillId="4" borderId="17" xfId="0" applyFill="1" applyBorder="1"/>
    <xf numFmtId="164" fontId="0" fillId="4" borderId="17" xfId="0" applyNumberFormat="1" applyFill="1" applyBorder="1"/>
    <xf numFmtId="0" fontId="0" fillId="4" borderId="15" xfId="0" applyFill="1" applyBorder="1"/>
    <xf numFmtId="164" fontId="0" fillId="4" borderId="5" xfId="0" applyNumberFormat="1" applyFill="1" applyBorder="1"/>
    <xf numFmtId="0" fontId="0" fillId="4" borderId="9" xfId="0" applyFill="1" applyBorder="1"/>
    <xf numFmtId="164" fontId="0" fillId="4" borderId="9" xfId="0" applyNumberFormat="1" applyFill="1" applyBorder="1"/>
    <xf numFmtId="0" fontId="0" fillId="4" borderId="33" xfId="0" applyFill="1" applyBorder="1"/>
    <xf numFmtId="0" fontId="0" fillId="4" borderId="34" xfId="0" applyFill="1" applyBorder="1"/>
    <xf numFmtId="0" fontId="0" fillId="4" borderId="6" xfId="0" applyFill="1" applyBorder="1"/>
    <xf numFmtId="164" fontId="4" fillId="0" borderId="12" xfId="0" applyNumberFormat="1" applyFont="1" applyBorder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0" fontId="1" fillId="5" borderId="0" xfId="0" applyFont="1" applyFill="1"/>
    <xf numFmtId="0" fontId="1" fillId="5" borderId="12" xfId="0" applyFont="1" applyFill="1" applyBorder="1"/>
    <xf numFmtId="0" fontId="1" fillId="5" borderId="13" xfId="0" applyFont="1" applyFill="1" applyBorder="1"/>
    <xf numFmtId="0" fontId="1" fillId="6" borderId="12" xfId="0" applyFont="1" applyFill="1" applyBorder="1"/>
    <xf numFmtId="0" fontId="1" fillId="6" borderId="13" xfId="0" applyFont="1" applyFill="1" applyBorder="1"/>
    <xf numFmtId="0" fontId="1" fillId="6" borderId="0" xfId="0" applyFont="1" applyFill="1"/>
    <xf numFmtId="164" fontId="0" fillId="6" borderId="26" xfId="0" applyNumberFormat="1" applyFill="1" applyBorder="1"/>
    <xf numFmtId="0" fontId="0" fillId="6" borderId="18" xfId="0" applyFill="1" applyBorder="1"/>
    <xf numFmtId="164" fontId="0" fillId="6" borderId="18" xfId="0" applyNumberFormat="1" applyFill="1" applyBorder="1"/>
    <xf numFmtId="0" fontId="0" fillId="6" borderId="27" xfId="0" applyFill="1" applyBorder="1"/>
    <xf numFmtId="0" fontId="1" fillId="0" borderId="19" xfId="0" applyFont="1" applyBorder="1"/>
    <xf numFmtId="0" fontId="0" fillId="6" borderId="0" xfId="0" applyFill="1"/>
    <xf numFmtId="0" fontId="0" fillId="6" borderId="19" xfId="0" applyFill="1" applyBorder="1"/>
    <xf numFmtId="164" fontId="0" fillId="6" borderId="3" xfId="0" applyNumberFormat="1" applyFill="1" applyBorder="1"/>
    <xf numFmtId="164" fontId="1" fillId="6" borderId="0" xfId="0" applyNumberFormat="1" applyFont="1" applyFill="1"/>
    <xf numFmtId="164" fontId="0" fillId="4" borderId="38" xfId="0" applyNumberFormat="1" applyFill="1" applyBorder="1"/>
    <xf numFmtId="0" fontId="0" fillId="4" borderId="39" xfId="0" applyFill="1" applyBorder="1"/>
    <xf numFmtId="0" fontId="0" fillId="0" borderId="18" xfId="0" applyBorder="1"/>
    <xf numFmtId="0" fontId="0" fillId="0" borderId="27" xfId="0" applyBorder="1"/>
    <xf numFmtId="164" fontId="0" fillId="0" borderId="18" xfId="0" applyNumberFormat="1" applyBorder="1"/>
    <xf numFmtId="0" fontId="0" fillId="4" borderId="40" xfId="0" applyFill="1" applyBorder="1"/>
    <xf numFmtId="164" fontId="0" fillId="6" borderId="40" xfId="0" applyNumberFormat="1" applyFill="1" applyBorder="1"/>
    <xf numFmtId="164" fontId="1" fillId="4" borderId="35" xfId="0" applyNumberFormat="1" applyFont="1" applyFill="1" applyBorder="1"/>
    <xf numFmtId="0" fontId="1" fillId="4" borderId="36" xfId="0" applyFont="1" applyFill="1" applyBorder="1"/>
    <xf numFmtId="164" fontId="1" fillId="4" borderId="36" xfId="0" applyNumberFormat="1" applyFont="1" applyFill="1" applyBorder="1"/>
    <xf numFmtId="0" fontId="1" fillId="4" borderId="37" xfId="0" applyFont="1" applyFill="1" applyBorder="1"/>
    <xf numFmtId="0" fontId="11" fillId="7" borderId="0" xfId="0" applyFont="1" applyFill="1"/>
    <xf numFmtId="0" fontId="0" fillId="7" borderId="0" xfId="0" applyFill="1"/>
    <xf numFmtId="0" fontId="1" fillId="8" borderId="12" xfId="0" applyFont="1" applyFill="1" applyBorder="1"/>
    <xf numFmtId="164" fontId="0" fillId="8" borderId="0" xfId="0" applyNumberFormat="1" applyFill="1"/>
    <xf numFmtId="0" fontId="0" fillId="8" borderId="13" xfId="0" applyFill="1" applyBorder="1"/>
    <xf numFmtId="0" fontId="8" fillId="9" borderId="0" xfId="0" applyFont="1" applyFill="1"/>
    <xf numFmtId="0" fontId="10" fillId="5" borderId="0" xfId="0" applyFont="1" applyFill="1"/>
    <xf numFmtId="164" fontId="2" fillId="0" borderId="0" xfId="0" applyNumberFormat="1" applyFont="1" applyAlignment="1">
      <alignment horizontal="center"/>
    </xf>
    <xf numFmtId="2" fontId="0" fillId="4" borderId="0" xfId="0" applyNumberFormat="1" applyFill="1"/>
    <xf numFmtId="2" fontId="0" fillId="4" borderId="17" xfId="0" applyNumberFormat="1" applyFill="1" applyBorder="1"/>
    <xf numFmtId="2" fontId="0" fillId="4" borderId="9" xfId="0" applyNumberFormat="1" applyFill="1" applyBorder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abra02!$C$5:$C$100</c:f>
              <c:numCache>
                <c:formatCode>General</c:formatCode>
                <c:ptCount val="96"/>
                <c:pt idx="0">
                  <c:v>0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14.8</c:v>
                </c:pt>
                <c:pt idx="4">
                  <c:v>19.7</c:v>
                </c:pt>
                <c:pt idx="5">
                  <c:v>24.6</c:v>
                </c:pt>
                <c:pt idx="6">
                  <c:v>29.5</c:v>
                </c:pt>
                <c:pt idx="7">
                  <c:v>34.5</c:v>
                </c:pt>
                <c:pt idx="8">
                  <c:v>39.4</c:v>
                </c:pt>
                <c:pt idx="9">
                  <c:v>44.3</c:v>
                </c:pt>
                <c:pt idx="10">
                  <c:v>49.2</c:v>
                </c:pt>
                <c:pt idx="11">
                  <c:v>54.2</c:v>
                </c:pt>
                <c:pt idx="12">
                  <c:v>59.2</c:v>
                </c:pt>
                <c:pt idx="13">
                  <c:v>64</c:v>
                </c:pt>
                <c:pt idx="14">
                  <c:v>68.900000000000006</c:v>
                </c:pt>
                <c:pt idx="15">
                  <c:v>73.8</c:v>
                </c:pt>
                <c:pt idx="16">
                  <c:v>78.8</c:v>
                </c:pt>
                <c:pt idx="17">
                  <c:v>83.7</c:v>
                </c:pt>
                <c:pt idx="18">
                  <c:v>88.7</c:v>
                </c:pt>
                <c:pt idx="19">
                  <c:v>93.6</c:v>
                </c:pt>
                <c:pt idx="20">
                  <c:v>98.6</c:v>
                </c:pt>
                <c:pt idx="21">
                  <c:v>103.5</c:v>
                </c:pt>
                <c:pt idx="22">
                  <c:v>108.4</c:v>
                </c:pt>
                <c:pt idx="23">
                  <c:v>113.4</c:v>
                </c:pt>
                <c:pt idx="24">
                  <c:v>118.4</c:v>
                </c:pt>
                <c:pt idx="25">
                  <c:v>123.3</c:v>
                </c:pt>
                <c:pt idx="26">
                  <c:v>128.19999999999999</c:v>
                </c:pt>
                <c:pt idx="27">
                  <c:v>133.19999999999999</c:v>
                </c:pt>
                <c:pt idx="28">
                  <c:v>138.19999999999999</c:v>
                </c:pt>
                <c:pt idx="29">
                  <c:v>143.19999999999999</c:v>
                </c:pt>
                <c:pt idx="30">
                  <c:v>148.19999999999999</c:v>
                </c:pt>
                <c:pt idx="31">
                  <c:v>153.19999999999999</c:v>
                </c:pt>
                <c:pt idx="32">
                  <c:v>158.1</c:v>
                </c:pt>
                <c:pt idx="33">
                  <c:v>162.9</c:v>
                </c:pt>
                <c:pt idx="34">
                  <c:v>167.9</c:v>
                </c:pt>
                <c:pt idx="35">
                  <c:v>172.8</c:v>
                </c:pt>
                <c:pt idx="36">
                  <c:v>177.7</c:v>
                </c:pt>
                <c:pt idx="37">
                  <c:v>182.6</c:v>
                </c:pt>
                <c:pt idx="38">
                  <c:v>187.6</c:v>
                </c:pt>
                <c:pt idx="39">
                  <c:v>192.4</c:v>
                </c:pt>
                <c:pt idx="40">
                  <c:v>197.4</c:v>
                </c:pt>
                <c:pt idx="41">
                  <c:v>202.4</c:v>
                </c:pt>
                <c:pt idx="42">
                  <c:v>207.4</c:v>
                </c:pt>
                <c:pt idx="43">
                  <c:v>212.2</c:v>
                </c:pt>
                <c:pt idx="44">
                  <c:v>217</c:v>
                </c:pt>
                <c:pt idx="45">
                  <c:v>221.7</c:v>
                </c:pt>
                <c:pt idx="46">
                  <c:v>226.3</c:v>
                </c:pt>
                <c:pt idx="47">
                  <c:v>231</c:v>
                </c:pt>
                <c:pt idx="48">
                  <c:v>235.6</c:v>
                </c:pt>
                <c:pt idx="49">
                  <c:v>240.1</c:v>
                </c:pt>
                <c:pt idx="50">
                  <c:v>244.7</c:v>
                </c:pt>
                <c:pt idx="51">
                  <c:v>249.2</c:v>
                </c:pt>
                <c:pt idx="52">
                  <c:v>253.7</c:v>
                </c:pt>
                <c:pt idx="53">
                  <c:v>258.3</c:v>
                </c:pt>
                <c:pt idx="54">
                  <c:v>262.8</c:v>
                </c:pt>
                <c:pt idx="55">
                  <c:v>267.3</c:v>
                </c:pt>
                <c:pt idx="56">
                  <c:v>272.3</c:v>
                </c:pt>
                <c:pt idx="57">
                  <c:v>277.3</c:v>
                </c:pt>
                <c:pt idx="58">
                  <c:v>282.3</c:v>
                </c:pt>
                <c:pt idx="59">
                  <c:v>287.3</c:v>
                </c:pt>
                <c:pt idx="60">
                  <c:v>292.3</c:v>
                </c:pt>
                <c:pt idx="61">
                  <c:v>297.3</c:v>
                </c:pt>
                <c:pt idx="62">
                  <c:v>302.3</c:v>
                </c:pt>
                <c:pt idx="63">
                  <c:v>307.3</c:v>
                </c:pt>
                <c:pt idx="64">
                  <c:v>312.3</c:v>
                </c:pt>
                <c:pt idx="65">
                  <c:v>317.3</c:v>
                </c:pt>
                <c:pt idx="66">
                  <c:v>322.3</c:v>
                </c:pt>
                <c:pt idx="67">
                  <c:v>327.3</c:v>
                </c:pt>
                <c:pt idx="68">
                  <c:v>332.2</c:v>
                </c:pt>
                <c:pt idx="69">
                  <c:v>337.2</c:v>
                </c:pt>
                <c:pt idx="70">
                  <c:v>342.2</c:v>
                </c:pt>
                <c:pt idx="71">
                  <c:v>347.2</c:v>
                </c:pt>
                <c:pt idx="72">
                  <c:v>352.2</c:v>
                </c:pt>
                <c:pt idx="73">
                  <c:v>357.2</c:v>
                </c:pt>
                <c:pt idx="74">
                  <c:v>362.1</c:v>
                </c:pt>
                <c:pt idx="75">
                  <c:v>367.1</c:v>
                </c:pt>
                <c:pt idx="76">
                  <c:v>372.1</c:v>
                </c:pt>
                <c:pt idx="77">
                  <c:v>377.1</c:v>
                </c:pt>
                <c:pt idx="78">
                  <c:v>382.1</c:v>
                </c:pt>
                <c:pt idx="79">
                  <c:v>387.1</c:v>
                </c:pt>
                <c:pt idx="80">
                  <c:v>392</c:v>
                </c:pt>
                <c:pt idx="81">
                  <c:v>396.9</c:v>
                </c:pt>
                <c:pt idx="82">
                  <c:v>401.9</c:v>
                </c:pt>
                <c:pt idx="83">
                  <c:v>406.8</c:v>
                </c:pt>
                <c:pt idx="84">
                  <c:v>411.7</c:v>
                </c:pt>
                <c:pt idx="85">
                  <c:v>416.6</c:v>
                </c:pt>
                <c:pt idx="86">
                  <c:v>421.6</c:v>
                </c:pt>
                <c:pt idx="87">
                  <c:v>426.5</c:v>
                </c:pt>
                <c:pt idx="88">
                  <c:v>431.5</c:v>
                </c:pt>
                <c:pt idx="89">
                  <c:v>436.5</c:v>
                </c:pt>
                <c:pt idx="90">
                  <c:v>441.5</c:v>
                </c:pt>
                <c:pt idx="91">
                  <c:v>446.5</c:v>
                </c:pt>
                <c:pt idx="92">
                  <c:v>451.4</c:v>
                </c:pt>
                <c:pt idx="93">
                  <c:v>456.4</c:v>
                </c:pt>
                <c:pt idx="94">
                  <c:v>461.4</c:v>
                </c:pt>
                <c:pt idx="95">
                  <c:v>466.4</c:v>
                </c:pt>
              </c:numCache>
            </c:numRef>
          </c:xVal>
          <c:yVal>
            <c:numRef>
              <c:f>abra02!$D$5:$D$100</c:f>
              <c:numCache>
                <c:formatCode>General</c:formatCode>
                <c:ptCount val="96"/>
                <c:pt idx="0">
                  <c:v>-61</c:v>
                </c:pt>
                <c:pt idx="1">
                  <c:v>-60.5</c:v>
                </c:pt>
                <c:pt idx="2">
                  <c:v>-60.1</c:v>
                </c:pt>
                <c:pt idx="3">
                  <c:v>-59.7</c:v>
                </c:pt>
                <c:pt idx="4">
                  <c:v>-59.2</c:v>
                </c:pt>
                <c:pt idx="5">
                  <c:v>-58.8</c:v>
                </c:pt>
                <c:pt idx="6">
                  <c:v>-58.4</c:v>
                </c:pt>
                <c:pt idx="7">
                  <c:v>-58.1</c:v>
                </c:pt>
                <c:pt idx="8">
                  <c:v>-57.6</c:v>
                </c:pt>
                <c:pt idx="9">
                  <c:v>-57.1</c:v>
                </c:pt>
                <c:pt idx="10">
                  <c:v>-56.5</c:v>
                </c:pt>
                <c:pt idx="11">
                  <c:v>-55.6</c:v>
                </c:pt>
                <c:pt idx="12">
                  <c:v>-54.5</c:v>
                </c:pt>
                <c:pt idx="13">
                  <c:v>-53.7</c:v>
                </c:pt>
                <c:pt idx="14">
                  <c:v>-52.9</c:v>
                </c:pt>
                <c:pt idx="15">
                  <c:v>-51.9</c:v>
                </c:pt>
                <c:pt idx="16">
                  <c:v>-51.1</c:v>
                </c:pt>
                <c:pt idx="17">
                  <c:v>-50.4</c:v>
                </c:pt>
                <c:pt idx="18">
                  <c:v>-50.4</c:v>
                </c:pt>
                <c:pt idx="19">
                  <c:v>-50.3</c:v>
                </c:pt>
                <c:pt idx="20">
                  <c:v>-50.3</c:v>
                </c:pt>
                <c:pt idx="21">
                  <c:v>-50.3</c:v>
                </c:pt>
                <c:pt idx="22">
                  <c:v>-50.7</c:v>
                </c:pt>
                <c:pt idx="23">
                  <c:v>-51.2</c:v>
                </c:pt>
                <c:pt idx="24">
                  <c:v>-51.7</c:v>
                </c:pt>
                <c:pt idx="25">
                  <c:v>-52.1</c:v>
                </c:pt>
                <c:pt idx="26">
                  <c:v>-52.4</c:v>
                </c:pt>
                <c:pt idx="27">
                  <c:v>-52.7</c:v>
                </c:pt>
                <c:pt idx="28">
                  <c:v>-53</c:v>
                </c:pt>
                <c:pt idx="29">
                  <c:v>-53.2</c:v>
                </c:pt>
                <c:pt idx="30">
                  <c:v>-53.5</c:v>
                </c:pt>
                <c:pt idx="31">
                  <c:v>-53.8</c:v>
                </c:pt>
                <c:pt idx="32">
                  <c:v>-54</c:v>
                </c:pt>
                <c:pt idx="33">
                  <c:v>-54.1</c:v>
                </c:pt>
                <c:pt idx="34">
                  <c:v>-54.2</c:v>
                </c:pt>
                <c:pt idx="35">
                  <c:v>-54.2</c:v>
                </c:pt>
                <c:pt idx="36">
                  <c:v>-54.2</c:v>
                </c:pt>
                <c:pt idx="37">
                  <c:v>-54.2</c:v>
                </c:pt>
                <c:pt idx="38">
                  <c:v>-54.2</c:v>
                </c:pt>
                <c:pt idx="39">
                  <c:v>-53.9</c:v>
                </c:pt>
                <c:pt idx="40">
                  <c:v>-53.7</c:v>
                </c:pt>
                <c:pt idx="41">
                  <c:v>-51.6</c:v>
                </c:pt>
                <c:pt idx="42">
                  <c:v>-49.4</c:v>
                </c:pt>
                <c:pt idx="43">
                  <c:v>-47.3</c:v>
                </c:pt>
                <c:pt idx="44">
                  <c:v>-45.2</c:v>
                </c:pt>
                <c:pt idx="45">
                  <c:v>-43.1</c:v>
                </c:pt>
                <c:pt idx="46">
                  <c:v>-41</c:v>
                </c:pt>
                <c:pt idx="47">
                  <c:v>-38.9</c:v>
                </c:pt>
                <c:pt idx="48">
                  <c:v>-36.799999999999997</c:v>
                </c:pt>
                <c:pt idx="49">
                  <c:v>-35.200000000000003</c:v>
                </c:pt>
                <c:pt idx="50">
                  <c:v>-33.299999999999997</c:v>
                </c:pt>
                <c:pt idx="51">
                  <c:v>-31.6</c:v>
                </c:pt>
                <c:pt idx="52">
                  <c:v>-30.1</c:v>
                </c:pt>
                <c:pt idx="53">
                  <c:v>-28.8</c:v>
                </c:pt>
                <c:pt idx="54">
                  <c:v>-28.4</c:v>
                </c:pt>
                <c:pt idx="55">
                  <c:v>-27.8</c:v>
                </c:pt>
                <c:pt idx="56">
                  <c:v>-27.6</c:v>
                </c:pt>
                <c:pt idx="57">
                  <c:v>-26.2</c:v>
                </c:pt>
                <c:pt idx="58">
                  <c:v>-25.9</c:v>
                </c:pt>
                <c:pt idx="59">
                  <c:v>-25.5</c:v>
                </c:pt>
                <c:pt idx="60">
                  <c:v>-24.3</c:v>
                </c:pt>
                <c:pt idx="61">
                  <c:v>-23.6</c:v>
                </c:pt>
                <c:pt idx="62">
                  <c:v>-23.1</c:v>
                </c:pt>
                <c:pt idx="63">
                  <c:v>-21.7</c:v>
                </c:pt>
                <c:pt idx="64">
                  <c:v>-20.6</c:v>
                </c:pt>
                <c:pt idx="65">
                  <c:v>-20.8</c:v>
                </c:pt>
                <c:pt idx="66">
                  <c:v>-20.3</c:v>
                </c:pt>
                <c:pt idx="67">
                  <c:v>-20.3</c:v>
                </c:pt>
                <c:pt idx="68">
                  <c:v>-20</c:v>
                </c:pt>
                <c:pt idx="69">
                  <c:v>-19.8</c:v>
                </c:pt>
                <c:pt idx="70">
                  <c:v>-19.100000000000001</c:v>
                </c:pt>
                <c:pt idx="71">
                  <c:v>-18.399999999999999</c:v>
                </c:pt>
                <c:pt idx="72">
                  <c:v>-18.2</c:v>
                </c:pt>
                <c:pt idx="73">
                  <c:v>-17.7</c:v>
                </c:pt>
                <c:pt idx="74">
                  <c:v>-16.5</c:v>
                </c:pt>
                <c:pt idx="75">
                  <c:v>-16.100000000000001</c:v>
                </c:pt>
                <c:pt idx="76">
                  <c:v>-15.3</c:v>
                </c:pt>
                <c:pt idx="77">
                  <c:v>-14.8</c:v>
                </c:pt>
                <c:pt idx="78">
                  <c:v>-14.2</c:v>
                </c:pt>
                <c:pt idx="79">
                  <c:v>-13.3</c:v>
                </c:pt>
                <c:pt idx="80">
                  <c:v>-13.1</c:v>
                </c:pt>
                <c:pt idx="81">
                  <c:v>-12.1</c:v>
                </c:pt>
                <c:pt idx="82">
                  <c:v>-11</c:v>
                </c:pt>
                <c:pt idx="83">
                  <c:v>-9.6999999999999993</c:v>
                </c:pt>
                <c:pt idx="84">
                  <c:v>-9.1999999999999993</c:v>
                </c:pt>
                <c:pt idx="85">
                  <c:v>-8.8000000000000007</c:v>
                </c:pt>
                <c:pt idx="86">
                  <c:v>-7.8</c:v>
                </c:pt>
                <c:pt idx="87">
                  <c:v>-6.9</c:v>
                </c:pt>
                <c:pt idx="88">
                  <c:v>-6.1</c:v>
                </c:pt>
                <c:pt idx="89">
                  <c:v>-5.4</c:v>
                </c:pt>
                <c:pt idx="90">
                  <c:v>-4.5999999999999996</c:v>
                </c:pt>
                <c:pt idx="91">
                  <c:v>-3.6</c:v>
                </c:pt>
                <c:pt idx="92">
                  <c:v>-2.7</c:v>
                </c:pt>
                <c:pt idx="93">
                  <c:v>-1.8</c:v>
                </c:pt>
                <c:pt idx="94">
                  <c:v>-0.9</c:v>
                </c:pt>
                <c:pt idx="9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C3-4456-A767-1AC30C588C3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abra02!$H$28:$H$71</c:f>
              <c:numCache>
                <c:formatCode>General</c:formatCode>
                <c:ptCount val="44"/>
                <c:pt idx="0">
                  <c:v>113.4</c:v>
                </c:pt>
                <c:pt idx="1">
                  <c:v>118.4</c:v>
                </c:pt>
                <c:pt idx="2">
                  <c:v>123.3</c:v>
                </c:pt>
                <c:pt idx="3">
                  <c:v>128.19999999999999</c:v>
                </c:pt>
                <c:pt idx="4">
                  <c:v>133.19999999999999</c:v>
                </c:pt>
                <c:pt idx="5">
                  <c:v>138.19999999999999</c:v>
                </c:pt>
                <c:pt idx="6">
                  <c:v>143.19999999999999</c:v>
                </c:pt>
                <c:pt idx="7">
                  <c:v>148.19999999999999</c:v>
                </c:pt>
                <c:pt idx="8">
                  <c:v>153.19999999999999</c:v>
                </c:pt>
                <c:pt idx="9">
                  <c:v>158.1</c:v>
                </c:pt>
                <c:pt idx="10">
                  <c:v>162.9</c:v>
                </c:pt>
                <c:pt idx="11">
                  <c:v>167.9</c:v>
                </c:pt>
                <c:pt idx="12">
                  <c:v>172.8</c:v>
                </c:pt>
                <c:pt idx="13">
                  <c:v>177.7</c:v>
                </c:pt>
                <c:pt idx="14">
                  <c:v>182.6</c:v>
                </c:pt>
                <c:pt idx="15">
                  <c:v>187.6</c:v>
                </c:pt>
                <c:pt idx="16">
                  <c:v>192.4</c:v>
                </c:pt>
                <c:pt idx="17">
                  <c:v>197.4</c:v>
                </c:pt>
                <c:pt idx="18">
                  <c:v>202.4</c:v>
                </c:pt>
                <c:pt idx="19">
                  <c:v>207.4</c:v>
                </c:pt>
                <c:pt idx="20">
                  <c:v>212.2</c:v>
                </c:pt>
                <c:pt idx="21">
                  <c:v>217</c:v>
                </c:pt>
                <c:pt idx="22">
                  <c:v>221.7</c:v>
                </c:pt>
                <c:pt idx="23">
                  <c:v>226.3</c:v>
                </c:pt>
                <c:pt idx="24">
                  <c:v>231</c:v>
                </c:pt>
                <c:pt idx="25">
                  <c:v>235.6</c:v>
                </c:pt>
                <c:pt idx="26">
                  <c:v>240.1</c:v>
                </c:pt>
                <c:pt idx="27">
                  <c:v>244.7</c:v>
                </c:pt>
                <c:pt idx="28">
                  <c:v>249.2</c:v>
                </c:pt>
                <c:pt idx="29">
                  <c:v>253.7</c:v>
                </c:pt>
                <c:pt idx="30">
                  <c:v>258.3</c:v>
                </c:pt>
                <c:pt idx="31">
                  <c:v>262.8</c:v>
                </c:pt>
                <c:pt idx="32">
                  <c:v>267.3</c:v>
                </c:pt>
                <c:pt idx="33">
                  <c:v>272.3</c:v>
                </c:pt>
                <c:pt idx="34">
                  <c:v>277.3</c:v>
                </c:pt>
                <c:pt idx="35">
                  <c:v>282.3</c:v>
                </c:pt>
                <c:pt idx="36">
                  <c:v>287.3</c:v>
                </c:pt>
                <c:pt idx="37">
                  <c:v>292.3</c:v>
                </c:pt>
                <c:pt idx="38">
                  <c:v>297.3</c:v>
                </c:pt>
                <c:pt idx="39">
                  <c:v>302.3</c:v>
                </c:pt>
                <c:pt idx="40">
                  <c:v>307.3</c:v>
                </c:pt>
                <c:pt idx="41">
                  <c:v>312.3</c:v>
                </c:pt>
                <c:pt idx="42">
                  <c:v>317.3</c:v>
                </c:pt>
                <c:pt idx="43">
                  <c:v>322.3</c:v>
                </c:pt>
              </c:numCache>
            </c:numRef>
          </c:xVal>
          <c:yVal>
            <c:numRef>
              <c:f>abra02!$I$28:$I$71</c:f>
              <c:numCache>
                <c:formatCode>General</c:formatCode>
                <c:ptCount val="44"/>
                <c:pt idx="0">
                  <c:v>-51.2</c:v>
                </c:pt>
                <c:pt idx="1">
                  <c:v>-51.7</c:v>
                </c:pt>
                <c:pt idx="2">
                  <c:v>-52.1</c:v>
                </c:pt>
                <c:pt idx="3">
                  <c:v>-52.4</c:v>
                </c:pt>
                <c:pt idx="4">
                  <c:v>-52.7</c:v>
                </c:pt>
                <c:pt idx="5">
                  <c:v>-53</c:v>
                </c:pt>
                <c:pt idx="6">
                  <c:v>-53.2</c:v>
                </c:pt>
                <c:pt idx="7">
                  <c:v>-53.5</c:v>
                </c:pt>
                <c:pt idx="8">
                  <c:v>-53.8</c:v>
                </c:pt>
                <c:pt idx="9">
                  <c:v>-54</c:v>
                </c:pt>
                <c:pt idx="10">
                  <c:v>-54.1</c:v>
                </c:pt>
                <c:pt idx="11">
                  <c:v>-54.2</c:v>
                </c:pt>
                <c:pt idx="12">
                  <c:v>-54.2</c:v>
                </c:pt>
                <c:pt idx="13">
                  <c:v>-54.2</c:v>
                </c:pt>
                <c:pt idx="14">
                  <c:v>-54.2</c:v>
                </c:pt>
                <c:pt idx="15">
                  <c:v>-54.2</c:v>
                </c:pt>
                <c:pt idx="16">
                  <c:v>-53.9</c:v>
                </c:pt>
                <c:pt idx="17">
                  <c:v>-53.7</c:v>
                </c:pt>
                <c:pt idx="18">
                  <c:v>-51.6</c:v>
                </c:pt>
                <c:pt idx="19">
                  <c:v>-49.4</c:v>
                </c:pt>
                <c:pt idx="20">
                  <c:v>-47.3</c:v>
                </c:pt>
                <c:pt idx="21">
                  <c:v>-45.2</c:v>
                </c:pt>
                <c:pt idx="22">
                  <c:v>-43.1</c:v>
                </c:pt>
                <c:pt idx="23">
                  <c:v>-41</c:v>
                </c:pt>
                <c:pt idx="24">
                  <c:v>-38.9</c:v>
                </c:pt>
                <c:pt idx="25">
                  <c:v>-36.799999999999997</c:v>
                </c:pt>
                <c:pt idx="26">
                  <c:v>-35.200000000000003</c:v>
                </c:pt>
                <c:pt idx="27">
                  <c:v>-33.299999999999997</c:v>
                </c:pt>
                <c:pt idx="28">
                  <c:v>-31.6</c:v>
                </c:pt>
                <c:pt idx="29">
                  <c:v>-30.1</c:v>
                </c:pt>
                <c:pt idx="30">
                  <c:v>-28.8</c:v>
                </c:pt>
                <c:pt idx="31">
                  <c:v>-28.4</c:v>
                </c:pt>
                <c:pt idx="32">
                  <c:v>-27.8</c:v>
                </c:pt>
                <c:pt idx="33">
                  <c:v>-27.6</c:v>
                </c:pt>
                <c:pt idx="34">
                  <c:v>-26.2</c:v>
                </c:pt>
                <c:pt idx="35">
                  <c:v>-25.9</c:v>
                </c:pt>
                <c:pt idx="36">
                  <c:v>-25.5</c:v>
                </c:pt>
                <c:pt idx="37">
                  <c:v>-24.3</c:v>
                </c:pt>
                <c:pt idx="38">
                  <c:v>-23.6</c:v>
                </c:pt>
                <c:pt idx="39">
                  <c:v>-23.1</c:v>
                </c:pt>
                <c:pt idx="40">
                  <c:v>-21.7</c:v>
                </c:pt>
                <c:pt idx="41">
                  <c:v>-20.6</c:v>
                </c:pt>
                <c:pt idx="42">
                  <c:v>-20.8</c:v>
                </c:pt>
                <c:pt idx="43">
                  <c:v>-20.3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C3-4456-A767-1AC30C588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488943"/>
        <c:axId val="539904303"/>
      </c:scatterChart>
      <c:valAx>
        <c:axId val="32748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04303"/>
        <c:crosses val="autoZero"/>
        <c:crossBetween val="midCat"/>
      </c:valAx>
      <c:valAx>
        <c:axId val="53990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48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abra02!$AB$1:$AB$72</c:f>
              <c:numCache>
                <c:formatCode>General</c:formatCode>
                <c:ptCount val="72"/>
                <c:pt idx="0">
                  <c:v>0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14.8</c:v>
                </c:pt>
                <c:pt idx="4">
                  <c:v>19.7</c:v>
                </c:pt>
                <c:pt idx="5">
                  <c:v>24.6</c:v>
                </c:pt>
                <c:pt idx="6">
                  <c:v>29.5</c:v>
                </c:pt>
                <c:pt idx="7">
                  <c:v>34.5</c:v>
                </c:pt>
                <c:pt idx="8">
                  <c:v>39.4</c:v>
                </c:pt>
                <c:pt idx="9">
                  <c:v>44.3</c:v>
                </c:pt>
                <c:pt idx="10">
                  <c:v>49.2</c:v>
                </c:pt>
                <c:pt idx="11">
                  <c:v>54.2</c:v>
                </c:pt>
                <c:pt idx="12">
                  <c:v>59.2</c:v>
                </c:pt>
                <c:pt idx="13">
                  <c:v>64</c:v>
                </c:pt>
                <c:pt idx="14">
                  <c:v>68.900000000000006</c:v>
                </c:pt>
                <c:pt idx="15">
                  <c:v>73.8</c:v>
                </c:pt>
                <c:pt idx="16">
                  <c:v>78.8</c:v>
                </c:pt>
                <c:pt idx="17">
                  <c:v>83.7</c:v>
                </c:pt>
                <c:pt idx="18">
                  <c:v>88.7</c:v>
                </c:pt>
                <c:pt idx="19">
                  <c:v>93.6</c:v>
                </c:pt>
                <c:pt idx="20">
                  <c:v>98.6</c:v>
                </c:pt>
                <c:pt idx="21">
                  <c:v>103.5</c:v>
                </c:pt>
                <c:pt idx="22">
                  <c:v>108.4</c:v>
                </c:pt>
                <c:pt idx="23">
                  <c:v>113.4</c:v>
                </c:pt>
                <c:pt idx="24">
                  <c:v>118.4</c:v>
                </c:pt>
                <c:pt idx="25">
                  <c:v>123.3</c:v>
                </c:pt>
                <c:pt idx="26">
                  <c:v>128.19999999999999</c:v>
                </c:pt>
                <c:pt idx="27">
                  <c:v>133.19999999999999</c:v>
                </c:pt>
                <c:pt idx="28">
                  <c:v>138.19999999999999</c:v>
                </c:pt>
                <c:pt idx="29">
                  <c:v>143.19999999999999</c:v>
                </c:pt>
                <c:pt idx="30">
                  <c:v>148.19999999999999</c:v>
                </c:pt>
                <c:pt idx="31">
                  <c:v>153.19999999999999</c:v>
                </c:pt>
                <c:pt idx="32">
                  <c:v>158.1</c:v>
                </c:pt>
                <c:pt idx="33">
                  <c:v>162.9</c:v>
                </c:pt>
                <c:pt idx="34">
                  <c:v>167.9</c:v>
                </c:pt>
                <c:pt idx="35">
                  <c:v>172.8</c:v>
                </c:pt>
                <c:pt idx="36">
                  <c:v>177.7</c:v>
                </c:pt>
                <c:pt idx="37">
                  <c:v>182.6</c:v>
                </c:pt>
                <c:pt idx="38">
                  <c:v>187.6</c:v>
                </c:pt>
                <c:pt idx="39">
                  <c:v>192.4</c:v>
                </c:pt>
                <c:pt idx="40">
                  <c:v>197.4</c:v>
                </c:pt>
                <c:pt idx="41">
                  <c:v>202.4</c:v>
                </c:pt>
                <c:pt idx="42">
                  <c:v>207.4</c:v>
                </c:pt>
                <c:pt idx="43">
                  <c:v>212.2</c:v>
                </c:pt>
                <c:pt idx="44">
                  <c:v>217</c:v>
                </c:pt>
                <c:pt idx="45">
                  <c:v>221.7</c:v>
                </c:pt>
                <c:pt idx="46">
                  <c:v>226.3</c:v>
                </c:pt>
                <c:pt idx="47">
                  <c:v>231</c:v>
                </c:pt>
                <c:pt idx="48">
                  <c:v>235.6</c:v>
                </c:pt>
                <c:pt idx="49">
                  <c:v>240.1</c:v>
                </c:pt>
                <c:pt idx="50">
                  <c:v>244.7</c:v>
                </c:pt>
                <c:pt idx="51">
                  <c:v>249.2</c:v>
                </c:pt>
                <c:pt idx="52">
                  <c:v>253.7</c:v>
                </c:pt>
                <c:pt idx="53">
                  <c:v>258.3</c:v>
                </c:pt>
                <c:pt idx="54">
                  <c:v>262.8</c:v>
                </c:pt>
                <c:pt idx="55">
                  <c:v>267.3</c:v>
                </c:pt>
                <c:pt idx="56">
                  <c:v>272.3</c:v>
                </c:pt>
                <c:pt idx="57">
                  <c:v>277.3</c:v>
                </c:pt>
                <c:pt idx="58">
                  <c:v>282.3</c:v>
                </c:pt>
                <c:pt idx="59">
                  <c:v>287.3</c:v>
                </c:pt>
                <c:pt idx="60">
                  <c:v>292.3</c:v>
                </c:pt>
                <c:pt idx="61">
                  <c:v>297.3</c:v>
                </c:pt>
                <c:pt idx="62">
                  <c:v>302.3</c:v>
                </c:pt>
                <c:pt idx="63">
                  <c:v>307.3</c:v>
                </c:pt>
                <c:pt idx="64">
                  <c:v>312.3</c:v>
                </c:pt>
                <c:pt idx="65">
                  <c:v>317.3</c:v>
                </c:pt>
                <c:pt idx="66">
                  <c:v>322.3</c:v>
                </c:pt>
                <c:pt idx="67">
                  <c:v>327.3</c:v>
                </c:pt>
                <c:pt idx="68">
                  <c:v>332.2</c:v>
                </c:pt>
                <c:pt idx="69">
                  <c:v>337.2</c:v>
                </c:pt>
                <c:pt idx="70">
                  <c:v>342.2</c:v>
                </c:pt>
                <c:pt idx="71">
                  <c:v>347.2</c:v>
                </c:pt>
              </c:numCache>
            </c:numRef>
          </c:xVal>
          <c:yVal>
            <c:numRef>
              <c:f>abra02!$AC$1:$AC$72</c:f>
              <c:numCache>
                <c:formatCode>General</c:formatCode>
                <c:ptCount val="72"/>
                <c:pt idx="0">
                  <c:v>-28.548999999999978</c:v>
                </c:pt>
                <c:pt idx="1">
                  <c:v>-28.556999999999789</c:v>
                </c:pt>
                <c:pt idx="2">
                  <c:v>-28.599999999999909</c:v>
                </c:pt>
                <c:pt idx="3">
                  <c:v>-28.62099999999964</c:v>
                </c:pt>
                <c:pt idx="4">
                  <c:v>-28.629999999999654</c:v>
                </c:pt>
                <c:pt idx="5">
                  <c:v>-28.621999999999844</c:v>
                </c:pt>
                <c:pt idx="6">
                  <c:v>-28.632999999999811</c:v>
                </c:pt>
                <c:pt idx="7">
                  <c:v>-28.585999999999785</c:v>
                </c:pt>
                <c:pt idx="8">
                  <c:v>-28.582999999999629</c:v>
                </c:pt>
                <c:pt idx="9">
                  <c:v>-28.533999999999651</c:v>
                </c:pt>
                <c:pt idx="10">
                  <c:v>-28.454999999999927</c:v>
                </c:pt>
                <c:pt idx="11">
                  <c:v>-28.442999999999756</c:v>
                </c:pt>
                <c:pt idx="12">
                  <c:v>-28.384000000000015</c:v>
                </c:pt>
                <c:pt idx="13">
                  <c:v>-28.26299999999992</c:v>
                </c:pt>
                <c:pt idx="14">
                  <c:v>-28.24599999999964</c:v>
                </c:pt>
                <c:pt idx="15">
                  <c:v>-27.91399999999976</c:v>
                </c:pt>
                <c:pt idx="16">
                  <c:v>-28.05600000000004</c:v>
                </c:pt>
                <c:pt idx="17">
                  <c:v>-28.217999999999847</c:v>
                </c:pt>
                <c:pt idx="18">
                  <c:v>-28.110999999999876</c:v>
                </c:pt>
                <c:pt idx="19">
                  <c:v>-26.860999999999876</c:v>
                </c:pt>
                <c:pt idx="20">
                  <c:v>-25.976999999999862</c:v>
                </c:pt>
                <c:pt idx="21">
                  <c:v>-24.914999999999964</c:v>
                </c:pt>
                <c:pt idx="22">
                  <c:v>-23.786999999999807</c:v>
                </c:pt>
                <c:pt idx="23">
                  <c:v>-23.130999999999858</c:v>
                </c:pt>
                <c:pt idx="24">
                  <c:v>-22.420000000000073</c:v>
                </c:pt>
                <c:pt idx="25">
                  <c:v>-21.599999999999909</c:v>
                </c:pt>
                <c:pt idx="26">
                  <c:v>-21.708999999999833</c:v>
                </c:pt>
                <c:pt idx="27">
                  <c:v>-20.945999999999913</c:v>
                </c:pt>
                <c:pt idx="28">
                  <c:v>-20.30199999999968</c:v>
                </c:pt>
                <c:pt idx="29">
                  <c:v>-19.760999999999967</c:v>
                </c:pt>
                <c:pt idx="30">
                  <c:v>-19.92699999999968</c:v>
                </c:pt>
                <c:pt idx="31">
                  <c:v>-20.827999999999975</c:v>
                </c:pt>
                <c:pt idx="32">
                  <c:v>-20.833999999999833</c:v>
                </c:pt>
                <c:pt idx="33">
                  <c:v>-22.205999999999676</c:v>
                </c:pt>
                <c:pt idx="34">
                  <c:v>-23.652999999999793</c:v>
                </c:pt>
                <c:pt idx="35">
                  <c:v>-24.109999999999673</c:v>
                </c:pt>
                <c:pt idx="36">
                  <c:v>-24.239000000000033</c:v>
                </c:pt>
                <c:pt idx="37">
                  <c:v>-24.050999999999931</c:v>
                </c:pt>
                <c:pt idx="38">
                  <c:v>-23.433999999999742</c:v>
                </c:pt>
                <c:pt idx="39">
                  <c:v>-23.067999999999756</c:v>
                </c:pt>
                <c:pt idx="40">
                  <c:v>-20.721000000000004</c:v>
                </c:pt>
                <c:pt idx="41">
                  <c:v>-19.10799999999972</c:v>
                </c:pt>
                <c:pt idx="42">
                  <c:v>-18.06899999999996</c:v>
                </c:pt>
                <c:pt idx="43">
                  <c:v>-16.373999999999796</c:v>
                </c:pt>
                <c:pt idx="44">
                  <c:v>-14.667999999999665</c:v>
                </c:pt>
                <c:pt idx="45">
                  <c:v>-12.991999999999734</c:v>
                </c:pt>
                <c:pt idx="46">
                  <c:v>-11.388999999999669</c:v>
                </c:pt>
                <c:pt idx="47">
                  <c:v>-10.257000000000062</c:v>
                </c:pt>
                <c:pt idx="48">
                  <c:v>-7.8820000000000618</c:v>
                </c:pt>
                <c:pt idx="49">
                  <c:v>-4.8460000000000036</c:v>
                </c:pt>
                <c:pt idx="50">
                  <c:v>-5.8769999999999527</c:v>
                </c:pt>
                <c:pt idx="51">
                  <c:v>-6.1489999999998872</c:v>
                </c:pt>
                <c:pt idx="52">
                  <c:v>-6.4749999999999091</c:v>
                </c:pt>
                <c:pt idx="53">
                  <c:v>-4.2019999999997708</c:v>
                </c:pt>
                <c:pt idx="54">
                  <c:v>-2.4569999999998799</c:v>
                </c:pt>
                <c:pt idx="55">
                  <c:v>-2.9649999999996908</c:v>
                </c:pt>
                <c:pt idx="56">
                  <c:v>-1.8399999999996908</c:v>
                </c:pt>
                <c:pt idx="57">
                  <c:v>-2.2190000000000509</c:v>
                </c:pt>
                <c:pt idx="58">
                  <c:v>-1.5059999999998581</c:v>
                </c:pt>
                <c:pt idx="59">
                  <c:v>-0.97100000000000364</c:v>
                </c:pt>
                <c:pt idx="60">
                  <c:v>-1.656999999999698</c:v>
                </c:pt>
                <c:pt idx="61">
                  <c:v>-1.375999999999749</c:v>
                </c:pt>
                <c:pt idx="62">
                  <c:v>-0.69499999999970896</c:v>
                </c:pt>
                <c:pt idx="63">
                  <c:v>-0.50599999999985812</c:v>
                </c:pt>
                <c:pt idx="64">
                  <c:v>-0.24399999999968713</c:v>
                </c:pt>
                <c:pt idx="65">
                  <c:v>-9.0000000000145519E-3</c:v>
                </c:pt>
                <c:pt idx="66">
                  <c:v>-0.1659999999997126</c:v>
                </c:pt>
                <c:pt idx="67">
                  <c:v>-0.21399999999994179</c:v>
                </c:pt>
                <c:pt idx="68">
                  <c:v>0</c:v>
                </c:pt>
                <c:pt idx="69">
                  <c:v>-0.23900000000003274</c:v>
                </c:pt>
                <c:pt idx="70">
                  <c:v>-0.73799999999982901</c:v>
                </c:pt>
                <c:pt idx="71">
                  <c:v>-0.63699999999971624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5F-4DF2-B2FD-486C816CB8A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abra02!$Z$24:$Z$67</c:f>
              <c:numCache>
                <c:formatCode>General</c:formatCode>
                <c:ptCount val="44"/>
                <c:pt idx="0">
                  <c:v>113.4</c:v>
                </c:pt>
                <c:pt idx="1">
                  <c:v>118.4</c:v>
                </c:pt>
                <c:pt idx="2">
                  <c:v>123.3</c:v>
                </c:pt>
                <c:pt idx="3">
                  <c:v>128.19999999999999</c:v>
                </c:pt>
                <c:pt idx="4">
                  <c:v>133.19999999999999</c:v>
                </c:pt>
                <c:pt idx="5">
                  <c:v>138.19999999999999</c:v>
                </c:pt>
                <c:pt idx="6">
                  <c:v>143.19999999999999</c:v>
                </c:pt>
                <c:pt idx="7">
                  <c:v>148.19999999999999</c:v>
                </c:pt>
                <c:pt idx="8">
                  <c:v>153.19999999999999</c:v>
                </c:pt>
                <c:pt idx="9">
                  <c:v>158.1</c:v>
                </c:pt>
                <c:pt idx="10">
                  <c:v>162.9</c:v>
                </c:pt>
                <c:pt idx="11">
                  <c:v>167.9</c:v>
                </c:pt>
                <c:pt idx="12">
                  <c:v>172.8</c:v>
                </c:pt>
                <c:pt idx="13">
                  <c:v>177.7</c:v>
                </c:pt>
                <c:pt idx="14">
                  <c:v>182.6</c:v>
                </c:pt>
                <c:pt idx="15">
                  <c:v>187.6</c:v>
                </c:pt>
                <c:pt idx="16">
                  <c:v>192.4</c:v>
                </c:pt>
                <c:pt idx="17">
                  <c:v>197.4</c:v>
                </c:pt>
                <c:pt idx="18">
                  <c:v>202.4</c:v>
                </c:pt>
                <c:pt idx="19">
                  <c:v>207.4</c:v>
                </c:pt>
                <c:pt idx="20">
                  <c:v>212.2</c:v>
                </c:pt>
                <c:pt idx="21">
                  <c:v>217</c:v>
                </c:pt>
                <c:pt idx="22">
                  <c:v>221.7</c:v>
                </c:pt>
                <c:pt idx="23">
                  <c:v>226.3</c:v>
                </c:pt>
                <c:pt idx="24">
                  <c:v>231</c:v>
                </c:pt>
                <c:pt idx="25">
                  <c:v>235.6</c:v>
                </c:pt>
                <c:pt idx="26">
                  <c:v>240.1</c:v>
                </c:pt>
                <c:pt idx="27">
                  <c:v>244.7</c:v>
                </c:pt>
                <c:pt idx="28">
                  <c:v>249.2</c:v>
                </c:pt>
                <c:pt idx="29">
                  <c:v>253.7</c:v>
                </c:pt>
                <c:pt idx="30">
                  <c:v>258.3</c:v>
                </c:pt>
                <c:pt idx="31">
                  <c:v>262.8</c:v>
                </c:pt>
                <c:pt idx="32">
                  <c:v>267.3</c:v>
                </c:pt>
                <c:pt idx="33">
                  <c:v>272.3</c:v>
                </c:pt>
                <c:pt idx="34">
                  <c:v>277.3</c:v>
                </c:pt>
                <c:pt idx="35">
                  <c:v>282.3</c:v>
                </c:pt>
                <c:pt idx="36">
                  <c:v>287.3</c:v>
                </c:pt>
                <c:pt idx="37">
                  <c:v>292.3</c:v>
                </c:pt>
                <c:pt idx="38">
                  <c:v>297.3</c:v>
                </c:pt>
                <c:pt idx="39">
                  <c:v>302.3</c:v>
                </c:pt>
                <c:pt idx="40">
                  <c:v>307.3</c:v>
                </c:pt>
                <c:pt idx="41">
                  <c:v>312.3</c:v>
                </c:pt>
                <c:pt idx="42">
                  <c:v>317.3</c:v>
                </c:pt>
                <c:pt idx="43">
                  <c:v>322.3</c:v>
                </c:pt>
              </c:numCache>
            </c:numRef>
          </c:xVal>
          <c:yVal>
            <c:numRef>
              <c:f>abra02!$AA$24:$AA$67</c:f>
              <c:numCache>
                <c:formatCode>General</c:formatCode>
                <c:ptCount val="44"/>
                <c:pt idx="0">
                  <c:v>-23.130999999999858</c:v>
                </c:pt>
                <c:pt idx="1">
                  <c:v>-22.420000000000073</c:v>
                </c:pt>
                <c:pt idx="2">
                  <c:v>-21.599999999999909</c:v>
                </c:pt>
                <c:pt idx="3">
                  <c:v>-21.708999999999833</c:v>
                </c:pt>
                <c:pt idx="4">
                  <c:v>-20.945999999999913</c:v>
                </c:pt>
                <c:pt idx="5">
                  <c:v>-20.30199999999968</c:v>
                </c:pt>
                <c:pt idx="6">
                  <c:v>-19.760999999999967</c:v>
                </c:pt>
                <c:pt idx="7">
                  <c:v>-19.92699999999968</c:v>
                </c:pt>
                <c:pt idx="8">
                  <c:v>-20.827999999999975</c:v>
                </c:pt>
                <c:pt idx="9">
                  <c:v>-20.833999999999833</c:v>
                </c:pt>
                <c:pt idx="10">
                  <c:v>-22.205999999999676</c:v>
                </c:pt>
                <c:pt idx="11">
                  <c:v>-23.652999999999793</c:v>
                </c:pt>
                <c:pt idx="12">
                  <c:v>-24.109999999999673</c:v>
                </c:pt>
                <c:pt idx="13">
                  <c:v>-24.239000000000033</c:v>
                </c:pt>
                <c:pt idx="14">
                  <c:v>-24.050999999999931</c:v>
                </c:pt>
                <c:pt idx="15">
                  <c:v>-23.433999999999742</c:v>
                </c:pt>
                <c:pt idx="16">
                  <c:v>-23.067999999999756</c:v>
                </c:pt>
                <c:pt idx="17">
                  <c:v>-20.721000000000004</c:v>
                </c:pt>
                <c:pt idx="18">
                  <c:v>-19.10799999999972</c:v>
                </c:pt>
                <c:pt idx="19">
                  <c:v>-18.06899999999996</c:v>
                </c:pt>
                <c:pt idx="20">
                  <c:v>-16.373999999999796</c:v>
                </c:pt>
                <c:pt idx="21">
                  <c:v>-14.667999999999665</c:v>
                </c:pt>
                <c:pt idx="22">
                  <c:v>-12.991999999999734</c:v>
                </c:pt>
                <c:pt idx="23">
                  <c:v>-11.388999999999669</c:v>
                </c:pt>
                <c:pt idx="24">
                  <c:v>-10.257000000000062</c:v>
                </c:pt>
                <c:pt idx="25">
                  <c:v>-7.8820000000000618</c:v>
                </c:pt>
                <c:pt idx="26">
                  <c:v>-4.8460000000000036</c:v>
                </c:pt>
                <c:pt idx="27">
                  <c:v>-5.8769999999999527</c:v>
                </c:pt>
                <c:pt idx="28">
                  <c:v>-6.1489999999998872</c:v>
                </c:pt>
                <c:pt idx="29">
                  <c:v>-6.4749999999999091</c:v>
                </c:pt>
                <c:pt idx="30">
                  <c:v>-4.2019999999997708</c:v>
                </c:pt>
                <c:pt idx="31">
                  <c:v>-2.4569999999998799</c:v>
                </c:pt>
                <c:pt idx="32">
                  <c:v>-2.9649999999996908</c:v>
                </c:pt>
                <c:pt idx="33">
                  <c:v>-1.8399999999996908</c:v>
                </c:pt>
                <c:pt idx="34">
                  <c:v>-2.2190000000000509</c:v>
                </c:pt>
                <c:pt idx="35">
                  <c:v>-1.5059999999998581</c:v>
                </c:pt>
                <c:pt idx="36">
                  <c:v>-0.97100000000000364</c:v>
                </c:pt>
                <c:pt idx="37">
                  <c:v>-1.656999999999698</c:v>
                </c:pt>
                <c:pt idx="38">
                  <c:v>-1.375999999999749</c:v>
                </c:pt>
                <c:pt idx="39">
                  <c:v>-0.69499999999970896</c:v>
                </c:pt>
                <c:pt idx="40">
                  <c:v>-0.50599999999985812</c:v>
                </c:pt>
                <c:pt idx="41">
                  <c:v>-0.24399999999968713</c:v>
                </c:pt>
                <c:pt idx="42">
                  <c:v>-9.0000000000145519E-3</c:v>
                </c:pt>
                <c:pt idx="43">
                  <c:v>-0.1659999999997126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5F-4DF2-B2FD-486C816CB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031871"/>
        <c:axId val="539925103"/>
      </c:scatterChart>
      <c:valAx>
        <c:axId val="45703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25103"/>
        <c:crosses val="autoZero"/>
        <c:crossBetween val="midCat"/>
      </c:valAx>
      <c:valAx>
        <c:axId val="53992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03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Max RSt = 0</a:t>
            </a:r>
          </a:p>
        </c:rich>
      </c:tx>
      <c:layout>
        <c:manualLayout>
          <c:xMode val="edge"/>
          <c:yMode val="edge"/>
          <c:x val="0.43781023070716962"/>
          <c:y val="3.29531051964512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abra02_new!$F$5:$F$76</c:f>
              <c:numCache>
                <c:formatCode>General</c:formatCode>
                <c:ptCount val="72"/>
                <c:pt idx="0">
                  <c:v>0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14.8</c:v>
                </c:pt>
                <c:pt idx="4">
                  <c:v>19.7</c:v>
                </c:pt>
                <c:pt idx="5">
                  <c:v>24.6</c:v>
                </c:pt>
                <c:pt idx="6">
                  <c:v>29.5</c:v>
                </c:pt>
                <c:pt idx="7">
                  <c:v>34.5</c:v>
                </c:pt>
                <c:pt idx="8">
                  <c:v>39.4</c:v>
                </c:pt>
                <c:pt idx="9">
                  <c:v>44.3</c:v>
                </c:pt>
                <c:pt idx="10">
                  <c:v>49.2</c:v>
                </c:pt>
                <c:pt idx="11">
                  <c:v>54.2</c:v>
                </c:pt>
                <c:pt idx="12">
                  <c:v>59.2</c:v>
                </c:pt>
                <c:pt idx="13">
                  <c:v>64</c:v>
                </c:pt>
                <c:pt idx="14">
                  <c:v>68.900000000000006</c:v>
                </c:pt>
                <c:pt idx="15">
                  <c:v>73.8</c:v>
                </c:pt>
                <c:pt idx="16">
                  <c:v>78.8</c:v>
                </c:pt>
                <c:pt idx="17">
                  <c:v>83.7</c:v>
                </c:pt>
                <c:pt idx="18">
                  <c:v>88.7</c:v>
                </c:pt>
                <c:pt idx="19">
                  <c:v>93.6</c:v>
                </c:pt>
                <c:pt idx="20">
                  <c:v>98.6</c:v>
                </c:pt>
                <c:pt idx="21">
                  <c:v>103.5</c:v>
                </c:pt>
                <c:pt idx="22">
                  <c:v>108.4</c:v>
                </c:pt>
                <c:pt idx="23">
                  <c:v>113.4</c:v>
                </c:pt>
                <c:pt idx="24">
                  <c:v>118.4</c:v>
                </c:pt>
                <c:pt idx="25">
                  <c:v>123.3</c:v>
                </c:pt>
                <c:pt idx="26">
                  <c:v>128.19999999999999</c:v>
                </c:pt>
                <c:pt idx="27">
                  <c:v>133.19999999999999</c:v>
                </c:pt>
                <c:pt idx="28">
                  <c:v>138.19999999999999</c:v>
                </c:pt>
                <c:pt idx="29">
                  <c:v>143.19999999999999</c:v>
                </c:pt>
                <c:pt idx="30">
                  <c:v>148.19999999999999</c:v>
                </c:pt>
                <c:pt idx="31">
                  <c:v>153.19999999999999</c:v>
                </c:pt>
                <c:pt idx="32">
                  <c:v>158.1</c:v>
                </c:pt>
                <c:pt idx="33">
                  <c:v>162.9</c:v>
                </c:pt>
                <c:pt idx="34">
                  <c:v>167.9</c:v>
                </c:pt>
                <c:pt idx="35">
                  <c:v>172.8</c:v>
                </c:pt>
                <c:pt idx="36">
                  <c:v>177.7</c:v>
                </c:pt>
                <c:pt idx="37">
                  <c:v>182.6</c:v>
                </c:pt>
                <c:pt idx="38">
                  <c:v>187.6</c:v>
                </c:pt>
                <c:pt idx="39">
                  <c:v>192.4</c:v>
                </c:pt>
                <c:pt idx="40">
                  <c:v>197.4</c:v>
                </c:pt>
                <c:pt idx="41">
                  <c:v>202.4</c:v>
                </c:pt>
                <c:pt idx="42">
                  <c:v>207.4</c:v>
                </c:pt>
                <c:pt idx="43">
                  <c:v>212.2</c:v>
                </c:pt>
                <c:pt idx="44">
                  <c:v>217</c:v>
                </c:pt>
                <c:pt idx="45">
                  <c:v>221.7</c:v>
                </c:pt>
                <c:pt idx="46">
                  <c:v>226.3</c:v>
                </c:pt>
                <c:pt idx="47">
                  <c:v>231</c:v>
                </c:pt>
                <c:pt idx="48">
                  <c:v>235.6</c:v>
                </c:pt>
                <c:pt idx="49">
                  <c:v>240.1</c:v>
                </c:pt>
                <c:pt idx="50">
                  <c:v>244.7</c:v>
                </c:pt>
                <c:pt idx="51">
                  <c:v>249.2</c:v>
                </c:pt>
                <c:pt idx="52">
                  <c:v>253.7</c:v>
                </c:pt>
                <c:pt idx="53">
                  <c:v>258.3</c:v>
                </c:pt>
                <c:pt idx="54">
                  <c:v>262.8</c:v>
                </c:pt>
                <c:pt idx="55">
                  <c:v>267.3</c:v>
                </c:pt>
                <c:pt idx="56">
                  <c:v>272.3</c:v>
                </c:pt>
                <c:pt idx="57">
                  <c:v>277.3</c:v>
                </c:pt>
                <c:pt idx="58">
                  <c:v>282.3</c:v>
                </c:pt>
                <c:pt idx="59">
                  <c:v>287.3</c:v>
                </c:pt>
                <c:pt idx="60">
                  <c:v>292.3</c:v>
                </c:pt>
                <c:pt idx="61">
                  <c:v>297.3</c:v>
                </c:pt>
                <c:pt idx="62">
                  <c:v>302.3</c:v>
                </c:pt>
                <c:pt idx="63">
                  <c:v>307.3</c:v>
                </c:pt>
                <c:pt idx="64">
                  <c:v>312.3</c:v>
                </c:pt>
                <c:pt idx="65">
                  <c:v>317.3</c:v>
                </c:pt>
                <c:pt idx="66">
                  <c:v>322.3</c:v>
                </c:pt>
                <c:pt idx="67">
                  <c:v>327.3</c:v>
                </c:pt>
                <c:pt idx="68">
                  <c:v>332.2</c:v>
                </c:pt>
                <c:pt idx="69">
                  <c:v>337.2</c:v>
                </c:pt>
                <c:pt idx="70">
                  <c:v>342.2</c:v>
                </c:pt>
                <c:pt idx="71">
                  <c:v>347.2</c:v>
                </c:pt>
              </c:numCache>
            </c:numRef>
          </c:xVal>
          <c:yVal>
            <c:numRef>
              <c:f>abra02_new!$G$5:$G$76</c:f>
              <c:numCache>
                <c:formatCode>General</c:formatCode>
                <c:ptCount val="72"/>
                <c:pt idx="0">
                  <c:v>-28.548999999999978</c:v>
                </c:pt>
                <c:pt idx="1">
                  <c:v>-28.556999999999789</c:v>
                </c:pt>
                <c:pt idx="2">
                  <c:v>-28.599999999999909</c:v>
                </c:pt>
                <c:pt idx="3">
                  <c:v>-28.62099999999964</c:v>
                </c:pt>
                <c:pt idx="4">
                  <c:v>-28.629999999999654</c:v>
                </c:pt>
                <c:pt idx="5">
                  <c:v>-28.621999999999844</c:v>
                </c:pt>
                <c:pt idx="6">
                  <c:v>-28.632999999999811</c:v>
                </c:pt>
                <c:pt idx="7">
                  <c:v>-28.585999999999785</c:v>
                </c:pt>
                <c:pt idx="8">
                  <c:v>-28.582999999999629</c:v>
                </c:pt>
                <c:pt idx="9">
                  <c:v>-28.533999999999651</c:v>
                </c:pt>
                <c:pt idx="10">
                  <c:v>-28.454999999999927</c:v>
                </c:pt>
                <c:pt idx="11">
                  <c:v>-28.442999999999756</c:v>
                </c:pt>
                <c:pt idx="12">
                  <c:v>-28.384000000000015</c:v>
                </c:pt>
                <c:pt idx="13">
                  <c:v>-28.26299999999992</c:v>
                </c:pt>
                <c:pt idx="14">
                  <c:v>-28.24599999999964</c:v>
                </c:pt>
                <c:pt idx="15">
                  <c:v>-27.91399999999976</c:v>
                </c:pt>
                <c:pt idx="16">
                  <c:v>-28.05600000000004</c:v>
                </c:pt>
                <c:pt idx="17">
                  <c:v>-28.217999999999847</c:v>
                </c:pt>
                <c:pt idx="18">
                  <c:v>-28.110999999999876</c:v>
                </c:pt>
                <c:pt idx="19">
                  <c:v>-26.860999999999876</c:v>
                </c:pt>
                <c:pt idx="20">
                  <c:v>-25.976999999999862</c:v>
                </c:pt>
                <c:pt idx="21">
                  <c:v>-24.914999999999964</c:v>
                </c:pt>
                <c:pt idx="22">
                  <c:v>-23.786999999999807</c:v>
                </c:pt>
                <c:pt idx="23">
                  <c:v>-23.130999999999858</c:v>
                </c:pt>
                <c:pt idx="24">
                  <c:v>-22.420000000000073</c:v>
                </c:pt>
                <c:pt idx="25">
                  <c:v>-21.599999999999909</c:v>
                </c:pt>
                <c:pt idx="26">
                  <c:v>-21.708999999999833</c:v>
                </c:pt>
                <c:pt idx="27">
                  <c:v>-20.945999999999913</c:v>
                </c:pt>
                <c:pt idx="28">
                  <c:v>-20.30199999999968</c:v>
                </c:pt>
                <c:pt idx="29">
                  <c:v>-19.760999999999967</c:v>
                </c:pt>
                <c:pt idx="30">
                  <c:v>-19.92699999999968</c:v>
                </c:pt>
                <c:pt idx="31">
                  <c:v>-20.827999999999975</c:v>
                </c:pt>
                <c:pt idx="32">
                  <c:v>-20.833999999999833</c:v>
                </c:pt>
                <c:pt idx="33">
                  <c:v>-22.205999999999676</c:v>
                </c:pt>
                <c:pt idx="34">
                  <c:v>-23.652999999999793</c:v>
                </c:pt>
                <c:pt idx="35">
                  <c:v>-24.109999999999673</c:v>
                </c:pt>
                <c:pt idx="36">
                  <c:v>-24.239000000000033</c:v>
                </c:pt>
                <c:pt idx="37">
                  <c:v>-24.050999999999931</c:v>
                </c:pt>
                <c:pt idx="38">
                  <c:v>-23.433999999999742</c:v>
                </c:pt>
                <c:pt idx="39">
                  <c:v>-23.067999999999756</c:v>
                </c:pt>
                <c:pt idx="40">
                  <c:v>-20.721000000000004</c:v>
                </c:pt>
                <c:pt idx="41">
                  <c:v>-19.10799999999972</c:v>
                </c:pt>
                <c:pt idx="42">
                  <c:v>-18.06899999999996</c:v>
                </c:pt>
                <c:pt idx="43">
                  <c:v>-16.373999999999796</c:v>
                </c:pt>
                <c:pt idx="44">
                  <c:v>-14.667999999999665</c:v>
                </c:pt>
                <c:pt idx="45">
                  <c:v>-12.991999999999734</c:v>
                </c:pt>
                <c:pt idx="46">
                  <c:v>-11.388999999999669</c:v>
                </c:pt>
                <c:pt idx="47">
                  <c:v>-10.257000000000062</c:v>
                </c:pt>
                <c:pt idx="48">
                  <c:v>-7.8820000000000618</c:v>
                </c:pt>
                <c:pt idx="49">
                  <c:v>-4.8460000000000036</c:v>
                </c:pt>
                <c:pt idx="50">
                  <c:v>-5.8769999999999527</c:v>
                </c:pt>
                <c:pt idx="51">
                  <c:v>-6.1489999999998872</c:v>
                </c:pt>
                <c:pt idx="52">
                  <c:v>-6.4749999999999091</c:v>
                </c:pt>
                <c:pt idx="53">
                  <c:v>-4.2019999999997708</c:v>
                </c:pt>
                <c:pt idx="54">
                  <c:v>-2.4569999999998799</c:v>
                </c:pt>
                <c:pt idx="55">
                  <c:v>-2.9649999999996908</c:v>
                </c:pt>
                <c:pt idx="56">
                  <c:v>-1.8399999999996908</c:v>
                </c:pt>
                <c:pt idx="57">
                  <c:v>-2.2190000000000509</c:v>
                </c:pt>
                <c:pt idx="58">
                  <c:v>-1.5059999999998581</c:v>
                </c:pt>
                <c:pt idx="59">
                  <c:v>-0.97100000000000364</c:v>
                </c:pt>
                <c:pt idx="60">
                  <c:v>-1.656999999999698</c:v>
                </c:pt>
                <c:pt idx="61">
                  <c:v>-1.375999999999749</c:v>
                </c:pt>
                <c:pt idx="62">
                  <c:v>-0.69499999999970896</c:v>
                </c:pt>
                <c:pt idx="63">
                  <c:v>-0.50599999999985812</c:v>
                </c:pt>
                <c:pt idx="64">
                  <c:v>-0.24399999999968713</c:v>
                </c:pt>
                <c:pt idx="65">
                  <c:v>0</c:v>
                </c:pt>
                <c:pt idx="66">
                  <c:v>-0.1659999999997126</c:v>
                </c:pt>
                <c:pt idx="67">
                  <c:v>-0.21399999999994179</c:v>
                </c:pt>
                <c:pt idx="68">
                  <c:v>0</c:v>
                </c:pt>
                <c:pt idx="69">
                  <c:v>-0.23900000000003274</c:v>
                </c:pt>
                <c:pt idx="70">
                  <c:v>-0.73799999999982901</c:v>
                </c:pt>
                <c:pt idx="71">
                  <c:v>-0.63699999999971624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4F-45CD-9C70-613CCF3EAA8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abra02_new!$H$28:$H$71</c:f>
              <c:numCache>
                <c:formatCode>General</c:formatCode>
                <c:ptCount val="44"/>
                <c:pt idx="0">
                  <c:v>113.4</c:v>
                </c:pt>
                <c:pt idx="1">
                  <c:v>118.4</c:v>
                </c:pt>
                <c:pt idx="2">
                  <c:v>123.3</c:v>
                </c:pt>
                <c:pt idx="3">
                  <c:v>128.19999999999999</c:v>
                </c:pt>
                <c:pt idx="4">
                  <c:v>133.19999999999999</c:v>
                </c:pt>
                <c:pt idx="5">
                  <c:v>138.19999999999999</c:v>
                </c:pt>
                <c:pt idx="6">
                  <c:v>143.19999999999999</c:v>
                </c:pt>
                <c:pt idx="7">
                  <c:v>148.19999999999999</c:v>
                </c:pt>
                <c:pt idx="8">
                  <c:v>153.19999999999999</c:v>
                </c:pt>
                <c:pt idx="9">
                  <c:v>158.1</c:v>
                </c:pt>
                <c:pt idx="10">
                  <c:v>162.9</c:v>
                </c:pt>
                <c:pt idx="11">
                  <c:v>167.9</c:v>
                </c:pt>
                <c:pt idx="12">
                  <c:v>172.8</c:v>
                </c:pt>
                <c:pt idx="13">
                  <c:v>177.7</c:v>
                </c:pt>
                <c:pt idx="14">
                  <c:v>182.6</c:v>
                </c:pt>
                <c:pt idx="15">
                  <c:v>187.6</c:v>
                </c:pt>
                <c:pt idx="16">
                  <c:v>192.4</c:v>
                </c:pt>
                <c:pt idx="17">
                  <c:v>197.4</c:v>
                </c:pt>
                <c:pt idx="18">
                  <c:v>202.4</c:v>
                </c:pt>
                <c:pt idx="19">
                  <c:v>207.4</c:v>
                </c:pt>
                <c:pt idx="20">
                  <c:v>212.2</c:v>
                </c:pt>
                <c:pt idx="21">
                  <c:v>217</c:v>
                </c:pt>
                <c:pt idx="22">
                  <c:v>221.7</c:v>
                </c:pt>
                <c:pt idx="23">
                  <c:v>226.3</c:v>
                </c:pt>
                <c:pt idx="24">
                  <c:v>231</c:v>
                </c:pt>
                <c:pt idx="25">
                  <c:v>235.6</c:v>
                </c:pt>
                <c:pt idx="26">
                  <c:v>240.1</c:v>
                </c:pt>
                <c:pt idx="27">
                  <c:v>244.7</c:v>
                </c:pt>
                <c:pt idx="28">
                  <c:v>249.2</c:v>
                </c:pt>
                <c:pt idx="29">
                  <c:v>253.7</c:v>
                </c:pt>
                <c:pt idx="30">
                  <c:v>258.3</c:v>
                </c:pt>
                <c:pt idx="31">
                  <c:v>262.8</c:v>
                </c:pt>
                <c:pt idx="32">
                  <c:v>267.3</c:v>
                </c:pt>
                <c:pt idx="33">
                  <c:v>272.3</c:v>
                </c:pt>
                <c:pt idx="34">
                  <c:v>277.3</c:v>
                </c:pt>
                <c:pt idx="35">
                  <c:v>282.3</c:v>
                </c:pt>
                <c:pt idx="36">
                  <c:v>287.3</c:v>
                </c:pt>
                <c:pt idx="37">
                  <c:v>292.3</c:v>
                </c:pt>
                <c:pt idx="38">
                  <c:v>297.3</c:v>
                </c:pt>
                <c:pt idx="39">
                  <c:v>302.3</c:v>
                </c:pt>
                <c:pt idx="40">
                  <c:v>307.3</c:v>
                </c:pt>
                <c:pt idx="41">
                  <c:v>312.3</c:v>
                </c:pt>
                <c:pt idx="42">
                  <c:v>317.3</c:v>
                </c:pt>
                <c:pt idx="43">
                  <c:v>322.3</c:v>
                </c:pt>
              </c:numCache>
            </c:numRef>
          </c:xVal>
          <c:yVal>
            <c:numRef>
              <c:f>abra02_new!$I$28:$I$71</c:f>
              <c:numCache>
                <c:formatCode>General</c:formatCode>
                <c:ptCount val="44"/>
                <c:pt idx="0">
                  <c:v>-23.130999999999858</c:v>
                </c:pt>
                <c:pt idx="1">
                  <c:v>-22.420000000000073</c:v>
                </c:pt>
                <c:pt idx="2">
                  <c:v>-21.599999999999909</c:v>
                </c:pt>
                <c:pt idx="3">
                  <c:v>-21.708999999999833</c:v>
                </c:pt>
                <c:pt idx="4">
                  <c:v>-20.945999999999913</c:v>
                </c:pt>
                <c:pt idx="5">
                  <c:v>-20.30199999999968</c:v>
                </c:pt>
                <c:pt idx="6">
                  <c:v>-19.760999999999967</c:v>
                </c:pt>
                <c:pt idx="7">
                  <c:v>-19.92699999999968</c:v>
                </c:pt>
                <c:pt idx="8">
                  <c:v>-20.827999999999975</c:v>
                </c:pt>
                <c:pt idx="9">
                  <c:v>-20.833999999999833</c:v>
                </c:pt>
                <c:pt idx="10">
                  <c:v>-22.205999999999676</c:v>
                </c:pt>
                <c:pt idx="11">
                  <c:v>-23.652999999999793</c:v>
                </c:pt>
                <c:pt idx="12">
                  <c:v>-24.109999999999673</c:v>
                </c:pt>
                <c:pt idx="13">
                  <c:v>-24.239000000000033</c:v>
                </c:pt>
                <c:pt idx="14">
                  <c:v>-24.050999999999931</c:v>
                </c:pt>
                <c:pt idx="15">
                  <c:v>-23.433999999999742</c:v>
                </c:pt>
                <c:pt idx="16">
                  <c:v>-23.067999999999756</c:v>
                </c:pt>
                <c:pt idx="17">
                  <c:v>-20.721000000000004</c:v>
                </c:pt>
                <c:pt idx="18">
                  <c:v>-19.10799999999972</c:v>
                </c:pt>
                <c:pt idx="19">
                  <c:v>-18.06899999999996</c:v>
                </c:pt>
                <c:pt idx="20">
                  <c:v>-16.373999999999796</c:v>
                </c:pt>
                <c:pt idx="21">
                  <c:v>-14.667999999999665</c:v>
                </c:pt>
                <c:pt idx="22">
                  <c:v>-12.991999999999734</c:v>
                </c:pt>
                <c:pt idx="23">
                  <c:v>-11.388999999999669</c:v>
                </c:pt>
                <c:pt idx="24">
                  <c:v>-10.257000000000062</c:v>
                </c:pt>
                <c:pt idx="25">
                  <c:v>-7.8820000000000618</c:v>
                </c:pt>
                <c:pt idx="26">
                  <c:v>-4.8460000000000036</c:v>
                </c:pt>
                <c:pt idx="27">
                  <c:v>-5.8769999999999527</c:v>
                </c:pt>
                <c:pt idx="28">
                  <c:v>-6.1489999999998872</c:v>
                </c:pt>
                <c:pt idx="29">
                  <c:v>-6.4749999999999091</c:v>
                </c:pt>
                <c:pt idx="30">
                  <c:v>-4.2019999999997708</c:v>
                </c:pt>
                <c:pt idx="31">
                  <c:v>-2.4569999999998799</c:v>
                </c:pt>
                <c:pt idx="32">
                  <c:v>-2.9649999999996908</c:v>
                </c:pt>
                <c:pt idx="33">
                  <c:v>-1.8399999999996908</c:v>
                </c:pt>
                <c:pt idx="34">
                  <c:v>-2.2190000000000509</c:v>
                </c:pt>
                <c:pt idx="35">
                  <c:v>-1.5059999999998581</c:v>
                </c:pt>
                <c:pt idx="36">
                  <c:v>-0.97100000000000364</c:v>
                </c:pt>
                <c:pt idx="37">
                  <c:v>-1.656999999999698</c:v>
                </c:pt>
                <c:pt idx="38">
                  <c:v>-1.375999999999749</c:v>
                </c:pt>
                <c:pt idx="39">
                  <c:v>-0.69499999999970896</c:v>
                </c:pt>
                <c:pt idx="40">
                  <c:v>-0.50599999999985812</c:v>
                </c:pt>
                <c:pt idx="41">
                  <c:v>-0.24399999999968713</c:v>
                </c:pt>
                <c:pt idx="42">
                  <c:v>0</c:v>
                </c:pt>
                <c:pt idx="43">
                  <c:v>-0.1659999999997126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4F-45CD-9C70-613CCF3EA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347423"/>
        <c:axId val="188404015"/>
      </c:scatterChart>
      <c:valAx>
        <c:axId val="45134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04015"/>
        <c:crosses val="autoZero"/>
        <c:crossBetween val="midCat"/>
      </c:valAx>
      <c:valAx>
        <c:axId val="18840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347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RST_max</a:t>
            </a:r>
            <a:r>
              <a:rPr lang="en-GB" baseline="0"/>
              <a:t> = 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abra05!$P$3:$P$50</c:f>
              <c:numCache>
                <c:formatCode>0.0</c:formatCode>
                <c:ptCount val="48"/>
                <c:pt idx="0">
                  <c:v>0</c:v>
                </c:pt>
                <c:pt idx="1">
                  <c:v>4.9839743177508442</c:v>
                </c:pt>
                <c:pt idx="2">
                  <c:v>9.9799727164695629</c:v>
                </c:pt>
                <c:pt idx="3">
                  <c:v>14.970964601856675</c:v>
                </c:pt>
                <c:pt idx="4">
                  <c:v>19.969964501836671</c:v>
                </c:pt>
                <c:pt idx="5">
                  <c:v>24.944901687369772</c:v>
                </c:pt>
                <c:pt idx="6">
                  <c:v>29.908771145766114</c:v>
                </c:pt>
                <c:pt idx="7">
                  <c:v>34.89274546351696</c:v>
                </c:pt>
                <c:pt idx="8">
                  <c:v>39.86768264905006</c:v>
                </c:pt>
                <c:pt idx="9">
                  <c:v>44.786015699993236</c:v>
                </c:pt>
                <c:pt idx="10">
                  <c:v>49.736773217787864</c:v>
                </c:pt>
                <c:pt idx="11">
                  <c:v>54.4015347336641</c:v>
                </c:pt>
                <c:pt idx="12">
                  <c:v>59.066296249540336</c:v>
                </c:pt>
                <c:pt idx="13">
                  <c:v>63.943795608843217</c:v>
                </c:pt>
                <c:pt idx="14">
                  <c:v>68.821294968146091</c:v>
                </c:pt>
                <c:pt idx="15">
                  <c:v>73.67515940795073</c:v>
                </c:pt>
                <c:pt idx="16">
                  <c:v>78.444855415035462</c:v>
                </c:pt>
                <c:pt idx="17">
                  <c:v>83.214551422120195</c:v>
                </c:pt>
                <c:pt idx="18">
                  <c:v>87.984247429204927</c:v>
                </c:pt>
                <c:pt idx="19">
                  <c:v>92.784247429204925</c:v>
                </c:pt>
                <c:pt idx="20">
                  <c:v>97.521335142135726</c:v>
                </c:pt>
                <c:pt idx="21">
                  <c:v>102.29103114922046</c:v>
                </c:pt>
                <c:pt idx="22">
                  <c:v>107.06072715630519</c:v>
                </c:pt>
                <c:pt idx="23">
                  <c:v>111.86072715630519</c:v>
                </c:pt>
                <c:pt idx="24">
                  <c:v>116.71459159610983</c:v>
                </c:pt>
                <c:pt idx="25">
                  <c:v>121.51459159610982</c:v>
                </c:pt>
                <c:pt idx="26">
                  <c:v>126.21671877431332</c:v>
                </c:pt>
                <c:pt idx="27">
                  <c:v>130.84165120625218</c:v>
                </c:pt>
                <c:pt idx="28">
                  <c:v>135.46658363819105</c:v>
                </c:pt>
                <c:pt idx="29">
                  <c:v>140.16871081639457</c:v>
                </c:pt>
                <c:pt idx="30">
                  <c:v>144.96871081639458</c:v>
                </c:pt>
                <c:pt idx="31">
                  <c:v>149.73840682347929</c:v>
                </c:pt>
                <c:pt idx="32">
                  <c:v>154.53840682347931</c:v>
                </c:pt>
                <c:pt idx="33">
                  <c:v>159.24053400168282</c:v>
                </c:pt>
                <c:pt idx="34">
                  <c:v>164.01023000876754</c:v>
                </c:pt>
                <c:pt idx="35">
                  <c:v>168.63516244070641</c:v>
                </c:pt>
                <c:pt idx="36">
                  <c:v>173.26009487264528</c:v>
                </c:pt>
                <c:pt idx="37">
                  <c:v>177.96222205084879</c:v>
                </c:pt>
                <c:pt idx="38">
                  <c:v>182.66434922905231</c:v>
                </c:pt>
                <c:pt idx="39">
                  <c:v>187.24692492400814</c:v>
                </c:pt>
                <c:pt idx="40">
                  <c:v>191.82950061896398</c:v>
                </c:pt>
                <c:pt idx="41">
                  <c:v>196.41207631391981</c:v>
                </c:pt>
                <c:pt idx="42">
                  <c:v>200.41207631391981</c:v>
                </c:pt>
                <c:pt idx="43">
                  <c:v>204.68290761473233</c:v>
                </c:pt>
                <c:pt idx="44">
                  <c:v>209.2205281365477</c:v>
                </c:pt>
                <c:pt idx="45">
                  <c:v>213.84546056848657</c:v>
                </c:pt>
                <c:pt idx="46">
                  <c:v>218.17558758740876</c:v>
                </c:pt>
                <c:pt idx="47">
                  <c:v>222.31805062285034</c:v>
                </c:pt>
              </c:numCache>
            </c:numRef>
          </c:xVal>
          <c:yVal>
            <c:numRef>
              <c:f>abra05!$Q$3:$Q$50</c:f>
              <c:numCache>
                <c:formatCode>General</c:formatCode>
                <c:ptCount val="48"/>
                <c:pt idx="0">
                  <c:v>-24.700000000000003</c:v>
                </c:pt>
                <c:pt idx="1">
                  <c:v>-24.299999999999997</c:v>
                </c:pt>
                <c:pt idx="2">
                  <c:v>-24.100000000000009</c:v>
                </c:pt>
                <c:pt idx="3">
                  <c:v>-23.799999999999997</c:v>
                </c:pt>
                <c:pt idx="4">
                  <c:v>-23.700000000000003</c:v>
                </c:pt>
                <c:pt idx="5">
                  <c:v>-23.200000000000003</c:v>
                </c:pt>
                <c:pt idx="6">
                  <c:v>-22.600000000000009</c:v>
                </c:pt>
                <c:pt idx="7">
                  <c:v>-22.200000000000003</c:v>
                </c:pt>
                <c:pt idx="8">
                  <c:v>-21.700000000000003</c:v>
                </c:pt>
                <c:pt idx="9">
                  <c:v>-20.799999999999997</c:v>
                </c:pt>
                <c:pt idx="10">
                  <c:v>-20.100000000000009</c:v>
                </c:pt>
                <c:pt idx="11">
                  <c:v>-18.300000000000004</c:v>
                </c:pt>
                <c:pt idx="12">
                  <c:v>-16.5</c:v>
                </c:pt>
                <c:pt idx="13">
                  <c:v>-15.400000000000006</c:v>
                </c:pt>
                <c:pt idx="14">
                  <c:v>-14.300000000000004</c:v>
                </c:pt>
                <c:pt idx="15">
                  <c:v>-13.100000000000001</c:v>
                </c:pt>
                <c:pt idx="16">
                  <c:v>-11.600000000000001</c:v>
                </c:pt>
                <c:pt idx="17">
                  <c:v>-10.100000000000001</c:v>
                </c:pt>
                <c:pt idx="18">
                  <c:v>-8.6000000000000014</c:v>
                </c:pt>
                <c:pt idx="19">
                  <c:v>-7.2000000000000028</c:v>
                </c:pt>
                <c:pt idx="20">
                  <c:v>-5.6000000000000014</c:v>
                </c:pt>
                <c:pt idx="21">
                  <c:v>-4.1000000000000014</c:v>
                </c:pt>
                <c:pt idx="22">
                  <c:v>-2.6000000000000014</c:v>
                </c:pt>
                <c:pt idx="23">
                  <c:v>-1.2000000000000028</c:v>
                </c:pt>
                <c:pt idx="24">
                  <c:v>0</c:v>
                </c:pt>
                <c:pt idx="25">
                  <c:v>1.3999999999999986</c:v>
                </c:pt>
                <c:pt idx="26">
                  <c:v>3.0999999999999943</c:v>
                </c:pt>
                <c:pt idx="27">
                  <c:v>5</c:v>
                </c:pt>
                <c:pt idx="28">
                  <c:v>6.8999999999999986</c:v>
                </c:pt>
                <c:pt idx="29">
                  <c:v>8.5999999999999943</c:v>
                </c:pt>
                <c:pt idx="30">
                  <c:v>10</c:v>
                </c:pt>
                <c:pt idx="31">
                  <c:v>11.5</c:v>
                </c:pt>
                <c:pt idx="32">
                  <c:v>12.899999999999999</c:v>
                </c:pt>
                <c:pt idx="33">
                  <c:v>14.599999999999994</c:v>
                </c:pt>
                <c:pt idx="34">
                  <c:v>16.099999999999994</c:v>
                </c:pt>
                <c:pt idx="35">
                  <c:v>18</c:v>
                </c:pt>
                <c:pt idx="36">
                  <c:v>19.899999999999999</c:v>
                </c:pt>
                <c:pt idx="37">
                  <c:v>21.599999999999994</c:v>
                </c:pt>
                <c:pt idx="38">
                  <c:v>23.299999999999997</c:v>
                </c:pt>
                <c:pt idx="39">
                  <c:v>25.299999999999997</c:v>
                </c:pt>
                <c:pt idx="40">
                  <c:v>27.299999999999997</c:v>
                </c:pt>
                <c:pt idx="41">
                  <c:v>29.299999999999997</c:v>
                </c:pt>
                <c:pt idx="42">
                  <c:v>32.299999999999997</c:v>
                </c:pt>
                <c:pt idx="43">
                  <c:v>34.9</c:v>
                </c:pt>
                <c:pt idx="44">
                  <c:v>37</c:v>
                </c:pt>
                <c:pt idx="45">
                  <c:v>38.9</c:v>
                </c:pt>
                <c:pt idx="46">
                  <c:v>41.399999999999991</c:v>
                </c:pt>
                <c:pt idx="47">
                  <c:v>44.2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EA-4688-A658-6E6903CA766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abra05!$M$3:$M$28</c:f>
              <c:numCache>
                <c:formatCode>0.0</c:formatCode>
                <c:ptCount val="26"/>
                <c:pt idx="0">
                  <c:v>-7.5</c:v>
                </c:pt>
                <c:pt idx="1">
                  <c:v>0</c:v>
                </c:pt>
                <c:pt idx="2">
                  <c:v>4.9839743177508442</c:v>
                </c:pt>
                <c:pt idx="3">
                  <c:v>9.9799727164695629</c:v>
                </c:pt>
                <c:pt idx="4">
                  <c:v>14.970964601856675</c:v>
                </c:pt>
                <c:pt idx="5">
                  <c:v>19.969964501836671</c:v>
                </c:pt>
                <c:pt idx="6">
                  <c:v>24.944901687369772</c:v>
                </c:pt>
                <c:pt idx="7">
                  <c:v>29.908771145766114</c:v>
                </c:pt>
                <c:pt idx="8">
                  <c:v>34.89274546351696</c:v>
                </c:pt>
                <c:pt idx="9">
                  <c:v>39.86768264905006</c:v>
                </c:pt>
                <c:pt idx="10">
                  <c:v>44.786015699993236</c:v>
                </c:pt>
                <c:pt idx="11">
                  <c:v>49.736773217787864</c:v>
                </c:pt>
                <c:pt idx="12">
                  <c:v>54.4015347336641</c:v>
                </c:pt>
                <c:pt idx="13">
                  <c:v>59.066296249540336</c:v>
                </c:pt>
                <c:pt idx="14">
                  <c:v>63.943795608843217</c:v>
                </c:pt>
                <c:pt idx="15">
                  <c:v>68.821294968146091</c:v>
                </c:pt>
                <c:pt idx="16">
                  <c:v>73.67515940795073</c:v>
                </c:pt>
                <c:pt idx="17">
                  <c:v>78.444855415035462</c:v>
                </c:pt>
                <c:pt idx="18">
                  <c:v>83.214551422120195</c:v>
                </c:pt>
                <c:pt idx="19">
                  <c:v>87.984247429204927</c:v>
                </c:pt>
                <c:pt idx="20">
                  <c:v>92.784247429204925</c:v>
                </c:pt>
                <c:pt idx="21">
                  <c:v>97.521335142135726</c:v>
                </c:pt>
                <c:pt idx="22">
                  <c:v>102.29103114922046</c:v>
                </c:pt>
                <c:pt idx="23">
                  <c:v>107.06072715630519</c:v>
                </c:pt>
                <c:pt idx="24">
                  <c:v>111.86072715630519</c:v>
                </c:pt>
                <c:pt idx="25">
                  <c:v>119.36072715630519</c:v>
                </c:pt>
              </c:numCache>
            </c:numRef>
          </c:xVal>
          <c:yVal>
            <c:numRef>
              <c:f>abra05!$N$3:$N$28</c:f>
              <c:numCache>
                <c:formatCode>General</c:formatCode>
                <c:ptCount val="26"/>
                <c:pt idx="0">
                  <c:v>-24.700000000000003</c:v>
                </c:pt>
                <c:pt idx="1">
                  <c:v>-24.700000000000003</c:v>
                </c:pt>
                <c:pt idx="2">
                  <c:v>-24.299999999999997</c:v>
                </c:pt>
                <c:pt idx="3">
                  <c:v>-24.100000000000009</c:v>
                </c:pt>
                <c:pt idx="4">
                  <c:v>-23.799999999999997</c:v>
                </c:pt>
                <c:pt idx="5">
                  <c:v>-23.700000000000003</c:v>
                </c:pt>
                <c:pt idx="6">
                  <c:v>-23.200000000000003</c:v>
                </c:pt>
                <c:pt idx="7">
                  <c:v>-22.600000000000009</c:v>
                </c:pt>
                <c:pt idx="8">
                  <c:v>-22.200000000000003</c:v>
                </c:pt>
                <c:pt idx="9">
                  <c:v>-21.700000000000003</c:v>
                </c:pt>
                <c:pt idx="10">
                  <c:v>-20.799999999999997</c:v>
                </c:pt>
                <c:pt idx="11">
                  <c:v>-20.100000000000009</c:v>
                </c:pt>
                <c:pt idx="12">
                  <c:v>-18.300000000000004</c:v>
                </c:pt>
                <c:pt idx="13">
                  <c:v>-16.5</c:v>
                </c:pt>
                <c:pt idx="14">
                  <c:v>-15.400000000000006</c:v>
                </c:pt>
                <c:pt idx="15">
                  <c:v>-14.300000000000004</c:v>
                </c:pt>
                <c:pt idx="16">
                  <c:v>-13.100000000000001</c:v>
                </c:pt>
                <c:pt idx="17">
                  <c:v>-11.600000000000001</c:v>
                </c:pt>
                <c:pt idx="18">
                  <c:v>-10.100000000000001</c:v>
                </c:pt>
                <c:pt idx="19">
                  <c:v>-8.6000000000000014</c:v>
                </c:pt>
                <c:pt idx="20">
                  <c:v>-7.2000000000000028</c:v>
                </c:pt>
                <c:pt idx="21">
                  <c:v>-5.6000000000000014</c:v>
                </c:pt>
                <c:pt idx="22">
                  <c:v>-4.1000000000000014</c:v>
                </c:pt>
                <c:pt idx="23">
                  <c:v>-2.6000000000000014</c:v>
                </c:pt>
                <c:pt idx="24">
                  <c:v>-1.2000000000000028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EA-4688-A658-6E6903CA7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874127"/>
        <c:axId val="539899727"/>
      </c:scatterChart>
      <c:valAx>
        <c:axId val="50487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899727"/>
        <c:crosses val="autoZero"/>
        <c:crossBetween val="midCat"/>
      </c:valAx>
      <c:valAx>
        <c:axId val="53989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874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60-4DA0-BB13-0519806B1C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abra03!$A$2:$A$88</c:f>
              <c:numCache>
                <c:formatCode>General</c:formatCode>
                <c:ptCount val="87"/>
                <c:pt idx="0">
                  <c:v>-7.5</c:v>
                </c:pt>
                <c:pt idx="1">
                  <c:v>-3.75</c:v>
                </c:pt>
                <c:pt idx="2">
                  <c:v>0</c:v>
                </c:pt>
                <c:pt idx="3">
                  <c:v>2.4500000000000002</c:v>
                </c:pt>
                <c:pt idx="4">
                  <c:v>4.9000000000000004</c:v>
                </c:pt>
                <c:pt idx="5">
                  <c:v>7.35</c:v>
                </c:pt>
                <c:pt idx="6">
                  <c:v>9.8000000000000007</c:v>
                </c:pt>
                <c:pt idx="7">
                  <c:v>12.3</c:v>
                </c:pt>
                <c:pt idx="8">
                  <c:v>14.8</c:v>
                </c:pt>
                <c:pt idx="9">
                  <c:v>17.25</c:v>
                </c:pt>
                <c:pt idx="10">
                  <c:v>19.7</c:v>
                </c:pt>
                <c:pt idx="11">
                  <c:v>22.15</c:v>
                </c:pt>
                <c:pt idx="12">
                  <c:v>24.6</c:v>
                </c:pt>
                <c:pt idx="13">
                  <c:v>27.05</c:v>
                </c:pt>
                <c:pt idx="14">
                  <c:v>29.5</c:v>
                </c:pt>
                <c:pt idx="15">
                  <c:v>32</c:v>
                </c:pt>
                <c:pt idx="16">
                  <c:v>34.5</c:v>
                </c:pt>
                <c:pt idx="17">
                  <c:v>36.950000000000003</c:v>
                </c:pt>
                <c:pt idx="18">
                  <c:v>39.4</c:v>
                </c:pt>
                <c:pt idx="19">
                  <c:v>41.85</c:v>
                </c:pt>
                <c:pt idx="20">
                  <c:v>44.3</c:v>
                </c:pt>
                <c:pt idx="21">
                  <c:v>46.75</c:v>
                </c:pt>
                <c:pt idx="22">
                  <c:v>49.2</c:v>
                </c:pt>
                <c:pt idx="23">
                  <c:v>51.7</c:v>
                </c:pt>
                <c:pt idx="24">
                  <c:v>54.2</c:v>
                </c:pt>
                <c:pt idx="25">
                  <c:v>56.7</c:v>
                </c:pt>
                <c:pt idx="26">
                  <c:v>59.2</c:v>
                </c:pt>
                <c:pt idx="27">
                  <c:v>61.6</c:v>
                </c:pt>
                <c:pt idx="28">
                  <c:v>64</c:v>
                </c:pt>
                <c:pt idx="29">
                  <c:v>66.45</c:v>
                </c:pt>
                <c:pt idx="30">
                  <c:v>68.900000000000006</c:v>
                </c:pt>
                <c:pt idx="31">
                  <c:v>71.349999999999994</c:v>
                </c:pt>
                <c:pt idx="32">
                  <c:v>73.8</c:v>
                </c:pt>
                <c:pt idx="33">
                  <c:v>76.3</c:v>
                </c:pt>
                <c:pt idx="34">
                  <c:v>78.8</c:v>
                </c:pt>
                <c:pt idx="35">
                  <c:v>81.25</c:v>
                </c:pt>
                <c:pt idx="36">
                  <c:v>83.7</c:v>
                </c:pt>
                <c:pt idx="37">
                  <c:v>86.2</c:v>
                </c:pt>
                <c:pt idx="38">
                  <c:v>88.7</c:v>
                </c:pt>
                <c:pt idx="39">
                  <c:v>91.15</c:v>
                </c:pt>
                <c:pt idx="40">
                  <c:v>93.6</c:v>
                </c:pt>
                <c:pt idx="41">
                  <c:v>96.1</c:v>
                </c:pt>
                <c:pt idx="42">
                  <c:v>98.6</c:v>
                </c:pt>
                <c:pt idx="43">
                  <c:v>101.05</c:v>
                </c:pt>
                <c:pt idx="44">
                  <c:v>103.5</c:v>
                </c:pt>
                <c:pt idx="45">
                  <c:v>105.95</c:v>
                </c:pt>
                <c:pt idx="46">
                  <c:v>108.4</c:v>
                </c:pt>
                <c:pt idx="47">
                  <c:v>110.9</c:v>
                </c:pt>
                <c:pt idx="48">
                  <c:v>113.4</c:v>
                </c:pt>
                <c:pt idx="49">
                  <c:v>117.15</c:v>
                </c:pt>
                <c:pt idx="50">
                  <c:v>120.9</c:v>
                </c:pt>
                <c:pt idx="51">
                  <c:v>122.8</c:v>
                </c:pt>
                <c:pt idx="52">
                  <c:v>124.7</c:v>
                </c:pt>
                <c:pt idx="53">
                  <c:v>127.15</c:v>
                </c:pt>
                <c:pt idx="54">
                  <c:v>129.6</c:v>
                </c:pt>
                <c:pt idx="55">
                  <c:v>132.1</c:v>
                </c:pt>
                <c:pt idx="56">
                  <c:v>134.6</c:v>
                </c:pt>
                <c:pt idx="57">
                  <c:v>137.1</c:v>
                </c:pt>
                <c:pt idx="58">
                  <c:v>139.6</c:v>
                </c:pt>
                <c:pt idx="59">
                  <c:v>142.1</c:v>
                </c:pt>
                <c:pt idx="60">
                  <c:v>144.6</c:v>
                </c:pt>
                <c:pt idx="61">
                  <c:v>147.1</c:v>
                </c:pt>
                <c:pt idx="62">
                  <c:v>149.6</c:v>
                </c:pt>
                <c:pt idx="63">
                  <c:v>152.1</c:v>
                </c:pt>
                <c:pt idx="64">
                  <c:v>154.6</c:v>
                </c:pt>
                <c:pt idx="65">
                  <c:v>157.05000000000001</c:v>
                </c:pt>
                <c:pt idx="66">
                  <c:v>159.5</c:v>
                </c:pt>
                <c:pt idx="67">
                  <c:v>161.9</c:v>
                </c:pt>
                <c:pt idx="68">
                  <c:v>164.3</c:v>
                </c:pt>
                <c:pt idx="69">
                  <c:v>166.75</c:v>
                </c:pt>
                <c:pt idx="70">
                  <c:v>169.2</c:v>
                </c:pt>
                <c:pt idx="71">
                  <c:v>171.7</c:v>
                </c:pt>
                <c:pt idx="72">
                  <c:v>174.2</c:v>
                </c:pt>
                <c:pt idx="73">
                  <c:v>176.6</c:v>
                </c:pt>
                <c:pt idx="74">
                  <c:v>179</c:v>
                </c:pt>
                <c:pt idx="75">
                  <c:v>181.5</c:v>
                </c:pt>
                <c:pt idx="76">
                  <c:v>184</c:v>
                </c:pt>
                <c:pt idx="77">
                  <c:v>186.5</c:v>
                </c:pt>
                <c:pt idx="78">
                  <c:v>189</c:v>
                </c:pt>
                <c:pt idx="79">
                  <c:v>191.4</c:v>
                </c:pt>
                <c:pt idx="80">
                  <c:v>193.8</c:v>
                </c:pt>
                <c:pt idx="81">
                  <c:v>196.3</c:v>
                </c:pt>
                <c:pt idx="82">
                  <c:v>198.8</c:v>
                </c:pt>
                <c:pt idx="83">
                  <c:v>201.3</c:v>
                </c:pt>
                <c:pt idx="84">
                  <c:v>203.8</c:v>
                </c:pt>
                <c:pt idx="85">
                  <c:v>208.15</c:v>
                </c:pt>
                <c:pt idx="86">
                  <c:v>212.5</c:v>
                </c:pt>
              </c:numCache>
            </c:numRef>
          </c:xVal>
          <c:yVal>
            <c:numRef>
              <c:f>abra03!$B$2:$B$88</c:f>
              <c:numCache>
                <c:formatCode>General</c:formatCode>
                <c:ptCount val="87"/>
                <c:pt idx="0">
                  <c:v>-0.5</c:v>
                </c:pt>
                <c:pt idx="1">
                  <c:v>-0.25</c:v>
                </c:pt>
                <c:pt idx="2">
                  <c:v>0</c:v>
                </c:pt>
                <c:pt idx="3">
                  <c:v>-0.45</c:v>
                </c:pt>
                <c:pt idx="4">
                  <c:v>-0.9</c:v>
                </c:pt>
                <c:pt idx="5">
                  <c:v>-1.35</c:v>
                </c:pt>
                <c:pt idx="6">
                  <c:v>-1.8</c:v>
                </c:pt>
                <c:pt idx="7">
                  <c:v>-2.25</c:v>
                </c:pt>
                <c:pt idx="8">
                  <c:v>-2.7</c:v>
                </c:pt>
                <c:pt idx="9">
                  <c:v>-3.15</c:v>
                </c:pt>
                <c:pt idx="10">
                  <c:v>-3.6</c:v>
                </c:pt>
                <c:pt idx="11">
                  <c:v>-4.0999999999999996</c:v>
                </c:pt>
                <c:pt idx="12">
                  <c:v>-4.5999999999999996</c:v>
                </c:pt>
                <c:pt idx="13">
                  <c:v>-5</c:v>
                </c:pt>
                <c:pt idx="14">
                  <c:v>-5.4</c:v>
                </c:pt>
                <c:pt idx="15">
                  <c:v>-5.75</c:v>
                </c:pt>
                <c:pt idx="16">
                  <c:v>-6.1</c:v>
                </c:pt>
                <c:pt idx="17">
                  <c:v>-6.5</c:v>
                </c:pt>
                <c:pt idx="18">
                  <c:v>-6.9</c:v>
                </c:pt>
                <c:pt idx="19">
                  <c:v>-7.35</c:v>
                </c:pt>
                <c:pt idx="20">
                  <c:v>-7.8</c:v>
                </c:pt>
                <c:pt idx="21">
                  <c:v>-8.3000000000000007</c:v>
                </c:pt>
                <c:pt idx="22">
                  <c:v>-8.8000000000000007</c:v>
                </c:pt>
                <c:pt idx="23">
                  <c:v>-9</c:v>
                </c:pt>
                <c:pt idx="24">
                  <c:v>-9.1999999999999993</c:v>
                </c:pt>
                <c:pt idx="25">
                  <c:v>-9.4499999999999993</c:v>
                </c:pt>
                <c:pt idx="26">
                  <c:v>-9.6999999999999993</c:v>
                </c:pt>
                <c:pt idx="27">
                  <c:v>-10.35</c:v>
                </c:pt>
                <c:pt idx="28">
                  <c:v>-11</c:v>
                </c:pt>
                <c:pt idx="29">
                  <c:v>-11.55</c:v>
                </c:pt>
                <c:pt idx="30">
                  <c:v>-12.1</c:v>
                </c:pt>
                <c:pt idx="31">
                  <c:v>-12.6</c:v>
                </c:pt>
                <c:pt idx="32">
                  <c:v>-13.1</c:v>
                </c:pt>
                <c:pt idx="33">
                  <c:v>-13.2</c:v>
                </c:pt>
                <c:pt idx="34">
                  <c:v>-13.3</c:v>
                </c:pt>
                <c:pt idx="35">
                  <c:v>-13.75</c:v>
                </c:pt>
                <c:pt idx="36">
                  <c:v>-14.2</c:v>
                </c:pt>
                <c:pt idx="37">
                  <c:v>-14.5</c:v>
                </c:pt>
                <c:pt idx="38">
                  <c:v>-14.8</c:v>
                </c:pt>
                <c:pt idx="39">
                  <c:v>-15.05</c:v>
                </c:pt>
                <c:pt idx="40">
                  <c:v>-15.3</c:v>
                </c:pt>
                <c:pt idx="41">
                  <c:v>-15.7</c:v>
                </c:pt>
                <c:pt idx="42">
                  <c:v>-16.100000000000001</c:v>
                </c:pt>
                <c:pt idx="43">
                  <c:v>-16.3</c:v>
                </c:pt>
                <c:pt idx="44">
                  <c:v>-16.5</c:v>
                </c:pt>
                <c:pt idx="45">
                  <c:v>-17.100000000000001</c:v>
                </c:pt>
                <c:pt idx="46">
                  <c:v>-17.7</c:v>
                </c:pt>
                <c:pt idx="47">
                  <c:v>-17.95</c:v>
                </c:pt>
                <c:pt idx="48">
                  <c:v>-18.2</c:v>
                </c:pt>
                <c:pt idx="49">
                  <c:v>-18.3</c:v>
                </c:pt>
                <c:pt idx="50">
                  <c:v>-18.399999999999999</c:v>
                </c:pt>
                <c:pt idx="51">
                  <c:v>-18.75</c:v>
                </c:pt>
                <c:pt idx="52">
                  <c:v>-19.100000000000001</c:v>
                </c:pt>
                <c:pt idx="53">
                  <c:v>-19.45</c:v>
                </c:pt>
                <c:pt idx="54">
                  <c:v>-19.8</c:v>
                </c:pt>
                <c:pt idx="55">
                  <c:v>-19.899999999999999</c:v>
                </c:pt>
                <c:pt idx="56">
                  <c:v>-20</c:v>
                </c:pt>
                <c:pt idx="57">
                  <c:v>-20.149999999999999</c:v>
                </c:pt>
                <c:pt idx="58">
                  <c:v>-20.3</c:v>
                </c:pt>
                <c:pt idx="59">
                  <c:v>-20.3</c:v>
                </c:pt>
                <c:pt idx="60">
                  <c:v>-20.3</c:v>
                </c:pt>
                <c:pt idx="61">
                  <c:v>-20.55</c:v>
                </c:pt>
                <c:pt idx="62">
                  <c:v>-20.8</c:v>
                </c:pt>
                <c:pt idx="63">
                  <c:v>-20.7</c:v>
                </c:pt>
                <c:pt idx="64">
                  <c:v>-20.6</c:v>
                </c:pt>
                <c:pt idx="65">
                  <c:v>-21.15</c:v>
                </c:pt>
                <c:pt idx="66">
                  <c:v>-21.7</c:v>
                </c:pt>
                <c:pt idx="67">
                  <c:v>-22.4</c:v>
                </c:pt>
                <c:pt idx="68">
                  <c:v>-23.1</c:v>
                </c:pt>
                <c:pt idx="69">
                  <c:v>-23.35</c:v>
                </c:pt>
                <c:pt idx="70">
                  <c:v>-23.6</c:v>
                </c:pt>
                <c:pt idx="71">
                  <c:v>-23.95</c:v>
                </c:pt>
                <c:pt idx="72">
                  <c:v>-24.3</c:v>
                </c:pt>
                <c:pt idx="73">
                  <c:v>-24.9</c:v>
                </c:pt>
                <c:pt idx="74">
                  <c:v>-25.5</c:v>
                </c:pt>
                <c:pt idx="75">
                  <c:v>-25.7</c:v>
                </c:pt>
                <c:pt idx="76">
                  <c:v>-25.9</c:v>
                </c:pt>
                <c:pt idx="77">
                  <c:v>-26.05</c:v>
                </c:pt>
                <c:pt idx="78">
                  <c:v>-26.2</c:v>
                </c:pt>
                <c:pt idx="79">
                  <c:v>-26.9</c:v>
                </c:pt>
                <c:pt idx="80">
                  <c:v>-27.6</c:v>
                </c:pt>
                <c:pt idx="81">
                  <c:v>-27.7</c:v>
                </c:pt>
                <c:pt idx="82">
                  <c:v>-27.8</c:v>
                </c:pt>
                <c:pt idx="83">
                  <c:v>-28.1</c:v>
                </c:pt>
                <c:pt idx="84">
                  <c:v>-28.4</c:v>
                </c:pt>
                <c:pt idx="85">
                  <c:v>-28.4</c:v>
                </c:pt>
                <c:pt idx="86">
                  <c:v>-30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60-4DA0-BB13-0519806B1CD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abra03!$E$2:$E$97</c:f>
              <c:numCache>
                <c:formatCode>0.0</c:formatCode>
                <c:ptCount val="96"/>
                <c:pt idx="0">
                  <c:v>0</c:v>
                </c:pt>
                <c:pt idx="1">
                  <c:v>4.9183330509431471</c:v>
                </c:pt>
                <c:pt idx="2">
                  <c:v>9.8366661018862942</c:v>
                </c:pt>
                <c:pt idx="3">
                  <c:v>14.754999152829555</c:v>
                </c:pt>
                <c:pt idx="4">
                  <c:v>19.673332203772702</c:v>
                </c:pt>
                <c:pt idx="5">
                  <c:v>24.572311689339131</c:v>
                </c:pt>
                <c:pt idx="6">
                  <c:v>29.507896761040229</c:v>
                </c:pt>
                <c:pt idx="7">
                  <c:v>34.458654278834956</c:v>
                </c:pt>
                <c:pt idx="8">
                  <c:v>39.394239350536054</c:v>
                </c:pt>
                <c:pt idx="9">
                  <c:v>44.312572401479201</c:v>
                </c:pt>
                <c:pt idx="10">
                  <c:v>49.211551887045516</c:v>
                </c:pt>
                <c:pt idx="11">
                  <c:v>54.195526204796352</c:v>
                </c:pt>
                <c:pt idx="12">
                  <c:v>59.17046339032936</c:v>
                </c:pt>
                <c:pt idx="13">
                  <c:v>63.998506472158624</c:v>
                </c:pt>
                <c:pt idx="14">
                  <c:v>68.876005831461498</c:v>
                </c:pt>
                <c:pt idx="15">
                  <c:v>73.774985317027813</c:v>
                </c:pt>
                <c:pt idx="16">
                  <c:v>78.770983715746524</c:v>
                </c:pt>
                <c:pt idx="17">
                  <c:v>83.689316766689672</c:v>
                </c:pt>
                <c:pt idx="18">
                  <c:v>88.653186225086074</c:v>
                </c:pt>
                <c:pt idx="19">
                  <c:v>93.628123410619082</c:v>
                </c:pt>
                <c:pt idx="20">
                  <c:v>98.563708482320408</c:v>
                </c:pt>
                <c:pt idx="21">
                  <c:v>103.54768280007124</c:v>
                </c:pt>
                <c:pt idx="22">
                  <c:v>108.40154723987598</c:v>
                </c:pt>
                <c:pt idx="23">
                  <c:v>113.37648442540899</c:v>
                </c:pt>
                <c:pt idx="24">
                  <c:v>118.37648442540899</c:v>
                </c:pt>
                <c:pt idx="25">
                  <c:v>123.29481747635214</c:v>
                </c:pt>
                <c:pt idx="26">
                  <c:v>128.24557499414664</c:v>
                </c:pt>
                <c:pt idx="27">
                  <c:v>133.24157339286535</c:v>
                </c:pt>
                <c:pt idx="28">
                  <c:v>138.23256527825242</c:v>
                </c:pt>
                <c:pt idx="29">
                  <c:v>143.23256527825242</c:v>
                </c:pt>
                <c:pt idx="30">
                  <c:v>148.20750246378543</c:v>
                </c:pt>
                <c:pt idx="31">
                  <c:v>153.20350086250414</c:v>
                </c:pt>
                <c:pt idx="32">
                  <c:v>158.08100022180702</c:v>
                </c:pt>
                <c:pt idx="33">
                  <c:v>162.88100022180697</c:v>
                </c:pt>
                <c:pt idx="34">
                  <c:v>167.85593740733998</c:v>
                </c:pt>
                <c:pt idx="35">
                  <c:v>172.80669492513448</c:v>
                </c:pt>
                <c:pt idx="36">
                  <c:v>177.66055936493922</c:v>
                </c:pt>
                <c:pt idx="37">
                  <c:v>182.64453368269005</c:v>
                </c:pt>
                <c:pt idx="38">
                  <c:v>187.63552556807713</c:v>
                </c:pt>
                <c:pt idx="39">
                  <c:v>192.43552556807708</c:v>
                </c:pt>
                <c:pt idx="40">
                  <c:v>197.43152396679579</c:v>
                </c:pt>
                <c:pt idx="41">
                  <c:v>202.3953934251922</c:v>
                </c:pt>
                <c:pt idx="42">
                  <c:v>207.37936774294303</c:v>
                </c:pt>
                <c:pt idx="43">
                  <c:v>212.20741082477252</c:v>
                </c:pt>
                <c:pt idx="44">
                  <c:v>216.97710683185733</c:v>
                </c:pt>
                <c:pt idx="45">
                  <c:v>221.67923401006078</c:v>
                </c:pt>
                <c:pt idx="46">
                  <c:v>226.30416644199977</c:v>
                </c:pt>
                <c:pt idx="47">
                  <c:v>231.04125415493036</c:v>
                </c:pt>
                <c:pt idx="48">
                  <c:v>235.57887467674573</c:v>
                </c:pt>
                <c:pt idx="49">
                  <c:v>240.1164951985611</c:v>
                </c:pt>
                <c:pt idx="50">
                  <c:v>244.65411572037647</c:v>
                </c:pt>
                <c:pt idx="51">
                  <c:v>249.19173624219184</c:v>
                </c:pt>
                <c:pt idx="52">
                  <c:v>253.72935676400698</c:v>
                </c:pt>
                <c:pt idx="53">
                  <c:v>258.26697728582235</c:v>
                </c:pt>
                <c:pt idx="54">
                  <c:v>262.75696614995127</c:v>
                </c:pt>
                <c:pt idx="55">
                  <c:v>267.29458667176664</c:v>
                </c:pt>
                <c:pt idx="56">
                  <c:v>272.29058507048535</c:v>
                </c:pt>
                <c:pt idx="57">
                  <c:v>277.28157695587242</c:v>
                </c:pt>
                <c:pt idx="58">
                  <c:v>282.28157695587242</c:v>
                </c:pt>
                <c:pt idx="59">
                  <c:v>287.28157695587242</c:v>
                </c:pt>
                <c:pt idx="60">
                  <c:v>292.28157695587242</c:v>
                </c:pt>
                <c:pt idx="61">
                  <c:v>297.28157695587242</c:v>
                </c:pt>
                <c:pt idx="62">
                  <c:v>302.28057685585236</c:v>
                </c:pt>
                <c:pt idx="63">
                  <c:v>307.2795767558323</c:v>
                </c:pt>
                <c:pt idx="64">
                  <c:v>312.27557515455101</c:v>
                </c:pt>
                <c:pt idx="65">
                  <c:v>317.26656703993808</c:v>
                </c:pt>
                <c:pt idx="66">
                  <c:v>322.25755892532516</c:v>
                </c:pt>
                <c:pt idx="67">
                  <c:v>327.25355732404387</c:v>
                </c:pt>
                <c:pt idx="68">
                  <c:v>332.24454920943094</c:v>
                </c:pt>
                <c:pt idx="69">
                  <c:v>337.23554109481802</c:v>
                </c:pt>
                <c:pt idx="70">
                  <c:v>342.22653298020509</c:v>
                </c:pt>
                <c:pt idx="71">
                  <c:v>347.21050729795593</c:v>
                </c:pt>
                <c:pt idx="72">
                  <c:v>352.18544448348894</c:v>
                </c:pt>
                <c:pt idx="73">
                  <c:v>357.16038166902194</c:v>
                </c:pt>
                <c:pt idx="74">
                  <c:v>362.14435598677278</c:v>
                </c:pt>
                <c:pt idx="75">
                  <c:v>367.14435598677278</c:v>
                </c:pt>
                <c:pt idx="76">
                  <c:v>372.14435598677278</c:v>
                </c:pt>
                <c:pt idx="77">
                  <c:v>377.14335588675272</c:v>
                </c:pt>
                <c:pt idx="78">
                  <c:v>382.14335588675272</c:v>
                </c:pt>
                <c:pt idx="79">
                  <c:v>387.09411340454744</c:v>
                </c:pt>
                <c:pt idx="80">
                  <c:v>392.02969847624854</c:v>
                </c:pt>
                <c:pt idx="81">
                  <c:v>396.92867796181486</c:v>
                </c:pt>
                <c:pt idx="82">
                  <c:v>401.86426303351618</c:v>
                </c:pt>
                <c:pt idx="83">
                  <c:v>406.79984810521728</c:v>
                </c:pt>
                <c:pt idx="84">
                  <c:v>411.67734746452015</c:v>
                </c:pt>
                <c:pt idx="85">
                  <c:v>416.5956805154633</c:v>
                </c:pt>
                <c:pt idx="86">
                  <c:v>421.5595499738597</c:v>
                </c:pt>
                <c:pt idx="87">
                  <c:v>426.53448715939271</c:v>
                </c:pt>
                <c:pt idx="88">
                  <c:v>431.50942434492572</c:v>
                </c:pt>
                <c:pt idx="89">
                  <c:v>436.50041623031279</c:v>
                </c:pt>
                <c:pt idx="90">
                  <c:v>441.48439054806363</c:v>
                </c:pt>
                <c:pt idx="91">
                  <c:v>446.46836486581446</c:v>
                </c:pt>
                <c:pt idx="92">
                  <c:v>451.44330205134747</c:v>
                </c:pt>
                <c:pt idx="93">
                  <c:v>456.42727636909831</c:v>
                </c:pt>
                <c:pt idx="94">
                  <c:v>461.41125068684914</c:v>
                </c:pt>
                <c:pt idx="95">
                  <c:v>466.38618787238215</c:v>
                </c:pt>
              </c:numCache>
            </c:numRef>
          </c:xVal>
          <c:yVal>
            <c:numRef>
              <c:f>abra03!$F$2:$F$97</c:f>
              <c:numCache>
                <c:formatCode>General</c:formatCode>
                <c:ptCount val="96"/>
                <c:pt idx="0">
                  <c:v>0</c:v>
                </c:pt>
                <c:pt idx="1">
                  <c:v>-0.9</c:v>
                </c:pt>
                <c:pt idx="2">
                  <c:v>-1.8</c:v>
                </c:pt>
                <c:pt idx="3">
                  <c:v>-2.7</c:v>
                </c:pt>
                <c:pt idx="4">
                  <c:v>-3.6</c:v>
                </c:pt>
                <c:pt idx="5">
                  <c:v>-4.5999999999999996</c:v>
                </c:pt>
                <c:pt idx="6">
                  <c:v>-5.4</c:v>
                </c:pt>
                <c:pt idx="7">
                  <c:v>-6.1</c:v>
                </c:pt>
                <c:pt idx="8">
                  <c:v>-6.9</c:v>
                </c:pt>
                <c:pt idx="9">
                  <c:v>-7.8</c:v>
                </c:pt>
                <c:pt idx="10">
                  <c:v>-8.8000000000000007</c:v>
                </c:pt>
                <c:pt idx="11">
                  <c:v>-9.1999999999999993</c:v>
                </c:pt>
                <c:pt idx="12">
                  <c:v>-9.6999999999999993</c:v>
                </c:pt>
                <c:pt idx="13">
                  <c:v>-11</c:v>
                </c:pt>
                <c:pt idx="14">
                  <c:v>-12.1</c:v>
                </c:pt>
                <c:pt idx="15">
                  <c:v>-13.1</c:v>
                </c:pt>
                <c:pt idx="16">
                  <c:v>-13.3</c:v>
                </c:pt>
                <c:pt idx="17">
                  <c:v>-14.2</c:v>
                </c:pt>
                <c:pt idx="18">
                  <c:v>-14.8</c:v>
                </c:pt>
                <c:pt idx="19">
                  <c:v>-15.3</c:v>
                </c:pt>
                <c:pt idx="20">
                  <c:v>-16.100000000000001</c:v>
                </c:pt>
                <c:pt idx="21">
                  <c:v>-16.5</c:v>
                </c:pt>
                <c:pt idx="22">
                  <c:v>-17.7</c:v>
                </c:pt>
                <c:pt idx="23">
                  <c:v>-18.2</c:v>
                </c:pt>
                <c:pt idx="24">
                  <c:v>-18.399999999999999</c:v>
                </c:pt>
                <c:pt idx="25">
                  <c:v>-19.100000000000001</c:v>
                </c:pt>
                <c:pt idx="26">
                  <c:v>-19.8</c:v>
                </c:pt>
                <c:pt idx="27">
                  <c:v>-20</c:v>
                </c:pt>
                <c:pt idx="28">
                  <c:v>-20.3</c:v>
                </c:pt>
                <c:pt idx="29">
                  <c:v>-20.3</c:v>
                </c:pt>
                <c:pt idx="30">
                  <c:v>-20.8</c:v>
                </c:pt>
                <c:pt idx="31">
                  <c:v>-20.6</c:v>
                </c:pt>
                <c:pt idx="32">
                  <c:v>-21.7</c:v>
                </c:pt>
                <c:pt idx="33">
                  <c:v>-23.1</c:v>
                </c:pt>
                <c:pt idx="34">
                  <c:v>-23.6</c:v>
                </c:pt>
                <c:pt idx="35">
                  <c:v>-24.3</c:v>
                </c:pt>
                <c:pt idx="36">
                  <c:v>-25.5</c:v>
                </c:pt>
                <c:pt idx="37">
                  <c:v>-25.9</c:v>
                </c:pt>
                <c:pt idx="38">
                  <c:v>-26.2</c:v>
                </c:pt>
                <c:pt idx="39">
                  <c:v>-27.6</c:v>
                </c:pt>
                <c:pt idx="40">
                  <c:v>-27.8</c:v>
                </c:pt>
                <c:pt idx="41">
                  <c:v>-28.4</c:v>
                </c:pt>
                <c:pt idx="42">
                  <c:v>-28.8</c:v>
                </c:pt>
                <c:pt idx="43">
                  <c:v>-30.1</c:v>
                </c:pt>
                <c:pt idx="44">
                  <c:v>-31.6</c:v>
                </c:pt>
                <c:pt idx="45">
                  <c:v>-33.299999999999997</c:v>
                </c:pt>
                <c:pt idx="46">
                  <c:v>-35.200000000000003</c:v>
                </c:pt>
                <c:pt idx="47">
                  <c:v>-36.799999999999997</c:v>
                </c:pt>
                <c:pt idx="48">
                  <c:v>-38.9</c:v>
                </c:pt>
                <c:pt idx="49">
                  <c:v>-41</c:v>
                </c:pt>
                <c:pt idx="50">
                  <c:v>-43.1</c:v>
                </c:pt>
                <c:pt idx="51">
                  <c:v>-45.2</c:v>
                </c:pt>
                <c:pt idx="52">
                  <c:v>-47.3</c:v>
                </c:pt>
                <c:pt idx="53">
                  <c:v>-49.4</c:v>
                </c:pt>
                <c:pt idx="54">
                  <c:v>-51.6</c:v>
                </c:pt>
                <c:pt idx="55">
                  <c:v>-53.7</c:v>
                </c:pt>
                <c:pt idx="56">
                  <c:v>-53.9</c:v>
                </c:pt>
                <c:pt idx="57">
                  <c:v>-54.2</c:v>
                </c:pt>
                <c:pt idx="58">
                  <c:v>-54.2</c:v>
                </c:pt>
                <c:pt idx="59">
                  <c:v>-54.2</c:v>
                </c:pt>
                <c:pt idx="60">
                  <c:v>-54.2</c:v>
                </c:pt>
                <c:pt idx="61">
                  <c:v>-54.2</c:v>
                </c:pt>
                <c:pt idx="62">
                  <c:v>-54.1</c:v>
                </c:pt>
                <c:pt idx="63">
                  <c:v>-54</c:v>
                </c:pt>
                <c:pt idx="64">
                  <c:v>-53.8</c:v>
                </c:pt>
                <c:pt idx="65">
                  <c:v>-53.5</c:v>
                </c:pt>
                <c:pt idx="66">
                  <c:v>-53.2</c:v>
                </c:pt>
                <c:pt idx="67">
                  <c:v>-53</c:v>
                </c:pt>
                <c:pt idx="68">
                  <c:v>-52.7</c:v>
                </c:pt>
                <c:pt idx="69">
                  <c:v>-52.4</c:v>
                </c:pt>
                <c:pt idx="70">
                  <c:v>-52.1</c:v>
                </c:pt>
                <c:pt idx="71">
                  <c:v>-51.7</c:v>
                </c:pt>
                <c:pt idx="72">
                  <c:v>-51.2</c:v>
                </c:pt>
                <c:pt idx="73">
                  <c:v>-50.7</c:v>
                </c:pt>
                <c:pt idx="74">
                  <c:v>-50.3</c:v>
                </c:pt>
                <c:pt idx="75">
                  <c:v>-50.3</c:v>
                </c:pt>
                <c:pt idx="76">
                  <c:v>-50.3</c:v>
                </c:pt>
                <c:pt idx="77">
                  <c:v>-50.4</c:v>
                </c:pt>
                <c:pt idx="78">
                  <c:v>-50.4</c:v>
                </c:pt>
                <c:pt idx="79">
                  <c:v>-51.1</c:v>
                </c:pt>
                <c:pt idx="80">
                  <c:v>-51.9</c:v>
                </c:pt>
                <c:pt idx="81">
                  <c:v>-52.9</c:v>
                </c:pt>
                <c:pt idx="82">
                  <c:v>-53.7</c:v>
                </c:pt>
                <c:pt idx="83">
                  <c:v>-54.5</c:v>
                </c:pt>
                <c:pt idx="84">
                  <c:v>-55.6</c:v>
                </c:pt>
                <c:pt idx="85">
                  <c:v>-56.5</c:v>
                </c:pt>
                <c:pt idx="86">
                  <c:v>-57.1</c:v>
                </c:pt>
                <c:pt idx="87">
                  <c:v>-57.6</c:v>
                </c:pt>
                <c:pt idx="88">
                  <c:v>-58.1</c:v>
                </c:pt>
                <c:pt idx="89">
                  <c:v>-58.4</c:v>
                </c:pt>
                <c:pt idx="90">
                  <c:v>-58.8</c:v>
                </c:pt>
                <c:pt idx="91">
                  <c:v>-59.2</c:v>
                </c:pt>
                <c:pt idx="92">
                  <c:v>-59.7</c:v>
                </c:pt>
                <c:pt idx="93">
                  <c:v>-60.1</c:v>
                </c:pt>
                <c:pt idx="94">
                  <c:v>-60.5</c:v>
                </c:pt>
                <c:pt idx="95">
                  <c:v>-61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60-4DA0-BB13-0519806B1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41215"/>
        <c:axId val="87696351"/>
      </c:scatterChart>
      <c:valAx>
        <c:axId val="19864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96351"/>
        <c:crosses val="autoZero"/>
        <c:crossBetween val="midCat"/>
      </c:valAx>
      <c:valAx>
        <c:axId val="8769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1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RST max =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abra09!$K$5:$K$76</c:f>
              <c:numCache>
                <c:formatCode>0.0</c:formatCode>
                <c:ptCount val="72"/>
                <c:pt idx="0">
                  <c:v>0</c:v>
                </c:pt>
                <c:pt idx="1">
                  <c:v>4.9942366784124488</c:v>
                </c:pt>
                <c:pt idx="2">
                  <c:v>9.9596602253014908</c:v>
                </c:pt>
                <c:pt idx="3">
                  <c:v>14.911122130638205</c:v>
                </c:pt>
                <c:pt idx="4">
                  <c:v>19.867370711974672</c:v>
                </c:pt>
                <c:pt idx="5">
                  <c:v>24.855591938023053</c:v>
                </c:pt>
                <c:pt idx="6">
                  <c:v>29.844953019364084</c:v>
                </c:pt>
                <c:pt idx="7">
                  <c:v>34.841417369281999</c:v>
                </c:pt>
                <c:pt idx="8">
                  <c:v>39.837729609324697</c:v>
                </c:pt>
                <c:pt idx="9">
                  <c:v>44.830965033375833</c:v>
                </c:pt>
                <c:pt idx="10">
                  <c:v>49.827831151254031</c:v>
                </c:pt>
                <c:pt idx="11">
                  <c:v>54.802465911716354</c:v>
                </c:pt>
                <c:pt idx="12">
                  <c:v>59.745287373189512</c:v>
                </c:pt>
                <c:pt idx="13">
                  <c:v>64.642832778798265</c:v>
                </c:pt>
                <c:pt idx="14">
                  <c:v>69.526781898107402</c:v>
                </c:pt>
                <c:pt idx="15">
                  <c:v>74.460899752395107</c:v>
                </c:pt>
                <c:pt idx="16">
                  <c:v>79.441147135808933</c:v>
                </c:pt>
                <c:pt idx="17">
                  <c:v>84.434486299134505</c:v>
                </c:pt>
                <c:pt idx="18">
                  <c:v>89.420328655246522</c:v>
                </c:pt>
                <c:pt idx="19">
                  <c:v>94.372489799636014</c:v>
                </c:pt>
                <c:pt idx="20">
                  <c:v>99.290639756682822</c:v>
                </c:pt>
                <c:pt idx="21">
                  <c:v>104.20583161458626</c:v>
                </c:pt>
                <c:pt idx="22">
                  <c:v>109.11221837064204</c:v>
                </c:pt>
                <c:pt idx="23">
                  <c:v>114.04877222935761</c:v>
                </c:pt>
                <c:pt idx="24">
                  <c:v>118.94815953799116</c:v>
                </c:pt>
                <c:pt idx="25">
                  <c:v>123.88567470252474</c:v>
                </c:pt>
                <c:pt idx="26">
                  <c:v>128.83529448590207</c:v>
                </c:pt>
                <c:pt idx="27">
                  <c:v>133.80992924636439</c:v>
                </c:pt>
                <c:pt idx="28">
                  <c:v>138.80846493194281</c:v>
                </c:pt>
                <c:pt idx="29">
                  <c:v>143.80533104982101</c:v>
                </c:pt>
                <c:pt idx="30">
                  <c:v>148.7983036113319</c:v>
                </c:pt>
                <c:pt idx="31">
                  <c:v>153.79683929691032</c:v>
                </c:pt>
                <c:pt idx="32">
                  <c:v>158.78342570446398</c:v>
                </c:pt>
                <c:pt idx="33">
                  <c:v>163.77790015129017</c:v>
                </c:pt>
                <c:pt idx="34">
                  <c:v>168.76777750449241</c:v>
                </c:pt>
                <c:pt idx="35">
                  <c:v>173.76340749479391</c:v>
                </c:pt>
                <c:pt idx="36">
                  <c:v>178.76127544022825</c:v>
                </c:pt>
                <c:pt idx="37">
                  <c:v>183.75507149133</c:v>
                </c:pt>
                <c:pt idx="38">
                  <c:v>188.75146018717828</c:v>
                </c:pt>
                <c:pt idx="39">
                  <c:v>193.74088650690692</c:v>
                </c:pt>
                <c:pt idx="40">
                  <c:v>198.73448150450122</c:v>
                </c:pt>
                <c:pt idx="41">
                  <c:v>203.70402866696986</c:v>
                </c:pt>
                <c:pt idx="42">
                  <c:v>208.61658797958899</c:v>
                </c:pt>
                <c:pt idx="43">
                  <c:v>213.18949908740638</c:v>
                </c:pt>
                <c:pt idx="44">
                  <c:v>218.08476986643382</c:v>
                </c:pt>
                <c:pt idx="45">
                  <c:v>222.97392020161487</c:v>
                </c:pt>
                <c:pt idx="46">
                  <c:v>227.85874476345953</c:v>
                </c:pt>
                <c:pt idx="47">
                  <c:v>232.84689712681006</c:v>
                </c:pt>
                <c:pt idx="48">
                  <c:v>233.89925448056442</c:v>
                </c:pt>
                <c:pt idx="49">
                  <c:v>238.69396781923228</c:v>
                </c:pt>
                <c:pt idx="50">
                  <c:v>243.52201090106178</c:v>
                </c:pt>
                <c:pt idx="51">
                  <c:v>248.50946355747874</c:v>
                </c:pt>
                <c:pt idx="52">
                  <c:v>253.45304515385192</c:v>
                </c:pt>
                <c:pt idx="53">
                  <c:v>258.45088378670107</c:v>
                </c:pt>
                <c:pt idx="54">
                  <c:v>263.34216490722565</c:v>
                </c:pt>
                <c:pt idx="55">
                  <c:v>268.17288949055683</c:v>
                </c:pt>
                <c:pt idx="56">
                  <c:v>273.13541697158917</c:v>
                </c:pt>
                <c:pt idx="57">
                  <c:v>278.13506885947095</c:v>
                </c:pt>
                <c:pt idx="58">
                  <c:v>282.29898240324201</c:v>
                </c:pt>
                <c:pt idx="59">
                  <c:v>287.15604231639918</c:v>
                </c:pt>
                <c:pt idx="60">
                  <c:v>292.14932971049143</c:v>
                </c:pt>
                <c:pt idx="61">
                  <c:v>297.11920858225494</c:v>
                </c:pt>
                <c:pt idx="62">
                  <c:v>302.11290450811975</c:v>
                </c:pt>
                <c:pt idx="63">
                  <c:v>307.11267410281107</c:v>
                </c:pt>
                <c:pt idx="64">
                  <c:v>312.1115923857999</c:v>
                </c:pt>
                <c:pt idx="65">
                  <c:v>317.10620708565421</c:v>
                </c:pt>
                <c:pt idx="66">
                  <c:v>322.08002644304952</c:v>
                </c:pt>
                <c:pt idx="67">
                  <c:v>326.95932311367733</c:v>
                </c:pt>
                <c:pt idx="68">
                  <c:v>331.86997673615974</c:v>
                </c:pt>
                <c:pt idx="69">
                  <c:v>336.75632506594548</c:v>
                </c:pt>
                <c:pt idx="70">
                  <c:v>341.56950322595571</c:v>
                </c:pt>
                <c:pt idx="71">
                  <c:v>346.56949322594573</c:v>
                </c:pt>
              </c:numCache>
            </c:numRef>
          </c:xVal>
          <c:yVal>
            <c:numRef>
              <c:f>abra09!$L$5:$L$76</c:f>
              <c:numCache>
                <c:formatCode>General</c:formatCode>
                <c:ptCount val="72"/>
                <c:pt idx="0">
                  <c:v>-31.563000000000102</c:v>
                </c:pt>
                <c:pt idx="1">
                  <c:v>-31.322999999999865</c:v>
                </c:pt>
                <c:pt idx="2">
                  <c:v>-30.735999999999876</c:v>
                </c:pt>
                <c:pt idx="3">
                  <c:v>-30.041000000000167</c:v>
                </c:pt>
                <c:pt idx="4">
                  <c:v>-29.380999999999858</c:v>
                </c:pt>
                <c:pt idx="5">
                  <c:v>-29.038000000000011</c:v>
                </c:pt>
                <c:pt idx="6">
                  <c:v>-28.711999999999989</c:v>
                </c:pt>
                <c:pt idx="7">
                  <c:v>-28.900000000000091</c:v>
                </c:pt>
                <c:pt idx="8">
                  <c:v>-29.092000000000098</c:v>
                </c:pt>
                <c:pt idx="9">
                  <c:v>-29.351999999999862</c:v>
                </c:pt>
                <c:pt idx="10">
                  <c:v>-29.528999999999996</c:v>
                </c:pt>
                <c:pt idx="11">
                  <c:v>-30.032000000000153</c:v>
                </c:pt>
                <c:pt idx="12">
                  <c:v>-30.786000000000058</c:v>
                </c:pt>
                <c:pt idx="13">
                  <c:v>-31.79300000000012</c:v>
                </c:pt>
                <c:pt idx="14">
                  <c:v>-32.864000000000033</c:v>
                </c:pt>
                <c:pt idx="15">
                  <c:v>-33.672999999999774</c:v>
                </c:pt>
                <c:pt idx="16">
                  <c:v>-34.117000000000189</c:v>
                </c:pt>
                <c:pt idx="17">
                  <c:v>-34.375</c:v>
                </c:pt>
                <c:pt idx="18">
                  <c:v>-33.998999999999796</c:v>
                </c:pt>
                <c:pt idx="19">
                  <c:v>-33.309000000000196</c:v>
                </c:pt>
                <c:pt idx="20">
                  <c:v>-32.407999999999902</c:v>
                </c:pt>
                <c:pt idx="21">
                  <c:v>-31.490999999999985</c:v>
                </c:pt>
                <c:pt idx="22">
                  <c:v>-30.527999999999793</c:v>
                </c:pt>
                <c:pt idx="23">
                  <c:v>-29.733999999999924</c:v>
                </c:pt>
                <c:pt idx="24">
                  <c:v>-28.735999999999876</c:v>
                </c:pt>
                <c:pt idx="25">
                  <c:v>-27.947999999999865</c:v>
                </c:pt>
                <c:pt idx="26">
                  <c:v>-27.239999999999782</c:v>
                </c:pt>
                <c:pt idx="27">
                  <c:v>-26.73700000000008</c:v>
                </c:pt>
                <c:pt idx="28">
                  <c:v>-26.615999999999985</c:v>
                </c:pt>
                <c:pt idx="29">
                  <c:v>-26.79300000000012</c:v>
                </c:pt>
                <c:pt idx="30">
                  <c:v>-27.057999999999993</c:v>
                </c:pt>
                <c:pt idx="31">
                  <c:v>-27.179000000000087</c:v>
                </c:pt>
                <c:pt idx="32">
                  <c:v>-27.545000000000073</c:v>
                </c:pt>
                <c:pt idx="33">
                  <c:v>-27.7800000000002</c:v>
                </c:pt>
                <c:pt idx="34">
                  <c:v>-28.097999999999956</c:v>
                </c:pt>
                <c:pt idx="35">
                  <c:v>-28.306999999999789</c:v>
                </c:pt>
                <c:pt idx="36">
                  <c:v>-28.452999999999975</c:v>
                </c:pt>
                <c:pt idx="37">
                  <c:v>-28.702000000000226</c:v>
                </c:pt>
                <c:pt idx="38">
                  <c:v>-28.512000000000171</c:v>
                </c:pt>
                <c:pt idx="39">
                  <c:v>-28.836999999999989</c:v>
                </c:pt>
                <c:pt idx="40">
                  <c:v>-28.583999999999833</c:v>
                </c:pt>
                <c:pt idx="41">
                  <c:v>-28.032999999999902</c:v>
                </c:pt>
                <c:pt idx="42">
                  <c:v>-27.101999999999862</c:v>
                </c:pt>
                <c:pt idx="43">
                  <c:v>-25.079999999999927</c:v>
                </c:pt>
                <c:pt idx="44">
                  <c:v>-24.061999999999898</c:v>
                </c:pt>
                <c:pt idx="45">
                  <c:v>-23.014999999999873</c:v>
                </c:pt>
                <c:pt idx="46">
                  <c:v>-21.947999999999865</c:v>
                </c:pt>
                <c:pt idx="47">
                  <c:v>-21.603999999999814</c:v>
                </c:pt>
                <c:pt idx="48">
                  <c:v>-18.715999999999894</c:v>
                </c:pt>
                <c:pt idx="49">
                  <c:v>-15.297999999999774</c:v>
                </c:pt>
                <c:pt idx="50">
                  <c:v>-13.998000000000047</c:v>
                </c:pt>
                <c:pt idx="51">
                  <c:v>-13.643999999999778</c:v>
                </c:pt>
                <c:pt idx="52">
                  <c:v>-12.894999999999982</c:v>
                </c:pt>
                <c:pt idx="53">
                  <c:v>-12.748000000000047</c:v>
                </c:pt>
                <c:pt idx="54">
                  <c:v>-11.710999999999785</c:v>
                </c:pt>
                <c:pt idx="55">
                  <c:v>-10.420999999999822</c:v>
                </c:pt>
                <c:pt idx="56">
                  <c:v>-9.8099999999999454</c:v>
                </c:pt>
                <c:pt idx="57">
                  <c:v>-9.7510000000002037</c:v>
                </c:pt>
                <c:pt idx="58">
                  <c:v>-6.9830000000001746</c:v>
                </c:pt>
                <c:pt idx="59">
                  <c:v>-5.7959999999998217</c:v>
                </c:pt>
                <c:pt idx="60">
                  <c:v>-6.0549999999998363</c:v>
                </c:pt>
                <c:pt idx="61">
                  <c:v>-5.5070000000000618</c:v>
                </c:pt>
                <c:pt idx="62">
                  <c:v>-5.2559999999998581</c:v>
                </c:pt>
                <c:pt idx="63">
                  <c:v>-5.3040000000000873</c:v>
                </c:pt>
                <c:pt idx="64">
                  <c:v>-5.1999999999998181</c:v>
                </c:pt>
                <c:pt idx="65">
                  <c:v>-4.9679999999998472</c:v>
                </c:pt>
                <c:pt idx="66">
                  <c:v>-4.4569999999998799</c:v>
                </c:pt>
                <c:pt idx="67">
                  <c:v>-3.3649999999997817</c:v>
                </c:pt>
                <c:pt idx="68">
                  <c:v>-2.4239999999999782</c:v>
                </c:pt>
                <c:pt idx="69">
                  <c:v>-1.3640000000000327</c:v>
                </c:pt>
                <c:pt idx="70">
                  <c:v>-1.0000000000218279E-2</c:v>
                </c:pt>
                <c:pt idx="7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80-4B1A-B95D-27B7E100044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abra09!$F$52:$F$75</c:f>
              <c:numCache>
                <c:formatCode>0.0</c:formatCode>
                <c:ptCount val="24"/>
                <c:pt idx="0">
                  <c:v>232.84689712681006</c:v>
                </c:pt>
                <c:pt idx="1">
                  <c:v>233.89925448056442</c:v>
                </c:pt>
                <c:pt idx="2">
                  <c:v>238.69396781923228</c:v>
                </c:pt>
                <c:pt idx="3">
                  <c:v>243.52201090106178</c:v>
                </c:pt>
                <c:pt idx="4">
                  <c:v>248.50946355747874</c:v>
                </c:pt>
                <c:pt idx="5">
                  <c:v>253.45304515385192</c:v>
                </c:pt>
                <c:pt idx="6">
                  <c:v>258.45088378670107</c:v>
                </c:pt>
                <c:pt idx="7">
                  <c:v>263.34216490722565</c:v>
                </c:pt>
                <c:pt idx="8">
                  <c:v>268.17288949055683</c:v>
                </c:pt>
                <c:pt idx="9">
                  <c:v>273.13541697158917</c:v>
                </c:pt>
                <c:pt idx="10">
                  <c:v>278.13506885947095</c:v>
                </c:pt>
                <c:pt idx="11">
                  <c:v>282.29898240324201</c:v>
                </c:pt>
                <c:pt idx="12">
                  <c:v>287.15604231639918</c:v>
                </c:pt>
                <c:pt idx="13">
                  <c:v>292.14932971049143</c:v>
                </c:pt>
                <c:pt idx="14">
                  <c:v>297.11920858225494</c:v>
                </c:pt>
                <c:pt idx="15">
                  <c:v>302.11290450811975</c:v>
                </c:pt>
                <c:pt idx="16">
                  <c:v>307.11267410281107</c:v>
                </c:pt>
                <c:pt idx="17">
                  <c:v>312.1115923857999</c:v>
                </c:pt>
                <c:pt idx="18">
                  <c:v>317.10620708565421</c:v>
                </c:pt>
                <c:pt idx="19">
                  <c:v>322.08002644304952</c:v>
                </c:pt>
                <c:pt idx="20">
                  <c:v>326.95932311367733</c:v>
                </c:pt>
                <c:pt idx="21">
                  <c:v>331.86997673615974</c:v>
                </c:pt>
                <c:pt idx="22">
                  <c:v>336.75632506594548</c:v>
                </c:pt>
                <c:pt idx="23">
                  <c:v>341.56950322595571</c:v>
                </c:pt>
              </c:numCache>
            </c:numRef>
          </c:xVal>
          <c:yVal>
            <c:numRef>
              <c:f>abra09!$J$52:$J$77</c:f>
              <c:numCache>
                <c:formatCode>General</c:formatCode>
                <c:ptCount val="26"/>
                <c:pt idx="0">
                  <c:v>-22</c:v>
                </c:pt>
                <c:pt idx="1">
                  <c:v>-18.715999999999894</c:v>
                </c:pt>
                <c:pt idx="2">
                  <c:v>-15.297999999999774</c:v>
                </c:pt>
                <c:pt idx="3">
                  <c:v>-13.998000000000047</c:v>
                </c:pt>
                <c:pt idx="4">
                  <c:v>-13.643999999999778</c:v>
                </c:pt>
                <c:pt idx="5">
                  <c:v>-12.894999999999982</c:v>
                </c:pt>
                <c:pt idx="6">
                  <c:v>-12.748000000000047</c:v>
                </c:pt>
                <c:pt idx="7">
                  <c:v>-11.710999999999785</c:v>
                </c:pt>
                <c:pt idx="8">
                  <c:v>-10.420999999999822</c:v>
                </c:pt>
                <c:pt idx="9">
                  <c:v>-9.8099999999999454</c:v>
                </c:pt>
                <c:pt idx="10">
                  <c:v>-9.7510000000002037</c:v>
                </c:pt>
                <c:pt idx="11">
                  <c:v>-6.9830000000001746</c:v>
                </c:pt>
                <c:pt idx="12">
                  <c:v>-5.7959999999998217</c:v>
                </c:pt>
                <c:pt idx="13">
                  <c:v>-6.0549999999998363</c:v>
                </c:pt>
                <c:pt idx="14">
                  <c:v>-5.5070000000000618</c:v>
                </c:pt>
                <c:pt idx="15">
                  <c:v>-5.2559999999998581</c:v>
                </c:pt>
                <c:pt idx="16">
                  <c:v>-5.3040000000000873</c:v>
                </c:pt>
                <c:pt idx="17">
                  <c:v>-5.1999999999998181</c:v>
                </c:pt>
                <c:pt idx="18">
                  <c:v>-4.9679999999998472</c:v>
                </c:pt>
                <c:pt idx="19">
                  <c:v>-4.4569999999998799</c:v>
                </c:pt>
                <c:pt idx="20">
                  <c:v>-3.3649999999997817</c:v>
                </c:pt>
                <c:pt idx="21">
                  <c:v>-2.4239999999999782</c:v>
                </c:pt>
                <c:pt idx="22">
                  <c:v>-1.3640000000000327</c:v>
                </c:pt>
                <c:pt idx="23">
                  <c:v>-1.0000000000218279E-2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80-4B1A-B95D-27B7E1000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730271"/>
        <c:axId val="539898479"/>
      </c:scatterChart>
      <c:valAx>
        <c:axId val="51473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898479"/>
        <c:crosses val="autoZero"/>
        <c:crossBetween val="midCat"/>
      </c:valAx>
      <c:valAx>
        <c:axId val="53989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3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RST max =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abra10!$Q$5:$Q$52</c:f>
              <c:numCache>
                <c:formatCode>0.0</c:formatCode>
                <c:ptCount val="48"/>
                <c:pt idx="0">
                  <c:v>0</c:v>
                </c:pt>
                <c:pt idx="1">
                  <c:v>4.9999963999987358</c:v>
                </c:pt>
                <c:pt idx="2">
                  <c:v>9.8722516273036263</c:v>
                </c:pt>
                <c:pt idx="3">
                  <c:v>14.736782848294979</c:v>
                </c:pt>
                <c:pt idx="4">
                  <c:v>19.654198327995687</c:v>
                </c:pt>
                <c:pt idx="5">
                  <c:v>24.474063471337331</c:v>
                </c:pt>
                <c:pt idx="6">
                  <c:v>29.387756074665276</c:v>
                </c:pt>
                <c:pt idx="7">
                  <c:v>34.305355489013664</c:v>
                </c:pt>
                <c:pt idx="8">
                  <c:v>39.125496462055708</c:v>
                </c:pt>
                <c:pt idx="9">
                  <c:v>44.064439567619957</c:v>
                </c:pt>
                <c:pt idx="10">
                  <c:v>48.641759307380426</c:v>
                </c:pt>
                <c:pt idx="11">
                  <c:v>53.594890741130257</c:v>
                </c:pt>
                <c:pt idx="12">
                  <c:v>58.564989734108167</c:v>
                </c:pt>
                <c:pt idx="13">
                  <c:v>63.420579399637973</c:v>
                </c:pt>
                <c:pt idx="14">
                  <c:v>68.253963307419326</c:v>
                </c:pt>
                <c:pt idx="15">
                  <c:v>73.083081653453064</c:v>
                </c:pt>
                <c:pt idx="16">
                  <c:v>78.066814290744105</c:v>
                </c:pt>
                <c:pt idx="17">
                  <c:v>83.008562867918045</c:v>
                </c:pt>
                <c:pt idx="18">
                  <c:v>88.00748115090687</c:v>
                </c:pt>
                <c:pt idx="19">
                  <c:v>92.999237455054754</c:v>
                </c:pt>
                <c:pt idx="20">
                  <c:v>97.934660334606178</c:v>
                </c:pt>
                <c:pt idx="21">
                  <c:v>102.90475932758409</c:v>
                </c:pt>
                <c:pt idx="22">
                  <c:v>107.86765525637406</c:v>
                </c:pt>
                <c:pt idx="23">
                  <c:v>112.8260082087163</c:v>
                </c:pt>
                <c:pt idx="24">
                  <c:v>117.80933400581216</c:v>
                </c:pt>
                <c:pt idx="25">
                  <c:v>122.72056155093765</c:v>
                </c:pt>
                <c:pt idx="26">
                  <c:v>127.60030539667378</c:v>
                </c:pt>
                <c:pt idx="27">
                  <c:v>132.49908065177578</c:v>
                </c:pt>
                <c:pt idx="28">
                  <c:v>137.49546934762407</c:v>
                </c:pt>
                <c:pt idx="29">
                  <c:v>142.46990147601832</c:v>
                </c:pt>
                <c:pt idx="30">
                  <c:v>147.46617518749576</c:v>
                </c:pt>
                <c:pt idx="31">
                  <c:v>152.46341882774391</c:v>
                </c:pt>
                <c:pt idx="32">
                  <c:v>157.44641551648442</c:v>
                </c:pt>
                <c:pt idx="33">
                  <c:v>162.4449753090646</c:v>
                </c:pt>
                <c:pt idx="34">
                  <c:v>167.44493120887023</c:v>
                </c:pt>
                <c:pt idx="35">
                  <c:v>172.44485280825552</c:v>
                </c:pt>
                <c:pt idx="36">
                  <c:v>177.42874676780161</c:v>
                </c:pt>
                <c:pt idx="37">
                  <c:v>182.42772656371994</c:v>
                </c:pt>
                <c:pt idx="38">
                  <c:v>187.42761766253398</c:v>
                </c:pt>
                <c:pt idx="39">
                  <c:v>192.4252454998184</c:v>
                </c:pt>
                <c:pt idx="40">
                  <c:v>197.42468296817424</c:v>
                </c:pt>
                <c:pt idx="41">
                  <c:v>202.41915741500043</c:v>
                </c:pt>
                <c:pt idx="42">
                  <c:v>207.41856447984333</c:v>
                </c:pt>
                <c:pt idx="43">
                  <c:v>212.40277866063457</c:v>
                </c:pt>
                <c:pt idx="44">
                  <c:v>217.34905392592259</c:v>
                </c:pt>
                <c:pt idx="45">
                  <c:v>222.30328191825402</c:v>
                </c:pt>
                <c:pt idx="46">
                  <c:v>227.21621983766636</c:v>
                </c:pt>
                <c:pt idx="47">
                  <c:v>232.19175639164723</c:v>
                </c:pt>
              </c:numCache>
            </c:numRef>
          </c:xVal>
          <c:yVal>
            <c:numRef>
              <c:f>abra10!$R$5:$R$52</c:f>
              <c:numCache>
                <c:formatCode>General</c:formatCode>
                <c:ptCount val="48"/>
                <c:pt idx="0">
                  <c:v>-20.029999999999745</c:v>
                </c:pt>
                <c:pt idx="1">
                  <c:v>-20.019999999999982</c:v>
                </c:pt>
                <c:pt idx="2">
                  <c:v>-18.900000000000091</c:v>
                </c:pt>
                <c:pt idx="3">
                  <c:v>-17.739999999999782</c:v>
                </c:pt>
                <c:pt idx="4">
                  <c:v>-16.840000000000146</c:v>
                </c:pt>
                <c:pt idx="5">
                  <c:v>-15.509999999999764</c:v>
                </c:pt>
                <c:pt idx="6">
                  <c:v>-14.579999999999927</c:v>
                </c:pt>
                <c:pt idx="7">
                  <c:v>-13.679999999999836</c:v>
                </c:pt>
                <c:pt idx="8">
                  <c:v>-12.349999999999909</c:v>
                </c:pt>
                <c:pt idx="9">
                  <c:v>-11.569999999999709</c:v>
                </c:pt>
                <c:pt idx="10">
                  <c:v>-9.5599999999999454</c:v>
                </c:pt>
                <c:pt idx="11">
                  <c:v>-8.8699999999998909</c:v>
                </c:pt>
                <c:pt idx="12">
                  <c:v>-8.3299999999999272</c:v>
                </c:pt>
                <c:pt idx="13">
                  <c:v>-7.1300000000001091</c:v>
                </c:pt>
                <c:pt idx="14">
                  <c:v>-5.8499999999999091</c:v>
                </c:pt>
                <c:pt idx="15">
                  <c:v>-4.5599999999999454</c:v>
                </c:pt>
                <c:pt idx="16">
                  <c:v>-4.1500000000000909</c:v>
                </c:pt>
                <c:pt idx="17">
                  <c:v>-3.3899999999998727</c:v>
                </c:pt>
                <c:pt idx="18">
                  <c:v>-3.2899999999999636</c:v>
                </c:pt>
                <c:pt idx="19">
                  <c:v>-3</c:v>
                </c:pt>
                <c:pt idx="20">
                  <c:v>-2.1999999999998181</c:v>
                </c:pt>
                <c:pt idx="21">
                  <c:v>-1.6599999999998545</c:v>
                </c:pt>
                <c:pt idx="22">
                  <c:v>-1.0499999999997272</c:v>
                </c:pt>
                <c:pt idx="23">
                  <c:v>-0.40000000000009095</c:v>
                </c:pt>
                <c:pt idx="24">
                  <c:v>0</c:v>
                </c:pt>
                <c:pt idx="25">
                  <c:v>0.94000000000005457</c:v>
                </c:pt>
                <c:pt idx="26">
                  <c:v>2.0300000000002001</c:v>
                </c:pt>
                <c:pt idx="27">
                  <c:v>3.0300000000002001</c:v>
                </c:pt>
                <c:pt idx="28">
                  <c:v>3.2200000000002547</c:v>
                </c:pt>
                <c:pt idx="29">
                  <c:v>3.7300000000000182</c:v>
                </c:pt>
                <c:pt idx="30">
                  <c:v>3.9200000000000728</c:v>
                </c:pt>
                <c:pt idx="31">
                  <c:v>4.0900000000001455</c:v>
                </c:pt>
                <c:pt idx="32">
                  <c:v>4.5</c:v>
                </c:pt>
                <c:pt idx="33">
                  <c:v>4.3800000000001091</c:v>
                </c:pt>
                <c:pt idx="34">
                  <c:v>4.3600000000001273</c:v>
                </c:pt>
                <c:pt idx="35">
                  <c:v>4.3899999999998727</c:v>
                </c:pt>
                <c:pt idx="36">
                  <c:v>4.7899999999999636</c:v>
                </c:pt>
                <c:pt idx="37">
                  <c:v>4.6900000000000546</c:v>
                </c:pt>
                <c:pt idx="38">
                  <c:v>4.7200000000002547</c:v>
                </c:pt>
                <c:pt idx="39">
                  <c:v>4.8699999999998909</c:v>
                </c:pt>
                <c:pt idx="40">
                  <c:v>4.9500000000002728</c:v>
                </c:pt>
                <c:pt idx="41">
                  <c:v>4.7100000000000364</c:v>
                </c:pt>
                <c:pt idx="42">
                  <c:v>4.7899999999999636</c:v>
                </c:pt>
                <c:pt idx="43">
                  <c:v>5.1900000000000546</c:v>
                </c:pt>
                <c:pt idx="44">
                  <c:v>5.9200000000000728</c:v>
                </c:pt>
                <c:pt idx="45">
                  <c:v>6.5900000000001455</c:v>
                </c:pt>
                <c:pt idx="46">
                  <c:v>7.5199999999999818</c:v>
                </c:pt>
                <c:pt idx="47">
                  <c:v>8.0199999999999818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1-4C72-980B-16F6B9B1CC9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abra10!$N$5:$N$30</c:f>
              <c:numCache>
                <c:formatCode>0.0</c:formatCode>
                <c:ptCount val="26"/>
                <c:pt idx="0">
                  <c:v>-7.5</c:v>
                </c:pt>
                <c:pt idx="1">
                  <c:v>0</c:v>
                </c:pt>
                <c:pt idx="2">
                  <c:v>4.9999963999987358</c:v>
                </c:pt>
                <c:pt idx="3">
                  <c:v>9.8722516273036263</c:v>
                </c:pt>
                <c:pt idx="4">
                  <c:v>14.736782848294979</c:v>
                </c:pt>
                <c:pt idx="5">
                  <c:v>19.654198327995687</c:v>
                </c:pt>
                <c:pt idx="6">
                  <c:v>24.474063471337331</c:v>
                </c:pt>
                <c:pt idx="7">
                  <c:v>29.387756074665276</c:v>
                </c:pt>
                <c:pt idx="8">
                  <c:v>34.305355489013664</c:v>
                </c:pt>
                <c:pt idx="9">
                  <c:v>39.125496462055708</c:v>
                </c:pt>
                <c:pt idx="10">
                  <c:v>44.064439567619957</c:v>
                </c:pt>
                <c:pt idx="11">
                  <c:v>48.641759307380426</c:v>
                </c:pt>
                <c:pt idx="12">
                  <c:v>53.594890741130257</c:v>
                </c:pt>
                <c:pt idx="13">
                  <c:v>58.564989734108167</c:v>
                </c:pt>
                <c:pt idx="14">
                  <c:v>63.420579399637973</c:v>
                </c:pt>
                <c:pt idx="15">
                  <c:v>68.253963307419326</c:v>
                </c:pt>
                <c:pt idx="16">
                  <c:v>73.083081653453064</c:v>
                </c:pt>
                <c:pt idx="17">
                  <c:v>78.066814290744105</c:v>
                </c:pt>
                <c:pt idx="18">
                  <c:v>83.008562867918045</c:v>
                </c:pt>
                <c:pt idx="19">
                  <c:v>88.00748115090687</c:v>
                </c:pt>
                <c:pt idx="20">
                  <c:v>92.999237455054754</c:v>
                </c:pt>
                <c:pt idx="21">
                  <c:v>97.934660334606178</c:v>
                </c:pt>
                <c:pt idx="22">
                  <c:v>102.90475932758409</c:v>
                </c:pt>
                <c:pt idx="23">
                  <c:v>107.86765525637406</c:v>
                </c:pt>
                <c:pt idx="24">
                  <c:v>112.8260082087163</c:v>
                </c:pt>
                <c:pt idx="25">
                  <c:v>120.3260082087163</c:v>
                </c:pt>
              </c:numCache>
            </c:numRef>
          </c:xVal>
          <c:yVal>
            <c:numRef>
              <c:f>abra10!$O$5:$O$30</c:f>
              <c:numCache>
                <c:formatCode>General</c:formatCode>
                <c:ptCount val="26"/>
                <c:pt idx="0">
                  <c:v>-20.029999999999745</c:v>
                </c:pt>
                <c:pt idx="1">
                  <c:v>-20.029999999999745</c:v>
                </c:pt>
                <c:pt idx="2">
                  <c:v>-20.019999999999982</c:v>
                </c:pt>
                <c:pt idx="3">
                  <c:v>-18.900000000000091</c:v>
                </c:pt>
                <c:pt idx="4">
                  <c:v>-17.739999999999782</c:v>
                </c:pt>
                <c:pt idx="5">
                  <c:v>-16.840000000000146</c:v>
                </c:pt>
                <c:pt idx="6">
                  <c:v>-15.509999999999764</c:v>
                </c:pt>
                <c:pt idx="7">
                  <c:v>-14.579999999999927</c:v>
                </c:pt>
                <c:pt idx="8">
                  <c:v>-13.679999999999836</c:v>
                </c:pt>
                <c:pt idx="9">
                  <c:v>-12.349999999999909</c:v>
                </c:pt>
                <c:pt idx="10">
                  <c:v>-11.569999999999709</c:v>
                </c:pt>
                <c:pt idx="11">
                  <c:v>-9.5599999999999454</c:v>
                </c:pt>
                <c:pt idx="12">
                  <c:v>-8.8699999999998909</c:v>
                </c:pt>
                <c:pt idx="13">
                  <c:v>-8.3299999999999272</c:v>
                </c:pt>
                <c:pt idx="14">
                  <c:v>-7.1300000000001091</c:v>
                </c:pt>
                <c:pt idx="15">
                  <c:v>-5.8499999999999091</c:v>
                </c:pt>
                <c:pt idx="16">
                  <c:v>-4.5599999999999454</c:v>
                </c:pt>
                <c:pt idx="17">
                  <c:v>-4.1500000000000909</c:v>
                </c:pt>
                <c:pt idx="18">
                  <c:v>-3.3899999999998727</c:v>
                </c:pt>
                <c:pt idx="19">
                  <c:v>-3.2899999999999636</c:v>
                </c:pt>
                <c:pt idx="20">
                  <c:v>-3</c:v>
                </c:pt>
                <c:pt idx="21">
                  <c:v>-2.1999999999998181</c:v>
                </c:pt>
                <c:pt idx="22">
                  <c:v>-1.6599999999998545</c:v>
                </c:pt>
                <c:pt idx="23">
                  <c:v>-1.0499999999997272</c:v>
                </c:pt>
                <c:pt idx="24">
                  <c:v>-0.40000000000009095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E1-4C72-980B-16F6B9B1C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021343"/>
        <c:axId val="539901807"/>
      </c:scatterChart>
      <c:valAx>
        <c:axId val="54502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01807"/>
        <c:crosses val="autoZero"/>
        <c:crossBetween val="midCat"/>
      </c:valAx>
      <c:valAx>
        <c:axId val="53990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02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RST_max =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GOL01_new!$Q$3:$Q$49</c:f>
              <c:numCache>
                <c:formatCode>General</c:formatCode>
                <c:ptCount val="4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</c:numCache>
            </c:numRef>
          </c:xVal>
          <c:yVal>
            <c:numRef>
              <c:f>GOL01_new!$R$3:$R$49</c:f>
              <c:numCache>
                <c:formatCode>0.00</c:formatCode>
                <c:ptCount val="47"/>
                <c:pt idx="0">
                  <c:v>-16.391999999999825</c:v>
                </c:pt>
                <c:pt idx="1">
                  <c:v>-16.583000000000084</c:v>
                </c:pt>
                <c:pt idx="2">
                  <c:v>-16.652999999999793</c:v>
                </c:pt>
                <c:pt idx="3">
                  <c:v>-15.768000000000029</c:v>
                </c:pt>
                <c:pt idx="4">
                  <c:v>-15.952999999999975</c:v>
                </c:pt>
                <c:pt idx="5">
                  <c:v>-15.688000000000102</c:v>
                </c:pt>
                <c:pt idx="6">
                  <c:v>-15.11200000000008</c:v>
                </c:pt>
                <c:pt idx="7">
                  <c:v>-14.219000000000051</c:v>
                </c:pt>
                <c:pt idx="8">
                  <c:v>-12.894999999999982</c:v>
                </c:pt>
                <c:pt idx="9">
                  <c:v>-11.547000000000025</c:v>
                </c:pt>
                <c:pt idx="10">
                  <c:v>-11.615999999999985</c:v>
                </c:pt>
                <c:pt idx="11">
                  <c:v>-11.516000000000076</c:v>
                </c:pt>
                <c:pt idx="12">
                  <c:v>-12.788000000000011</c:v>
                </c:pt>
                <c:pt idx="13">
                  <c:v>-11.212999999999738</c:v>
                </c:pt>
                <c:pt idx="14">
                  <c:v>-9.000999999999749</c:v>
                </c:pt>
                <c:pt idx="15">
                  <c:v>-9.8539999999998145</c:v>
                </c:pt>
                <c:pt idx="16">
                  <c:v>-10.547000000000025</c:v>
                </c:pt>
                <c:pt idx="17">
                  <c:v>-10.833999999999833</c:v>
                </c:pt>
                <c:pt idx="18">
                  <c:v>-10.802999999999884</c:v>
                </c:pt>
                <c:pt idx="19">
                  <c:v>-10.16800000000012</c:v>
                </c:pt>
                <c:pt idx="20">
                  <c:v>-10.829999999999927</c:v>
                </c:pt>
                <c:pt idx="21">
                  <c:v>-10.893000000000029</c:v>
                </c:pt>
                <c:pt idx="22">
                  <c:v>-9.8939999999997781</c:v>
                </c:pt>
                <c:pt idx="23">
                  <c:v>-8.8339999999998327</c:v>
                </c:pt>
                <c:pt idx="24">
                  <c:v>-8.5979999999999563</c:v>
                </c:pt>
                <c:pt idx="25">
                  <c:v>-7.4250000000001819</c:v>
                </c:pt>
                <c:pt idx="26">
                  <c:v>-6.956000000000131</c:v>
                </c:pt>
                <c:pt idx="27">
                  <c:v>-6.25</c:v>
                </c:pt>
                <c:pt idx="28">
                  <c:v>-7.3930000000000291</c:v>
                </c:pt>
                <c:pt idx="29">
                  <c:v>-6.80600000000004</c:v>
                </c:pt>
                <c:pt idx="30">
                  <c:v>-4.63799999999992</c:v>
                </c:pt>
                <c:pt idx="31">
                  <c:v>-4.7150000000001455</c:v>
                </c:pt>
                <c:pt idx="32">
                  <c:v>-3.8699999999998909</c:v>
                </c:pt>
                <c:pt idx="33">
                  <c:v>-2.8780000000001564</c:v>
                </c:pt>
                <c:pt idx="34">
                  <c:v>-2.4830000000001746</c:v>
                </c:pt>
                <c:pt idx="35">
                  <c:v>-1.2170000000000982</c:v>
                </c:pt>
                <c:pt idx="36">
                  <c:v>-1.0940000000000509</c:v>
                </c:pt>
                <c:pt idx="37">
                  <c:v>0</c:v>
                </c:pt>
                <c:pt idx="38">
                  <c:v>0.30999999999994543</c:v>
                </c:pt>
                <c:pt idx="39">
                  <c:v>0.3569999999999709</c:v>
                </c:pt>
                <c:pt idx="40">
                  <c:v>0.52700000000004366</c:v>
                </c:pt>
                <c:pt idx="41">
                  <c:v>1.6359999999999673</c:v>
                </c:pt>
                <c:pt idx="42">
                  <c:v>1.8769999999999527</c:v>
                </c:pt>
                <c:pt idx="43">
                  <c:v>2.443000000000211</c:v>
                </c:pt>
                <c:pt idx="44">
                  <c:v>2.375</c:v>
                </c:pt>
                <c:pt idx="45">
                  <c:v>4.1030000000000655</c:v>
                </c:pt>
                <c:pt idx="46">
                  <c:v>5.7890000000002146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99-4B38-AA9F-C7A62ADD50A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GOL01_new!$N$3:$N$57</c:f>
              <c:numCache>
                <c:formatCode>General</c:formatCode>
                <c:ptCount val="55"/>
                <c:pt idx="0">
                  <c:v>112.5</c:v>
                </c:pt>
                <c:pt idx="1">
                  <c:v>113.75</c:v>
                </c:pt>
                <c:pt idx="2">
                  <c:v>115</c:v>
                </c:pt>
                <c:pt idx="3">
                  <c:v>117.5</c:v>
                </c:pt>
                <c:pt idx="4">
                  <c:v>120</c:v>
                </c:pt>
                <c:pt idx="5">
                  <c:v>121.25</c:v>
                </c:pt>
                <c:pt idx="6">
                  <c:v>122.5</c:v>
                </c:pt>
                <c:pt idx="7">
                  <c:v>123.75</c:v>
                </c:pt>
                <c:pt idx="8">
                  <c:v>125</c:v>
                </c:pt>
                <c:pt idx="9">
                  <c:v>126.25</c:v>
                </c:pt>
                <c:pt idx="10">
                  <c:v>127.5</c:v>
                </c:pt>
                <c:pt idx="11">
                  <c:v>128.75</c:v>
                </c:pt>
                <c:pt idx="12">
                  <c:v>130</c:v>
                </c:pt>
                <c:pt idx="13">
                  <c:v>131.25</c:v>
                </c:pt>
                <c:pt idx="14">
                  <c:v>132.5</c:v>
                </c:pt>
                <c:pt idx="15">
                  <c:v>133.75</c:v>
                </c:pt>
                <c:pt idx="16">
                  <c:v>135</c:v>
                </c:pt>
                <c:pt idx="17">
                  <c:v>136.25</c:v>
                </c:pt>
                <c:pt idx="18">
                  <c:v>137.5</c:v>
                </c:pt>
                <c:pt idx="19">
                  <c:v>138.75</c:v>
                </c:pt>
                <c:pt idx="20">
                  <c:v>140</c:v>
                </c:pt>
                <c:pt idx="21">
                  <c:v>141.25</c:v>
                </c:pt>
                <c:pt idx="22">
                  <c:v>142.5</c:v>
                </c:pt>
                <c:pt idx="23">
                  <c:v>143.75</c:v>
                </c:pt>
                <c:pt idx="24">
                  <c:v>145</c:v>
                </c:pt>
                <c:pt idx="25">
                  <c:v>146.25</c:v>
                </c:pt>
                <c:pt idx="26">
                  <c:v>147.5</c:v>
                </c:pt>
                <c:pt idx="27">
                  <c:v>148.75</c:v>
                </c:pt>
                <c:pt idx="28">
                  <c:v>150</c:v>
                </c:pt>
                <c:pt idx="29">
                  <c:v>151.25</c:v>
                </c:pt>
                <c:pt idx="30">
                  <c:v>152.5</c:v>
                </c:pt>
                <c:pt idx="31">
                  <c:v>153.75</c:v>
                </c:pt>
                <c:pt idx="32">
                  <c:v>155</c:v>
                </c:pt>
                <c:pt idx="33">
                  <c:v>156.25</c:v>
                </c:pt>
                <c:pt idx="34">
                  <c:v>157.5</c:v>
                </c:pt>
                <c:pt idx="35">
                  <c:v>158.75</c:v>
                </c:pt>
                <c:pt idx="36">
                  <c:v>160</c:v>
                </c:pt>
                <c:pt idx="37">
                  <c:v>161.25</c:v>
                </c:pt>
                <c:pt idx="38">
                  <c:v>162.5</c:v>
                </c:pt>
                <c:pt idx="39">
                  <c:v>163.75</c:v>
                </c:pt>
                <c:pt idx="40">
                  <c:v>165</c:v>
                </c:pt>
                <c:pt idx="41">
                  <c:v>166.25</c:v>
                </c:pt>
                <c:pt idx="42">
                  <c:v>167.5</c:v>
                </c:pt>
                <c:pt idx="43">
                  <c:v>168.75</c:v>
                </c:pt>
                <c:pt idx="44">
                  <c:v>170</c:v>
                </c:pt>
                <c:pt idx="45">
                  <c:v>171.25</c:v>
                </c:pt>
                <c:pt idx="46">
                  <c:v>172.5</c:v>
                </c:pt>
                <c:pt idx="47">
                  <c:v>173.75</c:v>
                </c:pt>
                <c:pt idx="48">
                  <c:v>175</c:v>
                </c:pt>
                <c:pt idx="49">
                  <c:v>176.25</c:v>
                </c:pt>
                <c:pt idx="50">
                  <c:v>177.5</c:v>
                </c:pt>
                <c:pt idx="51">
                  <c:v>181.25</c:v>
                </c:pt>
                <c:pt idx="52">
                  <c:v>185</c:v>
                </c:pt>
                <c:pt idx="53">
                  <c:v>187</c:v>
                </c:pt>
                <c:pt idx="54">
                  <c:v>189</c:v>
                </c:pt>
              </c:numCache>
            </c:numRef>
          </c:xVal>
          <c:yVal>
            <c:numRef>
              <c:f>GOL01_new!$O$3:$O$57</c:f>
              <c:numCache>
                <c:formatCode>General</c:formatCode>
                <c:ptCount val="55"/>
                <c:pt idx="0">
                  <c:v>-9.44</c:v>
                </c:pt>
                <c:pt idx="1">
                  <c:v>-9.14</c:v>
                </c:pt>
                <c:pt idx="2">
                  <c:v>-8.83</c:v>
                </c:pt>
                <c:pt idx="3">
                  <c:v>-8.7100000000000009</c:v>
                </c:pt>
                <c:pt idx="4">
                  <c:v>-8.6</c:v>
                </c:pt>
                <c:pt idx="5">
                  <c:v>-8.3000000000000007</c:v>
                </c:pt>
                <c:pt idx="6">
                  <c:v>-8.01</c:v>
                </c:pt>
                <c:pt idx="7">
                  <c:v>-7.72</c:v>
                </c:pt>
                <c:pt idx="8">
                  <c:v>-7.42</c:v>
                </c:pt>
                <c:pt idx="9">
                  <c:v>-7.31</c:v>
                </c:pt>
                <c:pt idx="10">
                  <c:v>-7.19</c:v>
                </c:pt>
                <c:pt idx="11">
                  <c:v>-7.07</c:v>
                </c:pt>
                <c:pt idx="12">
                  <c:v>-6.95</c:v>
                </c:pt>
                <c:pt idx="13">
                  <c:v>-6.75</c:v>
                </c:pt>
                <c:pt idx="14">
                  <c:v>-6.54</c:v>
                </c:pt>
                <c:pt idx="15">
                  <c:v>-6.34</c:v>
                </c:pt>
                <c:pt idx="16">
                  <c:v>-6.25</c:v>
                </c:pt>
                <c:pt idx="17">
                  <c:v>-6.45</c:v>
                </c:pt>
                <c:pt idx="18">
                  <c:v>-6.76</c:v>
                </c:pt>
                <c:pt idx="19">
                  <c:v>-7.08</c:v>
                </c:pt>
                <c:pt idx="20">
                  <c:v>-7.39</c:v>
                </c:pt>
                <c:pt idx="21">
                  <c:v>-7.24</c:v>
                </c:pt>
                <c:pt idx="22">
                  <c:v>-7.1</c:v>
                </c:pt>
                <c:pt idx="23">
                  <c:v>-6.95</c:v>
                </c:pt>
                <c:pt idx="24">
                  <c:v>-6.8</c:v>
                </c:pt>
                <c:pt idx="25">
                  <c:v>-6.26</c:v>
                </c:pt>
                <c:pt idx="26">
                  <c:v>-5.72</c:v>
                </c:pt>
                <c:pt idx="27">
                  <c:v>-5.18</c:v>
                </c:pt>
                <c:pt idx="28">
                  <c:v>-4.6399999999999997</c:v>
                </c:pt>
                <c:pt idx="29">
                  <c:v>-4.66</c:v>
                </c:pt>
                <c:pt idx="30">
                  <c:v>-4.67</c:v>
                </c:pt>
                <c:pt idx="31">
                  <c:v>-4.6900000000000004</c:v>
                </c:pt>
                <c:pt idx="32">
                  <c:v>-4.71</c:v>
                </c:pt>
                <c:pt idx="33">
                  <c:v>-4.5</c:v>
                </c:pt>
                <c:pt idx="34">
                  <c:v>-4.29</c:v>
                </c:pt>
                <c:pt idx="35">
                  <c:v>-4.08</c:v>
                </c:pt>
                <c:pt idx="36">
                  <c:v>-3.87</c:v>
                </c:pt>
                <c:pt idx="37">
                  <c:v>-3.62</c:v>
                </c:pt>
                <c:pt idx="38">
                  <c:v>-3.37</c:v>
                </c:pt>
                <c:pt idx="39">
                  <c:v>-3.12</c:v>
                </c:pt>
                <c:pt idx="40">
                  <c:v>-2.88</c:v>
                </c:pt>
                <c:pt idx="41">
                  <c:v>-2.78</c:v>
                </c:pt>
                <c:pt idx="42">
                  <c:v>-2.68</c:v>
                </c:pt>
                <c:pt idx="43">
                  <c:v>-2.58</c:v>
                </c:pt>
                <c:pt idx="44">
                  <c:v>-2.48</c:v>
                </c:pt>
                <c:pt idx="45">
                  <c:v>-2.16</c:v>
                </c:pt>
                <c:pt idx="46">
                  <c:v>-1.85</c:v>
                </c:pt>
                <c:pt idx="47">
                  <c:v>-1.53</c:v>
                </c:pt>
                <c:pt idx="48">
                  <c:v>-1.22</c:v>
                </c:pt>
                <c:pt idx="49">
                  <c:v>-1.18</c:v>
                </c:pt>
                <c:pt idx="50">
                  <c:v>-1.1499999999999999</c:v>
                </c:pt>
                <c:pt idx="51">
                  <c:v>-0.65</c:v>
                </c:pt>
                <c:pt idx="52">
                  <c:v>-0.15</c:v>
                </c:pt>
                <c:pt idx="53">
                  <c:v>-7.0000000000000007E-2</c:v>
                </c:pt>
                <c:pt idx="5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99-4B38-AA9F-C7A62ADD5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560543"/>
        <c:axId val="715074703"/>
      </c:scatterChart>
      <c:valAx>
        <c:axId val="54556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74703"/>
        <c:crosses val="autoZero"/>
        <c:crossBetween val="midCat"/>
      </c:valAx>
      <c:valAx>
        <c:axId val="71507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6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GOL01_new!$B$26:$B$49</c:f>
              <c:numCache>
                <c:formatCode>General</c:formatCode>
                <c:ptCount val="24"/>
                <c:pt idx="0">
                  <c:v>120</c:v>
                </c:pt>
                <c:pt idx="1">
                  <c:v>125</c:v>
                </c:pt>
                <c:pt idx="2">
                  <c:v>130</c:v>
                </c:pt>
                <c:pt idx="3">
                  <c:v>135</c:v>
                </c:pt>
                <c:pt idx="4">
                  <c:v>140</c:v>
                </c:pt>
                <c:pt idx="5">
                  <c:v>145</c:v>
                </c:pt>
                <c:pt idx="6">
                  <c:v>150</c:v>
                </c:pt>
                <c:pt idx="7">
                  <c:v>155</c:v>
                </c:pt>
                <c:pt idx="8">
                  <c:v>160</c:v>
                </c:pt>
                <c:pt idx="9">
                  <c:v>165</c:v>
                </c:pt>
                <c:pt idx="10">
                  <c:v>170</c:v>
                </c:pt>
                <c:pt idx="11">
                  <c:v>175</c:v>
                </c:pt>
                <c:pt idx="12">
                  <c:v>180</c:v>
                </c:pt>
                <c:pt idx="13">
                  <c:v>185</c:v>
                </c:pt>
                <c:pt idx="14">
                  <c:v>190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210</c:v>
                </c:pt>
                <c:pt idx="19">
                  <c:v>215</c:v>
                </c:pt>
                <c:pt idx="20">
                  <c:v>220</c:v>
                </c:pt>
                <c:pt idx="21">
                  <c:v>225</c:v>
                </c:pt>
                <c:pt idx="22">
                  <c:v>230</c:v>
                </c:pt>
                <c:pt idx="23">
                  <c:v>235</c:v>
                </c:pt>
              </c:numCache>
            </c:numRef>
          </c:xVal>
          <c:yVal>
            <c:numRef>
              <c:f>GOL01_new!$C$26:$C$49</c:f>
              <c:numCache>
                <c:formatCode>General</c:formatCode>
                <c:ptCount val="24"/>
                <c:pt idx="0">
                  <c:v>3228.625</c:v>
                </c:pt>
                <c:pt idx="1">
                  <c:v>3229.7979999999998</c:v>
                </c:pt>
                <c:pt idx="2">
                  <c:v>3230.2669999999998</c:v>
                </c:pt>
                <c:pt idx="3">
                  <c:v>3231.0880000000002</c:v>
                </c:pt>
                <c:pt idx="4">
                  <c:v>3229.83</c:v>
                </c:pt>
                <c:pt idx="5">
                  <c:v>3230.4169999999999</c:v>
                </c:pt>
                <c:pt idx="6">
                  <c:v>3232.585</c:v>
                </c:pt>
                <c:pt idx="7">
                  <c:v>3232.5079999999998</c:v>
                </c:pt>
                <c:pt idx="8">
                  <c:v>3233.3530000000001</c:v>
                </c:pt>
                <c:pt idx="9">
                  <c:v>3234.3449999999998</c:v>
                </c:pt>
                <c:pt idx="10">
                  <c:v>3234.74</c:v>
                </c:pt>
                <c:pt idx="11">
                  <c:v>3236.0059999999999</c:v>
                </c:pt>
                <c:pt idx="12">
                  <c:v>3236.1289999999999</c:v>
                </c:pt>
                <c:pt idx="13">
                  <c:v>3237.223</c:v>
                </c:pt>
                <c:pt idx="14">
                  <c:v>3237.5329999999999</c:v>
                </c:pt>
                <c:pt idx="15">
                  <c:v>3237.58</c:v>
                </c:pt>
                <c:pt idx="16">
                  <c:v>3237.75</c:v>
                </c:pt>
                <c:pt idx="17">
                  <c:v>3238.8589999999999</c:v>
                </c:pt>
                <c:pt idx="18">
                  <c:v>3239.1</c:v>
                </c:pt>
                <c:pt idx="19">
                  <c:v>3239.6660000000002</c:v>
                </c:pt>
                <c:pt idx="20">
                  <c:v>3239.598</c:v>
                </c:pt>
                <c:pt idx="21">
                  <c:v>3241.326</c:v>
                </c:pt>
                <c:pt idx="22">
                  <c:v>3243.0120000000002</c:v>
                </c:pt>
                <c:pt idx="23">
                  <c:v>3244.3809999999999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2-4272-AD59-BAD37D9B405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GOL01_new!$D$26:$D$49</c:f>
              <c:numCache>
                <c:formatCode>General</c:formatCode>
                <c:ptCount val="24"/>
                <c:pt idx="0">
                  <c:v>120</c:v>
                </c:pt>
                <c:pt idx="1">
                  <c:v>122.5</c:v>
                </c:pt>
                <c:pt idx="2">
                  <c:v>125</c:v>
                </c:pt>
                <c:pt idx="3">
                  <c:v>127.5</c:v>
                </c:pt>
                <c:pt idx="4">
                  <c:v>130</c:v>
                </c:pt>
                <c:pt idx="5">
                  <c:v>132.5</c:v>
                </c:pt>
                <c:pt idx="6">
                  <c:v>135</c:v>
                </c:pt>
                <c:pt idx="7">
                  <c:v>137.5</c:v>
                </c:pt>
                <c:pt idx="8">
                  <c:v>140</c:v>
                </c:pt>
                <c:pt idx="9">
                  <c:v>142.5</c:v>
                </c:pt>
                <c:pt idx="10">
                  <c:v>145</c:v>
                </c:pt>
                <c:pt idx="11">
                  <c:v>147.5</c:v>
                </c:pt>
                <c:pt idx="12">
                  <c:v>150</c:v>
                </c:pt>
                <c:pt idx="13">
                  <c:v>152.5</c:v>
                </c:pt>
                <c:pt idx="14">
                  <c:v>155</c:v>
                </c:pt>
                <c:pt idx="15">
                  <c:v>157.5</c:v>
                </c:pt>
                <c:pt idx="16">
                  <c:v>160</c:v>
                </c:pt>
                <c:pt idx="17">
                  <c:v>162.5</c:v>
                </c:pt>
                <c:pt idx="18">
                  <c:v>165</c:v>
                </c:pt>
                <c:pt idx="19">
                  <c:v>167.5</c:v>
                </c:pt>
                <c:pt idx="20">
                  <c:v>170</c:v>
                </c:pt>
                <c:pt idx="21">
                  <c:v>172.5</c:v>
                </c:pt>
                <c:pt idx="22">
                  <c:v>175</c:v>
                </c:pt>
                <c:pt idx="23">
                  <c:v>177.5</c:v>
                </c:pt>
              </c:numCache>
            </c:numRef>
          </c:xVal>
          <c:yVal>
            <c:numRef>
              <c:f>GOL01_new!$F$26:$F$49</c:f>
              <c:numCache>
                <c:formatCode>General</c:formatCode>
                <c:ptCount val="24"/>
                <c:pt idx="0">
                  <c:v>3228.625</c:v>
                </c:pt>
                <c:pt idx="1">
                  <c:v>3229.2114999999999</c:v>
                </c:pt>
                <c:pt idx="2">
                  <c:v>3229.7979999999998</c:v>
                </c:pt>
                <c:pt idx="3">
                  <c:v>3230.0324999999998</c:v>
                </c:pt>
                <c:pt idx="4">
                  <c:v>3230.2669999999998</c:v>
                </c:pt>
                <c:pt idx="5">
                  <c:v>3230.6774999999998</c:v>
                </c:pt>
                <c:pt idx="6">
                  <c:v>3231.0880000000002</c:v>
                </c:pt>
                <c:pt idx="7">
                  <c:v>3230.4589999999998</c:v>
                </c:pt>
                <c:pt idx="8">
                  <c:v>3229.83</c:v>
                </c:pt>
                <c:pt idx="9">
                  <c:v>3230.1234999999997</c:v>
                </c:pt>
                <c:pt idx="10">
                  <c:v>3230.4169999999999</c:v>
                </c:pt>
                <c:pt idx="11">
                  <c:v>3231.5010000000002</c:v>
                </c:pt>
                <c:pt idx="12">
                  <c:v>3232.585</c:v>
                </c:pt>
                <c:pt idx="13">
                  <c:v>3232.5464999999999</c:v>
                </c:pt>
                <c:pt idx="14">
                  <c:v>3232.5079999999998</c:v>
                </c:pt>
                <c:pt idx="15">
                  <c:v>3232.9304999999999</c:v>
                </c:pt>
                <c:pt idx="16">
                  <c:v>3233.3530000000001</c:v>
                </c:pt>
                <c:pt idx="17">
                  <c:v>3233.8490000000002</c:v>
                </c:pt>
                <c:pt idx="18">
                  <c:v>3234.3449999999998</c:v>
                </c:pt>
                <c:pt idx="19">
                  <c:v>3234.5424999999996</c:v>
                </c:pt>
                <c:pt idx="20">
                  <c:v>3234.74</c:v>
                </c:pt>
                <c:pt idx="21">
                  <c:v>3235.3729999999996</c:v>
                </c:pt>
                <c:pt idx="22">
                  <c:v>3236.0059999999999</c:v>
                </c:pt>
                <c:pt idx="23">
                  <c:v>3236.0675000000001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62-4272-AD59-BAD37D9B4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050576"/>
        <c:axId val="1762049136"/>
      </c:scatterChart>
      <c:valAx>
        <c:axId val="176205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49136"/>
        <c:crosses val="autoZero"/>
        <c:crossBetween val="midCat"/>
      </c:valAx>
      <c:valAx>
        <c:axId val="17620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5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RST, only, smoothed topo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RST_original_topo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GOL07ab!$J$5:$J$48</c:f>
              <c:numCache>
                <c:formatCode>0.0</c:formatCode>
                <c:ptCount val="44"/>
                <c:pt idx="0">
                  <c:v>-7.5</c:v>
                </c:pt>
                <c:pt idx="1">
                  <c:v>0</c:v>
                </c:pt>
                <c:pt idx="2">
                  <c:v>4.9555801880303534</c:v>
                </c:pt>
                <c:pt idx="3">
                  <c:v>9.9518151704946831</c:v>
                </c:pt>
                <c:pt idx="4">
                  <c:v>14.951813570494437</c:v>
                </c:pt>
                <c:pt idx="5">
                  <c:v>19.664324472338535</c:v>
                </c:pt>
                <c:pt idx="6">
                  <c:v>24.620971625404763</c:v>
                </c:pt>
                <c:pt idx="7">
                  <c:v>29.605894493413871</c:v>
                </c:pt>
                <c:pt idx="8">
                  <c:v>34.277943187509436</c:v>
                </c:pt>
                <c:pt idx="9">
                  <c:v>39.271230581601685</c:v>
                </c:pt>
                <c:pt idx="10">
                  <c:v>44.250209995095929</c:v>
                </c:pt>
                <c:pt idx="11">
                  <c:v>49.232790752093251</c:v>
                </c:pt>
                <c:pt idx="12">
                  <c:v>54.225332289226344</c:v>
                </c:pt>
                <c:pt idx="13">
                  <c:v>59.225315389197704</c:v>
                </c:pt>
                <c:pt idx="14">
                  <c:v>64.111229428556271</c:v>
                </c:pt>
                <c:pt idx="15">
                  <c:v>68.907123922808523</c:v>
                </c:pt>
                <c:pt idx="16">
                  <c:v>73.813314298242403</c:v>
                </c:pt>
                <c:pt idx="17">
                  <c:v>78.625083099837184</c:v>
                </c:pt>
                <c:pt idx="18">
                  <c:v>83.587363926231546</c:v>
                </c:pt>
                <c:pt idx="19">
                  <c:v>88.578771643499294</c:v>
                </c:pt>
                <c:pt idx="20">
                  <c:v>93.578771543499215</c:v>
                </c:pt>
                <c:pt idx="21">
                  <c:v>96.828386905353909</c:v>
                </c:pt>
                <c:pt idx="22">
                  <c:v>101.82193113766016</c:v>
                </c:pt>
                <c:pt idx="23">
                  <c:v>106.77547532339236</c:v>
                </c:pt>
                <c:pt idx="24">
                  <c:v>111.76855363241179</c:v>
                </c:pt>
                <c:pt idx="25">
                  <c:v>116.68706956712231</c:v>
                </c:pt>
                <c:pt idx="26">
                  <c:v>121.67529079317069</c:v>
                </c:pt>
                <c:pt idx="27">
                  <c:v>126.65277248575376</c:v>
                </c:pt>
                <c:pt idx="28">
                  <c:v>131.63543683326907</c:v>
                </c:pt>
                <c:pt idx="29">
                  <c:v>136.12689439179053</c:v>
                </c:pt>
                <c:pt idx="30">
                  <c:v>141.12433373609474</c:v>
                </c:pt>
                <c:pt idx="31">
                  <c:v>146.06216767416913</c:v>
                </c:pt>
                <c:pt idx="32">
                  <c:v>151.03014261371936</c:v>
                </c:pt>
                <c:pt idx="33">
                  <c:v>155.91255144543356</c:v>
                </c:pt>
                <c:pt idx="34">
                  <c:v>160.46028890487423</c:v>
                </c:pt>
                <c:pt idx="35">
                  <c:v>165.34203439189014</c:v>
                </c:pt>
                <c:pt idx="36">
                  <c:v>170.29307428266043</c:v>
                </c:pt>
                <c:pt idx="37">
                  <c:v>174.86863370201013</c:v>
                </c:pt>
                <c:pt idx="38">
                  <c:v>179.85187752506363</c:v>
                </c:pt>
                <c:pt idx="39">
                  <c:v>184.85085732098196</c:v>
                </c:pt>
                <c:pt idx="40">
                  <c:v>189.75997119214026</c:v>
                </c:pt>
                <c:pt idx="41">
                  <c:v>194.4043329351573</c:v>
                </c:pt>
                <c:pt idx="42">
                  <c:v>199.12633081741001</c:v>
                </c:pt>
                <c:pt idx="43">
                  <c:v>212.5</c:v>
                </c:pt>
              </c:numCache>
            </c:numRef>
          </c:xVal>
          <c:yVal>
            <c:numRef>
              <c:f>GOL07ab!$K$5:$K$48</c:f>
              <c:numCache>
                <c:formatCode>0.0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-0.66500000000041837</c:v>
                </c:pt>
                <c:pt idx="4">
                  <c:v>-0.85900000000037835</c:v>
                </c:pt>
                <c:pt idx="5">
                  <c:v>-0.85500000000001819</c:v>
                </c:pt>
                <c:pt idx="6">
                  <c:v>-2.5260000000002947</c:v>
                </c:pt>
                <c:pt idx="7">
                  <c:v>-1.8690000000001419</c:v>
                </c:pt>
                <c:pt idx="8">
                  <c:v>-2.2570000000000618</c:v>
                </c:pt>
                <c:pt idx="9">
                  <c:v>-4.0380000000000109</c:v>
                </c:pt>
                <c:pt idx="10">
                  <c:v>-4.2970000000000255</c:v>
                </c:pt>
                <c:pt idx="11">
                  <c:v>-4.7550000000001091</c:v>
                </c:pt>
                <c:pt idx="12">
                  <c:v>-5.1720000000000255</c:v>
                </c:pt>
                <c:pt idx="13">
                  <c:v>-4.899000000000342</c:v>
                </c:pt>
                <c:pt idx="14">
                  <c:v>-4.9120000000002619</c:v>
                </c:pt>
                <c:pt idx="15">
                  <c:v>-5.9740000000001601</c:v>
                </c:pt>
                <c:pt idx="16">
                  <c:v>-7.3880000000003747</c:v>
                </c:pt>
                <c:pt idx="17">
                  <c:v>-8.3520000000003165</c:v>
                </c:pt>
                <c:pt idx="18">
                  <c:v>-9.7110000000002401</c:v>
                </c:pt>
                <c:pt idx="19">
                  <c:v>-10.324000000000069</c:v>
                </c:pt>
                <c:pt idx="20">
                  <c:v>-10.617000000000189</c:v>
                </c:pt>
                <c:pt idx="21">
                  <c:v>-10.618000000000393</c:v>
                </c:pt>
                <c:pt idx="22">
                  <c:v>-14.41800000000012</c:v>
                </c:pt>
                <c:pt idx="23">
                  <c:v>-14.164000000000215</c:v>
                </c:pt>
                <c:pt idx="24">
                  <c:v>-14.844000000000051</c:v>
                </c:pt>
                <c:pt idx="25">
                  <c:v>-15.107000000000426</c:v>
                </c:pt>
                <c:pt idx="26">
                  <c:v>-16.006000000000313</c:v>
                </c:pt>
                <c:pt idx="27">
                  <c:v>-15.845000000000255</c:v>
                </c:pt>
                <c:pt idx="28">
                  <c:v>-16.82300000000032</c:v>
                </c:pt>
                <c:pt idx="29">
                  <c:v>-17.239000000000033</c:v>
                </c:pt>
                <c:pt idx="30">
                  <c:v>-19.436000000000149</c:v>
                </c:pt>
                <c:pt idx="31">
                  <c:v>-19.276000000000295</c:v>
                </c:pt>
                <c:pt idx="32">
                  <c:v>-18.490000000000236</c:v>
                </c:pt>
                <c:pt idx="33">
                  <c:v>-19.055000000000291</c:v>
                </c:pt>
                <c:pt idx="34">
                  <c:v>-20.133000000000266</c:v>
                </c:pt>
                <c:pt idx="35">
                  <c:v>-18.055000000000291</c:v>
                </c:pt>
                <c:pt idx="36">
                  <c:v>-19.136000000000422</c:v>
                </c:pt>
                <c:pt idx="37">
                  <c:v>-18.438000000000102</c:v>
                </c:pt>
                <c:pt idx="38">
                  <c:v>-20.454000000000178</c:v>
                </c:pt>
                <c:pt idx="39">
                  <c:v>-20.045000000000073</c:v>
                </c:pt>
                <c:pt idx="40">
                  <c:v>-20.146000000000186</c:v>
                </c:pt>
                <c:pt idx="41">
                  <c:v>-21.095000000000255</c:v>
                </c:pt>
                <c:pt idx="42">
                  <c:v>-19.243000000000393</c:v>
                </c:pt>
                <c:pt idx="43">
                  <c:v>-17.59900000000016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E-40BB-8A42-4BCB0B2F97E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85E-40BB-8A42-4BCB0B2F97EB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5E-40BB-8A42-4BCB0B2F97EB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5E-40BB-8A42-4BCB0B2F97EB}"/>
                </c:ext>
              </c:extLst>
            </c:dLbl>
            <c:dLbl>
              <c:idx val="3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5E-40BB-8A42-4BCB0B2F97EB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5E-40BB-8A42-4BCB0B2F97EB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5E-40BB-8A42-4BCB0B2F97EB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5E-40BB-8A42-4BCB0B2F97EB}"/>
                </c:ext>
              </c:extLst>
            </c:dLbl>
            <c:dLbl>
              <c:idx val="4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5E-40BB-8A42-4BCB0B2F97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GOL07ab!$T$5:$T$48</c:f>
              <c:numCache>
                <c:formatCode>0.0</c:formatCode>
                <c:ptCount val="44"/>
                <c:pt idx="0">
                  <c:v>-7.5</c:v>
                </c:pt>
                <c:pt idx="1">
                  <c:v>0</c:v>
                </c:pt>
                <c:pt idx="2">
                  <c:v>4.9555801880303534</c:v>
                </c:pt>
                <c:pt idx="3">
                  <c:v>9.9518151704946831</c:v>
                </c:pt>
                <c:pt idx="4">
                  <c:v>14.951813570494437</c:v>
                </c:pt>
                <c:pt idx="5">
                  <c:v>19.664324472338535</c:v>
                </c:pt>
                <c:pt idx="6">
                  <c:v>24.620971625404763</c:v>
                </c:pt>
                <c:pt idx="7">
                  <c:v>29.605894493413871</c:v>
                </c:pt>
                <c:pt idx="8">
                  <c:v>34.277943187509436</c:v>
                </c:pt>
                <c:pt idx="9">
                  <c:v>39.271230581601685</c:v>
                </c:pt>
                <c:pt idx="10">
                  <c:v>44.250209995095929</c:v>
                </c:pt>
                <c:pt idx="11">
                  <c:v>49.232790752093251</c:v>
                </c:pt>
                <c:pt idx="12">
                  <c:v>54.225332289226344</c:v>
                </c:pt>
                <c:pt idx="13">
                  <c:v>59.225315389197704</c:v>
                </c:pt>
                <c:pt idx="14">
                  <c:v>64.111229428556271</c:v>
                </c:pt>
                <c:pt idx="15">
                  <c:v>68.907123922808523</c:v>
                </c:pt>
                <c:pt idx="16">
                  <c:v>73.813314298242403</c:v>
                </c:pt>
                <c:pt idx="17">
                  <c:v>78.625083099837184</c:v>
                </c:pt>
                <c:pt idx="18">
                  <c:v>83.587363926231546</c:v>
                </c:pt>
                <c:pt idx="19">
                  <c:v>88.578771643499294</c:v>
                </c:pt>
                <c:pt idx="20">
                  <c:v>93.578771543499215</c:v>
                </c:pt>
                <c:pt idx="21">
                  <c:v>96.828386905353909</c:v>
                </c:pt>
                <c:pt idx="22">
                  <c:v>101.82193113766016</c:v>
                </c:pt>
                <c:pt idx="23">
                  <c:v>106.77547532339236</c:v>
                </c:pt>
                <c:pt idx="24">
                  <c:v>111.76855363241179</c:v>
                </c:pt>
                <c:pt idx="25">
                  <c:v>116.68706956712231</c:v>
                </c:pt>
                <c:pt idx="26">
                  <c:v>121.67529079317069</c:v>
                </c:pt>
                <c:pt idx="27">
                  <c:v>126.65277248575376</c:v>
                </c:pt>
                <c:pt idx="28">
                  <c:v>131.63543683326907</c:v>
                </c:pt>
                <c:pt idx="29">
                  <c:v>136.12689439179053</c:v>
                </c:pt>
                <c:pt idx="30">
                  <c:v>141.12433373609474</c:v>
                </c:pt>
                <c:pt idx="31">
                  <c:v>146.06216767416913</c:v>
                </c:pt>
                <c:pt idx="32">
                  <c:v>151.03014261371936</c:v>
                </c:pt>
                <c:pt idx="33">
                  <c:v>155.91255144543356</c:v>
                </c:pt>
                <c:pt idx="34">
                  <c:v>160.46028890487423</c:v>
                </c:pt>
                <c:pt idx="35">
                  <c:v>165.34203439189014</c:v>
                </c:pt>
                <c:pt idx="36">
                  <c:v>170.29307428266043</c:v>
                </c:pt>
                <c:pt idx="37">
                  <c:v>174.86863370201013</c:v>
                </c:pt>
                <c:pt idx="38">
                  <c:v>179.85187752506363</c:v>
                </c:pt>
                <c:pt idx="39">
                  <c:v>184.85085732098196</c:v>
                </c:pt>
                <c:pt idx="40">
                  <c:v>189.75997119214026</c:v>
                </c:pt>
                <c:pt idx="41">
                  <c:v>194.4043329351573</c:v>
                </c:pt>
                <c:pt idx="42">
                  <c:v>199.12633081741001</c:v>
                </c:pt>
                <c:pt idx="43">
                  <c:v>206.62633081741001</c:v>
                </c:pt>
              </c:numCache>
            </c:numRef>
          </c:xVal>
          <c:yVal>
            <c:numRef>
              <c:f>GOL07ab!$U$5:$U$48</c:f>
              <c:numCache>
                <c:formatCode>0.0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-0.66500000000041837</c:v>
                </c:pt>
                <c:pt idx="4">
                  <c:v>-0.85900000000037835</c:v>
                </c:pt>
                <c:pt idx="5">
                  <c:v>-0.85500000000001819</c:v>
                </c:pt>
                <c:pt idx="6">
                  <c:v>-1.5</c:v>
                </c:pt>
                <c:pt idx="7">
                  <c:v>-1.8690000000001419</c:v>
                </c:pt>
                <c:pt idx="8">
                  <c:v>-2.2570000000000618</c:v>
                </c:pt>
                <c:pt idx="9">
                  <c:v>-3.2</c:v>
                </c:pt>
                <c:pt idx="10">
                  <c:v>-4.2970000000000255</c:v>
                </c:pt>
                <c:pt idx="11">
                  <c:v>-4.7550000000001091</c:v>
                </c:pt>
                <c:pt idx="12">
                  <c:v>-5.1720000000000255</c:v>
                </c:pt>
                <c:pt idx="13">
                  <c:v>-4.899000000000342</c:v>
                </c:pt>
                <c:pt idx="14">
                  <c:v>-4.9120000000002619</c:v>
                </c:pt>
                <c:pt idx="15">
                  <c:v>-5.9740000000001601</c:v>
                </c:pt>
                <c:pt idx="16">
                  <c:v>-7.3880000000003747</c:v>
                </c:pt>
                <c:pt idx="17">
                  <c:v>-8.3520000000003165</c:v>
                </c:pt>
                <c:pt idx="18">
                  <c:v>-9.7110000000002401</c:v>
                </c:pt>
                <c:pt idx="19">
                  <c:v>-10.324000000000069</c:v>
                </c:pt>
                <c:pt idx="20">
                  <c:v>-10.617000000000189</c:v>
                </c:pt>
                <c:pt idx="21">
                  <c:v>-10.618000000000393</c:v>
                </c:pt>
                <c:pt idx="22">
                  <c:v>-12.4</c:v>
                </c:pt>
                <c:pt idx="23">
                  <c:v>-14.164000000000215</c:v>
                </c:pt>
                <c:pt idx="24">
                  <c:v>-14.844000000000051</c:v>
                </c:pt>
                <c:pt idx="25">
                  <c:v>-15.107000000000426</c:v>
                </c:pt>
                <c:pt idx="26">
                  <c:v>-16.006000000000313</c:v>
                </c:pt>
                <c:pt idx="27">
                  <c:v>-15.845000000000255</c:v>
                </c:pt>
                <c:pt idx="28">
                  <c:v>-16.82300000000032</c:v>
                </c:pt>
                <c:pt idx="29">
                  <c:v>-17.239000000000033</c:v>
                </c:pt>
                <c:pt idx="30">
                  <c:v>-18.399999999999999</c:v>
                </c:pt>
                <c:pt idx="31">
                  <c:v>-19.276000000000295</c:v>
                </c:pt>
                <c:pt idx="32">
                  <c:v>-18.490000000000236</c:v>
                </c:pt>
                <c:pt idx="33">
                  <c:v>-19.055000000000291</c:v>
                </c:pt>
                <c:pt idx="34">
                  <c:v>-19.899999999999999</c:v>
                </c:pt>
                <c:pt idx="35">
                  <c:v>-19.100000000000001</c:v>
                </c:pt>
                <c:pt idx="36">
                  <c:v>-19.136000000000422</c:v>
                </c:pt>
                <c:pt idx="37">
                  <c:v>-18.899999999999999</c:v>
                </c:pt>
                <c:pt idx="38">
                  <c:v>-20.454000000000178</c:v>
                </c:pt>
                <c:pt idx="39">
                  <c:v>-20.045000000000073</c:v>
                </c:pt>
                <c:pt idx="40">
                  <c:v>-20.146000000000186</c:v>
                </c:pt>
                <c:pt idx="41">
                  <c:v>-21.095000000000255</c:v>
                </c:pt>
                <c:pt idx="42">
                  <c:v>-19.243000000000393</c:v>
                </c:pt>
                <c:pt idx="43">
                  <c:v>-18.8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5E-40BB-8A42-4BCB0B2F9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541471"/>
        <c:axId val="715061807"/>
      </c:scatterChart>
      <c:valAx>
        <c:axId val="5085414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61807"/>
        <c:crosses val="autoZero"/>
        <c:crossBetween val="midCat"/>
      </c:valAx>
      <c:valAx>
        <c:axId val="71506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541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GOL07ab!$W$6:$W$125</c:f>
              <c:numCache>
                <c:formatCode>0.0</c:formatCode>
                <c:ptCount val="120"/>
                <c:pt idx="0">
                  <c:v>0</c:v>
                </c:pt>
                <c:pt idx="1">
                  <c:v>4.9555801880303534</c:v>
                </c:pt>
                <c:pt idx="2">
                  <c:v>9.9518151704946831</c:v>
                </c:pt>
                <c:pt idx="3">
                  <c:v>14.951813570494437</c:v>
                </c:pt>
                <c:pt idx="4">
                  <c:v>19.664324472338535</c:v>
                </c:pt>
                <c:pt idx="5">
                  <c:v>24.620971625404763</c:v>
                </c:pt>
                <c:pt idx="6">
                  <c:v>29.605894493413871</c:v>
                </c:pt>
                <c:pt idx="7">
                  <c:v>34.277943187509436</c:v>
                </c:pt>
                <c:pt idx="8">
                  <c:v>39.271230581601685</c:v>
                </c:pt>
                <c:pt idx="9">
                  <c:v>44.250209995095929</c:v>
                </c:pt>
                <c:pt idx="10">
                  <c:v>49.232790752093251</c:v>
                </c:pt>
                <c:pt idx="11">
                  <c:v>54.225332289226344</c:v>
                </c:pt>
                <c:pt idx="12">
                  <c:v>59.225315389197704</c:v>
                </c:pt>
                <c:pt idx="13">
                  <c:v>64.111229428556271</c:v>
                </c:pt>
                <c:pt idx="14">
                  <c:v>68.907123922808523</c:v>
                </c:pt>
                <c:pt idx="15">
                  <c:v>73.813314298242403</c:v>
                </c:pt>
                <c:pt idx="16">
                  <c:v>78.625083099837184</c:v>
                </c:pt>
                <c:pt idx="17">
                  <c:v>83.587363926231546</c:v>
                </c:pt>
                <c:pt idx="18">
                  <c:v>88.578771643499294</c:v>
                </c:pt>
                <c:pt idx="19">
                  <c:v>93.578771543499215</c:v>
                </c:pt>
                <c:pt idx="20">
                  <c:v>96.828386905353909</c:v>
                </c:pt>
                <c:pt idx="21">
                  <c:v>101.82193113766016</c:v>
                </c:pt>
                <c:pt idx="22">
                  <c:v>106.77547532339236</c:v>
                </c:pt>
                <c:pt idx="23">
                  <c:v>111.76855363241179</c:v>
                </c:pt>
                <c:pt idx="24">
                  <c:v>116.68706956712231</c:v>
                </c:pt>
                <c:pt idx="25">
                  <c:v>121.67529079317069</c:v>
                </c:pt>
                <c:pt idx="26">
                  <c:v>126.65277248575376</c:v>
                </c:pt>
                <c:pt idx="27">
                  <c:v>131.63543683326907</c:v>
                </c:pt>
                <c:pt idx="28">
                  <c:v>136.12689439179053</c:v>
                </c:pt>
                <c:pt idx="29">
                  <c:v>141.12433373609474</c:v>
                </c:pt>
                <c:pt idx="30">
                  <c:v>146.06216767416913</c:v>
                </c:pt>
                <c:pt idx="31">
                  <c:v>151.03014261371936</c:v>
                </c:pt>
                <c:pt idx="32">
                  <c:v>155.91255144543356</c:v>
                </c:pt>
                <c:pt idx="33">
                  <c:v>160.46028890487423</c:v>
                </c:pt>
                <c:pt idx="34">
                  <c:v>165.34203439189014</c:v>
                </c:pt>
                <c:pt idx="35">
                  <c:v>170.29307428266043</c:v>
                </c:pt>
                <c:pt idx="36">
                  <c:v>174.86863370201013</c:v>
                </c:pt>
                <c:pt idx="37">
                  <c:v>179.85187752506363</c:v>
                </c:pt>
                <c:pt idx="38">
                  <c:v>184.85085732098196</c:v>
                </c:pt>
                <c:pt idx="39">
                  <c:v>189.75997119214026</c:v>
                </c:pt>
                <c:pt idx="40">
                  <c:v>194.4043329351573</c:v>
                </c:pt>
                <c:pt idx="41">
                  <c:v>199.12633081741001</c:v>
                </c:pt>
                <c:pt idx="42">
                  <c:v>204.1036216467669</c:v>
                </c:pt>
                <c:pt idx="43">
                  <c:v>208.93567866215903</c:v>
                </c:pt>
                <c:pt idx="44">
                  <c:v>213.91091644542121</c:v>
                </c:pt>
                <c:pt idx="45">
                  <c:v>218.90034276514984</c:v>
                </c:pt>
                <c:pt idx="46">
                  <c:v>223.89527769966094</c:v>
                </c:pt>
                <c:pt idx="47">
                  <c:v>228.71706896432579</c:v>
                </c:pt>
                <c:pt idx="48">
                  <c:v>233.71553112783158</c:v>
                </c:pt>
                <c:pt idx="49">
                  <c:v>238.71489108686637</c:v>
                </c:pt>
                <c:pt idx="50">
                  <c:v>243.3265476222125</c:v>
                </c:pt>
                <c:pt idx="51">
                  <c:v>248.23371778433238</c:v>
                </c:pt>
                <c:pt idx="52">
                  <c:v>253.16701323463735</c:v>
                </c:pt>
                <c:pt idx="53">
                  <c:v>258.11328849992537</c:v>
                </c:pt>
                <c:pt idx="54">
                  <c:v>263.10657589401762</c:v>
                </c:pt>
                <c:pt idx="55">
                  <c:v>267.80906449049508</c:v>
                </c:pt>
                <c:pt idx="56">
                  <c:v>271.81206136783567</c:v>
                </c:pt>
                <c:pt idx="57">
                  <c:v>276.68569563806977</c:v>
                </c:pt>
                <c:pt idx="58">
                  <c:v>281.35506990021668</c:v>
                </c:pt>
                <c:pt idx="59">
                  <c:v>284.702636777816</c:v>
                </c:pt>
                <c:pt idx="60">
                  <c:v>289.02755515854869</c:v>
                </c:pt>
                <c:pt idx="61">
                  <c:v>293.57346276869657</c:v>
                </c:pt>
                <c:pt idx="62">
                  <c:v>298.38011139325818</c:v>
                </c:pt>
                <c:pt idx="63">
                  <c:v>303.37192509170495</c:v>
                </c:pt>
                <c:pt idx="64">
                  <c:v>308.36808201478084</c:v>
                </c:pt>
                <c:pt idx="65">
                  <c:v>313.24938419760042</c:v>
                </c:pt>
                <c:pt idx="66">
                  <c:v>318.16022933871409</c:v>
                </c:pt>
                <c:pt idx="67">
                  <c:v>323.13586507698915</c:v>
                </c:pt>
                <c:pt idx="68">
                  <c:v>328.07745955650694</c:v>
                </c:pt>
                <c:pt idx="69">
                  <c:v>332.07295251733149</c:v>
                </c:pt>
                <c:pt idx="70">
                  <c:v>336.22886396970875</c:v>
                </c:pt>
                <c:pt idx="71">
                  <c:v>341.14142328232788</c:v>
                </c:pt>
                <c:pt idx="72">
                  <c:v>346.13306419489368</c:v>
                </c:pt>
                <c:pt idx="73">
                  <c:v>350.85541011614941</c:v>
                </c:pt>
                <c:pt idx="74">
                  <c:v>355.70529093942741</c:v>
                </c:pt>
                <c:pt idx="75">
                  <c:v>360.54366659660832</c:v>
                </c:pt>
                <c:pt idx="76">
                  <c:v>365.06113834527491</c:v>
                </c:pt>
                <c:pt idx="77">
                  <c:v>369.94199636410735</c:v>
                </c:pt>
                <c:pt idx="78">
                  <c:v>374.92286285499017</c:v>
                </c:pt>
                <c:pt idx="79">
                  <c:v>379.67096889845629</c:v>
                </c:pt>
                <c:pt idx="80">
                  <c:v>384.56393926419537</c:v>
                </c:pt>
                <c:pt idx="81">
                  <c:v>389.47208392384005</c:v>
                </c:pt>
                <c:pt idx="82">
                  <c:v>394.4719683225037</c:v>
                </c:pt>
                <c:pt idx="83">
                  <c:v>399.14932986508302</c:v>
                </c:pt>
                <c:pt idx="84">
                  <c:v>403.75720562295669</c:v>
                </c:pt>
                <c:pt idx="85">
                  <c:v>408.72495269783872</c:v>
                </c:pt>
                <c:pt idx="86">
                  <c:v>413.58298841199326</c:v>
                </c:pt>
                <c:pt idx="87">
                  <c:v>418.42188487709768</c:v>
                </c:pt>
                <c:pt idx="88">
                  <c:v>423.3516693551453</c:v>
                </c:pt>
                <c:pt idx="89">
                  <c:v>428.32809126250004</c:v>
                </c:pt>
                <c:pt idx="90">
                  <c:v>433.2737737229902</c:v>
                </c:pt>
                <c:pt idx="91">
                  <c:v>438.19767857584839</c:v>
                </c:pt>
                <c:pt idx="92">
                  <c:v>443.16644461984765</c:v>
                </c:pt>
                <c:pt idx="93">
                  <c:v>447.97990397877038</c:v>
                </c:pt>
                <c:pt idx="94">
                  <c:v>452.6794944928472</c:v>
                </c:pt>
                <c:pt idx="95">
                  <c:v>457.62606492093164</c:v>
                </c:pt>
                <c:pt idx="96">
                  <c:v>462.22461153915788</c:v>
                </c:pt>
                <c:pt idx="97">
                  <c:v>467.22367055061204</c:v>
                </c:pt>
                <c:pt idx="98">
                  <c:v>472.04132101530945</c:v>
                </c:pt>
                <c:pt idx="99">
                  <c:v>477.00335436868386</c:v>
                </c:pt>
                <c:pt idx="100">
                  <c:v>481.98351249870348</c:v>
                </c:pt>
                <c:pt idx="101">
                  <c:v>486.96221504053096</c:v>
                </c:pt>
                <c:pt idx="102">
                  <c:v>491.9301899800812</c:v>
                </c:pt>
                <c:pt idx="103">
                  <c:v>496.66388832281496</c:v>
                </c:pt>
                <c:pt idx="104">
                  <c:v>501.32361267088527</c:v>
                </c:pt>
                <c:pt idx="105">
                  <c:v>505.93944585677923</c:v>
                </c:pt>
                <c:pt idx="106">
                  <c:v>510.77441472948158</c:v>
                </c:pt>
                <c:pt idx="107">
                  <c:v>515.45253133769052</c:v>
                </c:pt>
                <c:pt idx="108">
                  <c:v>520.11186648339526</c:v>
                </c:pt>
                <c:pt idx="109">
                  <c:v>525.11004365112353</c:v>
                </c:pt>
                <c:pt idx="110">
                  <c:v>529.82290902157501</c:v>
                </c:pt>
                <c:pt idx="111">
                  <c:v>534.60682833527585</c:v>
                </c:pt>
                <c:pt idx="112">
                  <c:v>539.45645832116156</c:v>
                </c:pt>
                <c:pt idx="113">
                  <c:v>544.45628191804985</c:v>
                </c:pt>
                <c:pt idx="114">
                  <c:v>549.41781786974866</c:v>
                </c:pt>
                <c:pt idx="115">
                  <c:v>554.23351875331673</c:v>
                </c:pt>
                <c:pt idx="116">
                  <c:v>559.10508154158083</c:v>
                </c:pt>
                <c:pt idx="117">
                  <c:v>564.00689793961124</c:v>
                </c:pt>
                <c:pt idx="118">
                  <c:v>568.69101994912376</c:v>
                </c:pt>
                <c:pt idx="119">
                  <c:v>573.62821550935837</c:v>
                </c:pt>
              </c:numCache>
            </c:numRef>
          </c:xVal>
          <c:yVal>
            <c:numRef>
              <c:f>GOL07ab!$X$6:$X$125</c:f>
              <c:numCache>
                <c:formatCode>0.0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-0.66500000000041837</c:v>
                </c:pt>
                <c:pt idx="3">
                  <c:v>-0.85900000000037835</c:v>
                </c:pt>
                <c:pt idx="4">
                  <c:v>-0.85500000000001819</c:v>
                </c:pt>
                <c:pt idx="5">
                  <c:v>-1.5</c:v>
                </c:pt>
                <c:pt idx="6">
                  <c:v>-1.8690000000001419</c:v>
                </c:pt>
                <c:pt idx="7">
                  <c:v>-2.2570000000000618</c:v>
                </c:pt>
                <c:pt idx="8">
                  <c:v>-3.2</c:v>
                </c:pt>
                <c:pt idx="9">
                  <c:v>-4.2970000000000255</c:v>
                </c:pt>
                <c:pt idx="10">
                  <c:v>-4.7550000000001091</c:v>
                </c:pt>
                <c:pt idx="11">
                  <c:v>-5.1720000000000255</c:v>
                </c:pt>
                <c:pt idx="12">
                  <c:v>-4.899000000000342</c:v>
                </c:pt>
                <c:pt idx="13">
                  <c:v>-4.9120000000002619</c:v>
                </c:pt>
                <c:pt idx="14">
                  <c:v>-5.9740000000001601</c:v>
                </c:pt>
                <c:pt idx="15">
                  <c:v>-7.3880000000003747</c:v>
                </c:pt>
                <c:pt idx="16">
                  <c:v>-8.3520000000003165</c:v>
                </c:pt>
                <c:pt idx="17">
                  <c:v>-9.7110000000002401</c:v>
                </c:pt>
                <c:pt idx="18">
                  <c:v>-10.324000000000069</c:v>
                </c:pt>
                <c:pt idx="19">
                  <c:v>-10.617000000000189</c:v>
                </c:pt>
                <c:pt idx="20">
                  <c:v>-10.618000000000393</c:v>
                </c:pt>
                <c:pt idx="21">
                  <c:v>-12.4</c:v>
                </c:pt>
                <c:pt idx="22">
                  <c:v>-14.164000000000215</c:v>
                </c:pt>
                <c:pt idx="23">
                  <c:v>-14.844000000000051</c:v>
                </c:pt>
                <c:pt idx="24">
                  <c:v>-15.107000000000426</c:v>
                </c:pt>
                <c:pt idx="25">
                  <c:v>-16.006000000000313</c:v>
                </c:pt>
                <c:pt idx="26">
                  <c:v>-15.845000000000255</c:v>
                </c:pt>
                <c:pt idx="27">
                  <c:v>-16.82300000000032</c:v>
                </c:pt>
                <c:pt idx="28">
                  <c:v>-17.239000000000033</c:v>
                </c:pt>
                <c:pt idx="29">
                  <c:v>-18.399999999999999</c:v>
                </c:pt>
                <c:pt idx="30">
                  <c:v>-19.276000000000295</c:v>
                </c:pt>
                <c:pt idx="31">
                  <c:v>-18.490000000000236</c:v>
                </c:pt>
                <c:pt idx="32">
                  <c:v>-19.055000000000291</c:v>
                </c:pt>
                <c:pt idx="33">
                  <c:v>-19.899999999999999</c:v>
                </c:pt>
                <c:pt idx="34">
                  <c:v>-19.100000000000001</c:v>
                </c:pt>
                <c:pt idx="35">
                  <c:v>-19.136000000000422</c:v>
                </c:pt>
                <c:pt idx="36">
                  <c:v>-18.899999999999999</c:v>
                </c:pt>
                <c:pt idx="37">
                  <c:v>-20.454000000000178</c:v>
                </c:pt>
                <c:pt idx="38">
                  <c:v>-20.045000000000073</c:v>
                </c:pt>
                <c:pt idx="39">
                  <c:v>-20.146000000000186</c:v>
                </c:pt>
                <c:pt idx="40">
                  <c:v>-21.095000000000255</c:v>
                </c:pt>
                <c:pt idx="41">
                  <c:v>-19.243000000000393</c:v>
                </c:pt>
                <c:pt idx="42">
                  <c:v>-17.59900000000016</c:v>
                </c:pt>
                <c:pt idx="43">
                  <c:v>-18.075000000000273</c:v>
                </c:pt>
                <c:pt idx="44">
                  <c:v>-18.863000000000284</c:v>
                </c:pt>
                <c:pt idx="45">
                  <c:v>-18.538000000000011</c:v>
                </c:pt>
                <c:pt idx="46">
                  <c:v>-18.763000000000375</c:v>
                </c:pt>
                <c:pt idx="47">
                  <c:v>-17.440000000000055</c:v>
                </c:pt>
                <c:pt idx="48">
                  <c:v>-17.316000000000258</c:v>
                </c:pt>
                <c:pt idx="49">
                  <c:v>-17.236000000000331</c:v>
                </c:pt>
                <c:pt idx="50">
                  <c:v>-19.16800000000012</c:v>
                </c:pt>
                <c:pt idx="51">
                  <c:v>-20.127000000000407</c:v>
                </c:pt>
                <c:pt idx="52">
                  <c:v>-20.941000000000258</c:v>
                </c:pt>
                <c:pt idx="53">
                  <c:v>-21.672000000000025</c:v>
                </c:pt>
                <c:pt idx="54">
                  <c:v>-21.413000000000011</c:v>
                </c:pt>
                <c:pt idx="55">
                  <c:v>-23.11200000000008</c:v>
                </c:pt>
                <c:pt idx="56">
                  <c:v>-26.108000000000175</c:v>
                </c:pt>
                <c:pt idx="57">
                  <c:v>-27.225000000000364</c:v>
                </c:pt>
                <c:pt idx="58">
                  <c:v>-29.013000000000375</c:v>
                </c:pt>
                <c:pt idx="59">
                  <c:v>-32.727000000000317</c:v>
                </c:pt>
                <c:pt idx="60">
                  <c:v>-35.236000000000331</c:v>
                </c:pt>
                <c:pt idx="61">
                  <c:v>-37.318000000000211</c:v>
                </c:pt>
                <c:pt idx="62">
                  <c:v>-38.695000000000164</c:v>
                </c:pt>
                <c:pt idx="63">
                  <c:v>-38.981000000000222</c:v>
                </c:pt>
                <c:pt idx="64">
                  <c:v>-38.785000000000309</c:v>
                </c:pt>
                <c:pt idx="65">
                  <c:v>-39.868000000000393</c:v>
                </c:pt>
                <c:pt idx="66">
                  <c:v>-40.807999999999993</c:v>
                </c:pt>
                <c:pt idx="67">
                  <c:v>-41.301000000000386</c:v>
                </c:pt>
                <c:pt idx="68">
                  <c:v>-42.063000000000102</c:v>
                </c:pt>
                <c:pt idx="69">
                  <c:v>-45.069000000000415</c:v>
                </c:pt>
                <c:pt idx="70">
                  <c:v>-47.84900000000016</c:v>
                </c:pt>
                <c:pt idx="71">
                  <c:v>-48.7800000000002</c:v>
                </c:pt>
                <c:pt idx="72">
                  <c:v>-49.069000000000415</c:v>
                </c:pt>
                <c:pt idx="73">
                  <c:v>-50.711999999999989</c:v>
                </c:pt>
                <c:pt idx="74">
                  <c:v>-51.928000000000338</c:v>
                </c:pt>
                <c:pt idx="75">
                  <c:v>-53.189000000000306</c:v>
                </c:pt>
                <c:pt idx="76">
                  <c:v>-51.046000000000276</c:v>
                </c:pt>
                <c:pt idx="77">
                  <c:v>-49.96100000000024</c:v>
                </c:pt>
                <c:pt idx="78">
                  <c:v>-49.524000000000342</c:v>
                </c:pt>
                <c:pt idx="79">
                  <c:v>-51.091000000000349</c:v>
                </c:pt>
                <c:pt idx="80">
                  <c:v>-52.120000000000346</c:v>
                </c:pt>
                <c:pt idx="81">
                  <c:v>-51.166000000000167</c:v>
                </c:pt>
                <c:pt idx="82">
                  <c:v>-51.132000000000062</c:v>
                </c:pt>
                <c:pt idx="83">
                  <c:v>-52.899000000000342</c:v>
                </c:pt>
                <c:pt idx="84">
                  <c:v>-54.840000000000146</c:v>
                </c:pt>
                <c:pt idx="85">
                  <c:v>-55.407000000000153</c:v>
                </c:pt>
                <c:pt idx="86">
                  <c:v>-56.590000000000146</c:v>
                </c:pt>
                <c:pt idx="87">
                  <c:v>-57.84900000000016</c:v>
                </c:pt>
                <c:pt idx="88">
                  <c:v>-58.684000000000196</c:v>
                </c:pt>
                <c:pt idx="89">
                  <c:v>-59.169000000000324</c:v>
                </c:pt>
                <c:pt idx="90">
                  <c:v>-59.903999999999996</c:v>
                </c:pt>
                <c:pt idx="91">
                  <c:v>-60.773000000000138</c:v>
                </c:pt>
                <c:pt idx="92">
                  <c:v>-60.215000000000146</c:v>
                </c:pt>
                <c:pt idx="93">
                  <c:v>-61.568000000000211</c:v>
                </c:pt>
                <c:pt idx="94">
                  <c:v>-63.275000000000091</c:v>
                </c:pt>
                <c:pt idx="95">
                  <c:v>-62.546000000000276</c:v>
                </c:pt>
                <c:pt idx="96">
                  <c:v>-64.509000000000015</c:v>
                </c:pt>
                <c:pt idx="97">
                  <c:v>-64.606000000000222</c:v>
                </c:pt>
                <c:pt idx="98">
                  <c:v>-65.944000000000415</c:v>
                </c:pt>
                <c:pt idx="99">
                  <c:v>-66.559000000000196</c:v>
                </c:pt>
                <c:pt idx="100">
                  <c:v>-66.114000000000033</c:v>
                </c:pt>
                <c:pt idx="101">
                  <c:v>-65.653000000000247</c:v>
                </c:pt>
                <c:pt idx="102">
                  <c:v>-66.218000000000302</c:v>
                </c:pt>
                <c:pt idx="103">
                  <c:v>-67.827999999999975</c:v>
                </c:pt>
                <c:pt idx="104">
                  <c:v>-69.641000000000076</c:v>
                </c:pt>
                <c:pt idx="105">
                  <c:v>-71.563000000000102</c:v>
                </c:pt>
                <c:pt idx="106">
                  <c:v>-70.289000000000215</c:v>
                </c:pt>
                <c:pt idx="107">
                  <c:v>-72.054000000000087</c:v>
                </c:pt>
                <c:pt idx="108">
                  <c:v>-73.868000000000393</c:v>
                </c:pt>
                <c:pt idx="109">
                  <c:v>-74.003000000000156</c:v>
                </c:pt>
                <c:pt idx="110">
                  <c:v>-75.673000000000229</c:v>
                </c:pt>
                <c:pt idx="111">
                  <c:v>-77.127000000000407</c:v>
                </c:pt>
                <c:pt idx="112">
                  <c:v>-78.344000000000051</c:v>
                </c:pt>
                <c:pt idx="113">
                  <c:v>-78.386000000000422</c:v>
                </c:pt>
                <c:pt idx="114">
                  <c:v>-79.005000000000109</c:v>
                </c:pt>
                <c:pt idx="115">
                  <c:v>-80.350000000000364</c:v>
                </c:pt>
                <c:pt idx="116">
                  <c:v>-81.476000000000113</c:v>
                </c:pt>
                <c:pt idx="117">
                  <c:v>-82.461999999999989</c:v>
                </c:pt>
                <c:pt idx="118">
                  <c:v>-84.21100000000024</c:v>
                </c:pt>
                <c:pt idx="119">
                  <c:v>-85.001000000000204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A-4381-A539-8FD95887B0C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GOL07ab!$T$5:$T$48</c:f>
              <c:numCache>
                <c:formatCode>0.0</c:formatCode>
                <c:ptCount val="44"/>
                <c:pt idx="0">
                  <c:v>-7.5</c:v>
                </c:pt>
                <c:pt idx="1">
                  <c:v>0</c:v>
                </c:pt>
                <c:pt idx="2">
                  <c:v>4.9555801880303534</c:v>
                </c:pt>
                <c:pt idx="3">
                  <c:v>9.9518151704946831</c:v>
                </c:pt>
                <c:pt idx="4">
                  <c:v>14.951813570494437</c:v>
                </c:pt>
                <c:pt idx="5">
                  <c:v>19.664324472338535</c:v>
                </c:pt>
                <c:pt idx="6">
                  <c:v>24.620971625404763</c:v>
                </c:pt>
                <c:pt idx="7">
                  <c:v>29.605894493413871</c:v>
                </c:pt>
                <c:pt idx="8">
                  <c:v>34.277943187509436</c:v>
                </c:pt>
                <c:pt idx="9">
                  <c:v>39.271230581601685</c:v>
                </c:pt>
                <c:pt idx="10">
                  <c:v>44.250209995095929</c:v>
                </c:pt>
                <c:pt idx="11">
                  <c:v>49.232790752093251</c:v>
                </c:pt>
                <c:pt idx="12">
                  <c:v>54.225332289226344</c:v>
                </c:pt>
                <c:pt idx="13">
                  <c:v>59.225315389197704</c:v>
                </c:pt>
                <c:pt idx="14">
                  <c:v>64.111229428556271</c:v>
                </c:pt>
                <c:pt idx="15">
                  <c:v>68.907123922808523</c:v>
                </c:pt>
                <c:pt idx="16">
                  <c:v>73.813314298242403</c:v>
                </c:pt>
                <c:pt idx="17">
                  <c:v>78.625083099837184</c:v>
                </c:pt>
                <c:pt idx="18">
                  <c:v>83.587363926231546</c:v>
                </c:pt>
                <c:pt idx="19">
                  <c:v>88.578771643499294</c:v>
                </c:pt>
                <c:pt idx="20">
                  <c:v>93.578771543499215</c:v>
                </c:pt>
                <c:pt idx="21">
                  <c:v>96.828386905353909</c:v>
                </c:pt>
                <c:pt idx="22">
                  <c:v>101.82193113766016</c:v>
                </c:pt>
                <c:pt idx="23">
                  <c:v>106.77547532339236</c:v>
                </c:pt>
                <c:pt idx="24">
                  <c:v>111.76855363241179</c:v>
                </c:pt>
                <c:pt idx="25">
                  <c:v>116.68706956712231</c:v>
                </c:pt>
                <c:pt idx="26">
                  <c:v>121.67529079317069</c:v>
                </c:pt>
                <c:pt idx="27">
                  <c:v>126.65277248575376</c:v>
                </c:pt>
                <c:pt idx="28">
                  <c:v>131.63543683326907</c:v>
                </c:pt>
                <c:pt idx="29">
                  <c:v>136.12689439179053</c:v>
                </c:pt>
                <c:pt idx="30">
                  <c:v>141.12433373609474</c:v>
                </c:pt>
                <c:pt idx="31">
                  <c:v>146.06216767416913</c:v>
                </c:pt>
                <c:pt idx="32">
                  <c:v>151.03014261371936</c:v>
                </c:pt>
                <c:pt idx="33">
                  <c:v>155.91255144543356</c:v>
                </c:pt>
                <c:pt idx="34">
                  <c:v>160.46028890487423</c:v>
                </c:pt>
                <c:pt idx="35">
                  <c:v>165.34203439189014</c:v>
                </c:pt>
                <c:pt idx="36">
                  <c:v>170.29307428266043</c:v>
                </c:pt>
                <c:pt idx="37">
                  <c:v>174.86863370201013</c:v>
                </c:pt>
                <c:pt idx="38">
                  <c:v>179.85187752506363</c:v>
                </c:pt>
                <c:pt idx="39">
                  <c:v>184.85085732098196</c:v>
                </c:pt>
                <c:pt idx="40">
                  <c:v>189.75997119214026</c:v>
                </c:pt>
                <c:pt idx="41">
                  <c:v>194.4043329351573</c:v>
                </c:pt>
                <c:pt idx="42">
                  <c:v>199.12633081741001</c:v>
                </c:pt>
                <c:pt idx="43">
                  <c:v>206.62633081741001</c:v>
                </c:pt>
              </c:numCache>
            </c:numRef>
          </c:xVal>
          <c:yVal>
            <c:numRef>
              <c:f>GOL07ab!$U$5:$U$48</c:f>
              <c:numCache>
                <c:formatCode>0.0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-0.66500000000041837</c:v>
                </c:pt>
                <c:pt idx="4">
                  <c:v>-0.85900000000037835</c:v>
                </c:pt>
                <c:pt idx="5">
                  <c:v>-0.85500000000001819</c:v>
                </c:pt>
                <c:pt idx="6">
                  <c:v>-1.5</c:v>
                </c:pt>
                <c:pt idx="7">
                  <c:v>-1.8690000000001419</c:v>
                </c:pt>
                <c:pt idx="8">
                  <c:v>-2.2570000000000618</c:v>
                </c:pt>
                <c:pt idx="9">
                  <c:v>-3.2</c:v>
                </c:pt>
                <c:pt idx="10">
                  <c:v>-4.2970000000000255</c:v>
                </c:pt>
                <c:pt idx="11">
                  <c:v>-4.7550000000001091</c:v>
                </c:pt>
                <c:pt idx="12">
                  <c:v>-5.1720000000000255</c:v>
                </c:pt>
                <c:pt idx="13">
                  <c:v>-4.899000000000342</c:v>
                </c:pt>
                <c:pt idx="14">
                  <c:v>-4.9120000000002619</c:v>
                </c:pt>
                <c:pt idx="15">
                  <c:v>-5.9740000000001601</c:v>
                </c:pt>
                <c:pt idx="16">
                  <c:v>-7.3880000000003747</c:v>
                </c:pt>
                <c:pt idx="17">
                  <c:v>-8.3520000000003165</c:v>
                </c:pt>
                <c:pt idx="18">
                  <c:v>-9.7110000000002401</c:v>
                </c:pt>
                <c:pt idx="19">
                  <c:v>-10.324000000000069</c:v>
                </c:pt>
                <c:pt idx="20">
                  <c:v>-10.617000000000189</c:v>
                </c:pt>
                <c:pt idx="21">
                  <c:v>-10.618000000000393</c:v>
                </c:pt>
                <c:pt idx="22">
                  <c:v>-12.4</c:v>
                </c:pt>
                <c:pt idx="23">
                  <c:v>-14.164000000000215</c:v>
                </c:pt>
                <c:pt idx="24">
                  <c:v>-14.844000000000051</c:v>
                </c:pt>
                <c:pt idx="25">
                  <c:v>-15.107000000000426</c:v>
                </c:pt>
                <c:pt idx="26">
                  <c:v>-16.006000000000313</c:v>
                </c:pt>
                <c:pt idx="27">
                  <c:v>-15.845000000000255</c:v>
                </c:pt>
                <c:pt idx="28">
                  <c:v>-16.82300000000032</c:v>
                </c:pt>
                <c:pt idx="29">
                  <c:v>-17.239000000000033</c:v>
                </c:pt>
                <c:pt idx="30">
                  <c:v>-18.399999999999999</c:v>
                </c:pt>
                <c:pt idx="31">
                  <c:v>-19.276000000000295</c:v>
                </c:pt>
                <c:pt idx="32">
                  <c:v>-18.490000000000236</c:v>
                </c:pt>
                <c:pt idx="33">
                  <c:v>-19.055000000000291</c:v>
                </c:pt>
                <c:pt idx="34">
                  <c:v>-19.899999999999999</c:v>
                </c:pt>
                <c:pt idx="35">
                  <c:v>-19.100000000000001</c:v>
                </c:pt>
                <c:pt idx="36">
                  <c:v>-19.136000000000422</c:v>
                </c:pt>
                <c:pt idx="37">
                  <c:v>-18.899999999999999</c:v>
                </c:pt>
                <c:pt idx="38">
                  <c:v>-20.454000000000178</c:v>
                </c:pt>
                <c:pt idx="39">
                  <c:v>-20.045000000000073</c:v>
                </c:pt>
                <c:pt idx="40">
                  <c:v>-20.146000000000186</c:v>
                </c:pt>
                <c:pt idx="41">
                  <c:v>-21.095000000000255</c:v>
                </c:pt>
                <c:pt idx="42">
                  <c:v>-19.243000000000393</c:v>
                </c:pt>
                <c:pt idx="43">
                  <c:v>-18.8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AA-4381-A539-8FD95887B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601439"/>
        <c:axId val="718585327"/>
      </c:scatterChart>
      <c:valAx>
        <c:axId val="71860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585327"/>
        <c:crosses val="autoZero"/>
        <c:crossBetween val="midCat"/>
      </c:valAx>
      <c:valAx>
        <c:axId val="71858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0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GOL07c!$O$6:$O$125</c:f>
              <c:numCache>
                <c:formatCode>0.0</c:formatCode>
                <c:ptCount val="120"/>
                <c:pt idx="0">
                  <c:v>0</c:v>
                </c:pt>
                <c:pt idx="1">
                  <c:v>4.9555801880303534</c:v>
                </c:pt>
                <c:pt idx="2">
                  <c:v>9.9518151704946831</c:v>
                </c:pt>
                <c:pt idx="3">
                  <c:v>14.951813570494437</c:v>
                </c:pt>
                <c:pt idx="4">
                  <c:v>19.664324472338535</c:v>
                </c:pt>
                <c:pt idx="5">
                  <c:v>24.620971625404763</c:v>
                </c:pt>
                <c:pt idx="6">
                  <c:v>29.605894493413871</c:v>
                </c:pt>
                <c:pt idx="7">
                  <c:v>34.277943187509436</c:v>
                </c:pt>
                <c:pt idx="8">
                  <c:v>39.271230581601685</c:v>
                </c:pt>
                <c:pt idx="9">
                  <c:v>44.250209995095929</c:v>
                </c:pt>
                <c:pt idx="10">
                  <c:v>49.232790752093251</c:v>
                </c:pt>
                <c:pt idx="11">
                  <c:v>54.225332289226344</c:v>
                </c:pt>
                <c:pt idx="12">
                  <c:v>59.225315389197704</c:v>
                </c:pt>
                <c:pt idx="13">
                  <c:v>64.111229428556271</c:v>
                </c:pt>
                <c:pt idx="14">
                  <c:v>68.907123922808523</c:v>
                </c:pt>
                <c:pt idx="15">
                  <c:v>73.813314298242403</c:v>
                </c:pt>
                <c:pt idx="16">
                  <c:v>78.625083099837184</c:v>
                </c:pt>
                <c:pt idx="17">
                  <c:v>83.587363926231546</c:v>
                </c:pt>
                <c:pt idx="18">
                  <c:v>88.578771643499294</c:v>
                </c:pt>
                <c:pt idx="19">
                  <c:v>93.578771543499215</c:v>
                </c:pt>
                <c:pt idx="20">
                  <c:v>96.828386905353909</c:v>
                </c:pt>
                <c:pt idx="21">
                  <c:v>101.82193113766016</c:v>
                </c:pt>
                <c:pt idx="22">
                  <c:v>106.77547532339236</c:v>
                </c:pt>
                <c:pt idx="23">
                  <c:v>111.76855363241179</c:v>
                </c:pt>
                <c:pt idx="24">
                  <c:v>116.68706956712231</c:v>
                </c:pt>
                <c:pt idx="25">
                  <c:v>121.67529079317069</c:v>
                </c:pt>
                <c:pt idx="26">
                  <c:v>126.65277248575376</c:v>
                </c:pt>
                <c:pt idx="27">
                  <c:v>131.63543683326907</c:v>
                </c:pt>
                <c:pt idx="28">
                  <c:v>136.12689439179053</c:v>
                </c:pt>
                <c:pt idx="29">
                  <c:v>141.12433373609474</c:v>
                </c:pt>
                <c:pt idx="30">
                  <c:v>146.06216767416913</c:v>
                </c:pt>
                <c:pt idx="31">
                  <c:v>151.03014261371936</c:v>
                </c:pt>
                <c:pt idx="32">
                  <c:v>155.91255144543356</c:v>
                </c:pt>
                <c:pt idx="33">
                  <c:v>160.46028890487423</c:v>
                </c:pt>
                <c:pt idx="34">
                  <c:v>165.34203439189014</c:v>
                </c:pt>
                <c:pt idx="35">
                  <c:v>170.29307428266043</c:v>
                </c:pt>
                <c:pt idx="36">
                  <c:v>174.86863370201013</c:v>
                </c:pt>
                <c:pt idx="37">
                  <c:v>179.85187752506363</c:v>
                </c:pt>
                <c:pt idx="38">
                  <c:v>184.85085732098196</c:v>
                </c:pt>
                <c:pt idx="39">
                  <c:v>189.75997119214026</c:v>
                </c:pt>
                <c:pt idx="40">
                  <c:v>194.4043329351573</c:v>
                </c:pt>
                <c:pt idx="41">
                  <c:v>199.12633081741001</c:v>
                </c:pt>
                <c:pt idx="42">
                  <c:v>204.1036216467669</c:v>
                </c:pt>
                <c:pt idx="43">
                  <c:v>208.93567866215903</c:v>
                </c:pt>
                <c:pt idx="44">
                  <c:v>213.91091644542121</c:v>
                </c:pt>
                <c:pt idx="45">
                  <c:v>218.90034276514984</c:v>
                </c:pt>
                <c:pt idx="46">
                  <c:v>223.89527769966094</c:v>
                </c:pt>
                <c:pt idx="47">
                  <c:v>228.71706896432579</c:v>
                </c:pt>
                <c:pt idx="48">
                  <c:v>233.71553112783158</c:v>
                </c:pt>
                <c:pt idx="49">
                  <c:v>238.71489108686637</c:v>
                </c:pt>
                <c:pt idx="50">
                  <c:v>243.3265476222125</c:v>
                </c:pt>
                <c:pt idx="51">
                  <c:v>248.23371778433238</c:v>
                </c:pt>
                <c:pt idx="52">
                  <c:v>253.16701323463735</c:v>
                </c:pt>
                <c:pt idx="53">
                  <c:v>258.11328849992537</c:v>
                </c:pt>
                <c:pt idx="54">
                  <c:v>263.10657589401762</c:v>
                </c:pt>
                <c:pt idx="55">
                  <c:v>267.80906449049508</c:v>
                </c:pt>
                <c:pt idx="56">
                  <c:v>271.81206136783567</c:v>
                </c:pt>
                <c:pt idx="57">
                  <c:v>276.68569563806977</c:v>
                </c:pt>
                <c:pt idx="58">
                  <c:v>281.35506990021668</c:v>
                </c:pt>
                <c:pt idx="59">
                  <c:v>284.702636777816</c:v>
                </c:pt>
                <c:pt idx="60">
                  <c:v>289.02755515854869</c:v>
                </c:pt>
                <c:pt idx="61">
                  <c:v>293.57346276869657</c:v>
                </c:pt>
                <c:pt idx="62">
                  <c:v>298.38011139325818</c:v>
                </c:pt>
                <c:pt idx="63">
                  <c:v>303.37192509170495</c:v>
                </c:pt>
                <c:pt idx="64">
                  <c:v>308.36808201478084</c:v>
                </c:pt>
                <c:pt idx="65">
                  <c:v>313.24938419760042</c:v>
                </c:pt>
                <c:pt idx="66">
                  <c:v>318.16022933871409</c:v>
                </c:pt>
                <c:pt idx="67">
                  <c:v>323.13586507698915</c:v>
                </c:pt>
                <c:pt idx="68">
                  <c:v>328.07745955650694</c:v>
                </c:pt>
                <c:pt idx="69">
                  <c:v>332.07295251733149</c:v>
                </c:pt>
                <c:pt idx="70">
                  <c:v>336.22886396970875</c:v>
                </c:pt>
                <c:pt idx="71">
                  <c:v>341.14142328232788</c:v>
                </c:pt>
                <c:pt idx="72">
                  <c:v>346.13306419489368</c:v>
                </c:pt>
                <c:pt idx="73">
                  <c:v>350.85541011614941</c:v>
                </c:pt>
                <c:pt idx="74">
                  <c:v>355.70529093942741</c:v>
                </c:pt>
                <c:pt idx="75">
                  <c:v>360.54366659660832</c:v>
                </c:pt>
                <c:pt idx="76">
                  <c:v>365.06113834527491</c:v>
                </c:pt>
                <c:pt idx="77">
                  <c:v>369.94199636410735</c:v>
                </c:pt>
                <c:pt idx="78">
                  <c:v>374.92286285499017</c:v>
                </c:pt>
                <c:pt idx="79">
                  <c:v>379.67096889845629</c:v>
                </c:pt>
                <c:pt idx="80">
                  <c:v>384.56393926419537</c:v>
                </c:pt>
                <c:pt idx="81">
                  <c:v>389.47208392384005</c:v>
                </c:pt>
                <c:pt idx="82">
                  <c:v>394.4719683225037</c:v>
                </c:pt>
                <c:pt idx="83">
                  <c:v>399.14932986508302</c:v>
                </c:pt>
                <c:pt idx="84">
                  <c:v>403.75720562295669</c:v>
                </c:pt>
                <c:pt idx="85">
                  <c:v>408.72495269783872</c:v>
                </c:pt>
                <c:pt idx="86">
                  <c:v>413.58298841199326</c:v>
                </c:pt>
                <c:pt idx="87">
                  <c:v>418.42188487709768</c:v>
                </c:pt>
                <c:pt idx="88">
                  <c:v>423.3516693551453</c:v>
                </c:pt>
                <c:pt idx="89">
                  <c:v>428.32809126250004</c:v>
                </c:pt>
                <c:pt idx="90">
                  <c:v>433.2737737229902</c:v>
                </c:pt>
                <c:pt idx="91">
                  <c:v>438.19767857584839</c:v>
                </c:pt>
                <c:pt idx="92">
                  <c:v>443.16644461984765</c:v>
                </c:pt>
                <c:pt idx="93">
                  <c:v>447.97990397877038</c:v>
                </c:pt>
                <c:pt idx="94">
                  <c:v>452.6794944928472</c:v>
                </c:pt>
                <c:pt idx="95">
                  <c:v>457.62606492093164</c:v>
                </c:pt>
                <c:pt idx="96">
                  <c:v>462.22461153915788</c:v>
                </c:pt>
                <c:pt idx="97">
                  <c:v>467.22367055061204</c:v>
                </c:pt>
                <c:pt idx="98">
                  <c:v>472.04132101530945</c:v>
                </c:pt>
                <c:pt idx="99">
                  <c:v>477.00335436868386</c:v>
                </c:pt>
                <c:pt idx="100">
                  <c:v>481.98351249870348</c:v>
                </c:pt>
                <c:pt idx="101">
                  <c:v>486.96221504053096</c:v>
                </c:pt>
                <c:pt idx="102">
                  <c:v>491.9301899800812</c:v>
                </c:pt>
                <c:pt idx="103">
                  <c:v>496.66388832281496</c:v>
                </c:pt>
                <c:pt idx="104">
                  <c:v>501.32361267088527</c:v>
                </c:pt>
                <c:pt idx="105">
                  <c:v>505.93944585677923</c:v>
                </c:pt>
                <c:pt idx="106">
                  <c:v>510.77441472948158</c:v>
                </c:pt>
                <c:pt idx="107">
                  <c:v>515.45253133769052</c:v>
                </c:pt>
                <c:pt idx="108">
                  <c:v>520.11186648339526</c:v>
                </c:pt>
                <c:pt idx="109">
                  <c:v>525.11004365112353</c:v>
                </c:pt>
                <c:pt idx="110">
                  <c:v>529.82290902157501</c:v>
                </c:pt>
                <c:pt idx="111">
                  <c:v>534.60682833527585</c:v>
                </c:pt>
                <c:pt idx="112">
                  <c:v>539.45645832116156</c:v>
                </c:pt>
                <c:pt idx="113">
                  <c:v>544.45628191804985</c:v>
                </c:pt>
                <c:pt idx="114">
                  <c:v>549.41781786974866</c:v>
                </c:pt>
                <c:pt idx="115">
                  <c:v>554.23351875331673</c:v>
                </c:pt>
                <c:pt idx="116">
                  <c:v>559.10508154158083</c:v>
                </c:pt>
                <c:pt idx="117">
                  <c:v>564.00689793961124</c:v>
                </c:pt>
                <c:pt idx="118">
                  <c:v>568.69101994912376</c:v>
                </c:pt>
                <c:pt idx="119">
                  <c:v>573.62821550935837</c:v>
                </c:pt>
              </c:numCache>
            </c:numRef>
          </c:xVal>
          <c:yVal>
            <c:numRef>
              <c:f>GOL07c!$P$6:$P$125</c:f>
              <c:numCache>
                <c:formatCode>0.0</c:formatCode>
                <c:ptCount val="120"/>
                <c:pt idx="0">
                  <c:v>46.459000000000287</c:v>
                </c:pt>
                <c:pt idx="1">
                  <c:v>46.459000000000287</c:v>
                </c:pt>
                <c:pt idx="2">
                  <c:v>45.793999999999869</c:v>
                </c:pt>
                <c:pt idx="3">
                  <c:v>45.599999999999909</c:v>
                </c:pt>
                <c:pt idx="4">
                  <c:v>45.604000000000269</c:v>
                </c:pt>
                <c:pt idx="5">
                  <c:v>44.959000000000287</c:v>
                </c:pt>
                <c:pt idx="6">
                  <c:v>44.590000000000146</c:v>
                </c:pt>
                <c:pt idx="7">
                  <c:v>44.202000000000226</c:v>
                </c:pt>
                <c:pt idx="8">
                  <c:v>43.259000000000285</c:v>
                </c:pt>
                <c:pt idx="9">
                  <c:v>42.162000000000262</c:v>
                </c:pt>
                <c:pt idx="10">
                  <c:v>41.704000000000178</c:v>
                </c:pt>
                <c:pt idx="11">
                  <c:v>41.287000000000262</c:v>
                </c:pt>
                <c:pt idx="12">
                  <c:v>41.559999999999945</c:v>
                </c:pt>
                <c:pt idx="13">
                  <c:v>41.547000000000025</c:v>
                </c:pt>
                <c:pt idx="14">
                  <c:v>40.485000000000127</c:v>
                </c:pt>
                <c:pt idx="15">
                  <c:v>39.070999999999913</c:v>
                </c:pt>
                <c:pt idx="16">
                  <c:v>38.106999999999971</c:v>
                </c:pt>
                <c:pt idx="17">
                  <c:v>36.748000000000047</c:v>
                </c:pt>
                <c:pt idx="18">
                  <c:v>36.135000000000218</c:v>
                </c:pt>
                <c:pt idx="19">
                  <c:v>35.842000000000098</c:v>
                </c:pt>
                <c:pt idx="20">
                  <c:v>35.840999999999894</c:v>
                </c:pt>
                <c:pt idx="21">
                  <c:v>34.059000000000289</c:v>
                </c:pt>
                <c:pt idx="22">
                  <c:v>32.295000000000073</c:v>
                </c:pt>
                <c:pt idx="23">
                  <c:v>31.615000000000236</c:v>
                </c:pt>
                <c:pt idx="24">
                  <c:v>31.351999999999862</c:v>
                </c:pt>
                <c:pt idx="25">
                  <c:v>30.452999999999975</c:v>
                </c:pt>
                <c:pt idx="26">
                  <c:v>30.614000000000033</c:v>
                </c:pt>
                <c:pt idx="27">
                  <c:v>29.635999999999967</c:v>
                </c:pt>
                <c:pt idx="28">
                  <c:v>29.220000000000255</c:v>
                </c:pt>
                <c:pt idx="29">
                  <c:v>28.059000000000289</c:v>
                </c:pt>
                <c:pt idx="30">
                  <c:v>27.182999999999993</c:v>
                </c:pt>
                <c:pt idx="31">
                  <c:v>27.969000000000051</c:v>
                </c:pt>
                <c:pt idx="32">
                  <c:v>27.403999999999996</c:v>
                </c:pt>
                <c:pt idx="33">
                  <c:v>26.559000000000289</c:v>
                </c:pt>
                <c:pt idx="34">
                  <c:v>27.359000000000286</c:v>
                </c:pt>
                <c:pt idx="35">
                  <c:v>27.322999999999865</c:v>
                </c:pt>
                <c:pt idx="36">
                  <c:v>27.559000000000289</c:v>
                </c:pt>
                <c:pt idx="37">
                  <c:v>26.005000000000109</c:v>
                </c:pt>
                <c:pt idx="38">
                  <c:v>26.414000000000215</c:v>
                </c:pt>
                <c:pt idx="39">
                  <c:v>26.313000000000102</c:v>
                </c:pt>
                <c:pt idx="40">
                  <c:v>25.364000000000033</c:v>
                </c:pt>
                <c:pt idx="41">
                  <c:v>27.215999999999894</c:v>
                </c:pt>
                <c:pt idx="42">
                  <c:v>28.860000000000127</c:v>
                </c:pt>
                <c:pt idx="43">
                  <c:v>28.384000000000015</c:v>
                </c:pt>
                <c:pt idx="44">
                  <c:v>27.596000000000004</c:v>
                </c:pt>
                <c:pt idx="45">
                  <c:v>27.921000000000276</c:v>
                </c:pt>
                <c:pt idx="46">
                  <c:v>27.695999999999913</c:v>
                </c:pt>
                <c:pt idx="47">
                  <c:v>29.019000000000233</c:v>
                </c:pt>
                <c:pt idx="48">
                  <c:v>29.143000000000029</c:v>
                </c:pt>
                <c:pt idx="49">
                  <c:v>29.222999999999956</c:v>
                </c:pt>
                <c:pt idx="50">
                  <c:v>27.291000000000167</c:v>
                </c:pt>
                <c:pt idx="51">
                  <c:v>26.33199999999988</c:v>
                </c:pt>
                <c:pt idx="52">
                  <c:v>25.518000000000029</c:v>
                </c:pt>
                <c:pt idx="53">
                  <c:v>24.787000000000262</c:v>
                </c:pt>
                <c:pt idx="54">
                  <c:v>25.046000000000276</c:v>
                </c:pt>
                <c:pt idx="55">
                  <c:v>23.347000000000207</c:v>
                </c:pt>
                <c:pt idx="56">
                  <c:v>20.351000000000113</c:v>
                </c:pt>
                <c:pt idx="57">
                  <c:v>19.233999999999924</c:v>
                </c:pt>
                <c:pt idx="58">
                  <c:v>17.445999999999913</c:v>
                </c:pt>
                <c:pt idx="59">
                  <c:v>13.731999999999971</c:v>
                </c:pt>
                <c:pt idx="60">
                  <c:v>11.222999999999956</c:v>
                </c:pt>
                <c:pt idx="61">
                  <c:v>9.1410000000000764</c:v>
                </c:pt>
                <c:pt idx="62">
                  <c:v>7.7640000000001237</c:v>
                </c:pt>
                <c:pt idx="63">
                  <c:v>7.4780000000000655</c:v>
                </c:pt>
                <c:pt idx="64">
                  <c:v>7.6739999999999782</c:v>
                </c:pt>
                <c:pt idx="65">
                  <c:v>6.5909999999998945</c:v>
                </c:pt>
                <c:pt idx="66">
                  <c:v>5.6510000000002947</c:v>
                </c:pt>
                <c:pt idx="67">
                  <c:v>5.1579999999999018</c:v>
                </c:pt>
                <c:pt idx="68">
                  <c:v>4.3960000000001855</c:v>
                </c:pt>
                <c:pt idx="69">
                  <c:v>1.3899999999998727</c:v>
                </c:pt>
                <c:pt idx="70">
                  <c:v>-1.3899999999998727</c:v>
                </c:pt>
                <c:pt idx="71">
                  <c:v>-2.3209999999999127</c:v>
                </c:pt>
                <c:pt idx="72">
                  <c:v>-2.6100000000001273</c:v>
                </c:pt>
                <c:pt idx="73">
                  <c:v>-4.2529999999997017</c:v>
                </c:pt>
                <c:pt idx="74">
                  <c:v>-5.4690000000000509</c:v>
                </c:pt>
                <c:pt idx="75">
                  <c:v>-6.7300000000000182</c:v>
                </c:pt>
                <c:pt idx="76">
                  <c:v>-4.5869999999999891</c:v>
                </c:pt>
                <c:pt idx="77">
                  <c:v>-3.5019999999999527</c:v>
                </c:pt>
                <c:pt idx="78">
                  <c:v>-3.0650000000000546</c:v>
                </c:pt>
                <c:pt idx="79">
                  <c:v>-4.6320000000000618</c:v>
                </c:pt>
                <c:pt idx="80">
                  <c:v>-5.6610000000000582</c:v>
                </c:pt>
                <c:pt idx="81">
                  <c:v>-4.7069999999998799</c:v>
                </c:pt>
                <c:pt idx="82">
                  <c:v>-4.6729999999997744</c:v>
                </c:pt>
                <c:pt idx="83">
                  <c:v>-6.4400000000000546</c:v>
                </c:pt>
                <c:pt idx="84">
                  <c:v>-8.3809999999998581</c:v>
                </c:pt>
                <c:pt idx="85">
                  <c:v>-8.9479999999998654</c:v>
                </c:pt>
                <c:pt idx="86">
                  <c:v>-10.130999999999858</c:v>
                </c:pt>
                <c:pt idx="87">
                  <c:v>-11.389999999999873</c:v>
                </c:pt>
                <c:pt idx="88">
                  <c:v>-12.224999999999909</c:v>
                </c:pt>
                <c:pt idx="89">
                  <c:v>-12.710000000000036</c:v>
                </c:pt>
                <c:pt idx="90">
                  <c:v>-13.444999999999709</c:v>
                </c:pt>
                <c:pt idx="91">
                  <c:v>-14.313999999999851</c:v>
                </c:pt>
                <c:pt idx="92">
                  <c:v>-13.755999999999858</c:v>
                </c:pt>
                <c:pt idx="93">
                  <c:v>-15.108999999999924</c:v>
                </c:pt>
                <c:pt idx="94">
                  <c:v>-16.815999999999804</c:v>
                </c:pt>
                <c:pt idx="95">
                  <c:v>-16.086999999999989</c:v>
                </c:pt>
                <c:pt idx="96">
                  <c:v>-18.049999999999727</c:v>
                </c:pt>
                <c:pt idx="97">
                  <c:v>-18.146999999999935</c:v>
                </c:pt>
                <c:pt idx="98">
                  <c:v>-19.485000000000127</c:v>
                </c:pt>
                <c:pt idx="99">
                  <c:v>-20.099999999999909</c:v>
                </c:pt>
                <c:pt idx="100">
                  <c:v>-19.654999999999745</c:v>
                </c:pt>
                <c:pt idx="101">
                  <c:v>-19.19399999999996</c:v>
                </c:pt>
                <c:pt idx="102">
                  <c:v>-19.759000000000015</c:v>
                </c:pt>
                <c:pt idx="103">
                  <c:v>-21.368999999999687</c:v>
                </c:pt>
                <c:pt idx="104">
                  <c:v>-23.181999999999789</c:v>
                </c:pt>
                <c:pt idx="105">
                  <c:v>-25.103999999999814</c:v>
                </c:pt>
                <c:pt idx="106">
                  <c:v>-23.829999999999927</c:v>
                </c:pt>
                <c:pt idx="107">
                  <c:v>-25.5949999999998</c:v>
                </c:pt>
                <c:pt idx="108">
                  <c:v>-27.409000000000106</c:v>
                </c:pt>
                <c:pt idx="109">
                  <c:v>-27.543999999999869</c:v>
                </c:pt>
                <c:pt idx="110">
                  <c:v>-29.213999999999942</c:v>
                </c:pt>
                <c:pt idx="111">
                  <c:v>-30.66800000000012</c:v>
                </c:pt>
                <c:pt idx="112">
                  <c:v>-31.884999999999764</c:v>
                </c:pt>
                <c:pt idx="113">
                  <c:v>-31.927000000000135</c:v>
                </c:pt>
                <c:pt idx="114">
                  <c:v>-32.545999999999822</c:v>
                </c:pt>
                <c:pt idx="115">
                  <c:v>-33.891000000000076</c:v>
                </c:pt>
                <c:pt idx="116">
                  <c:v>-35.016999999999825</c:v>
                </c:pt>
                <c:pt idx="117">
                  <c:v>-36.002999999999702</c:v>
                </c:pt>
                <c:pt idx="118">
                  <c:v>-37.751999999999953</c:v>
                </c:pt>
                <c:pt idx="119">
                  <c:v>-38.541999999999916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2C-4AB9-A58A-207121C3D67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GOL07c!$Q$76:$Q$101</c:f>
              <c:numCache>
                <c:formatCode>0.0</c:formatCode>
                <c:ptCount val="26"/>
                <c:pt idx="0">
                  <c:v>333.64142328232788</c:v>
                </c:pt>
                <c:pt idx="1">
                  <c:v>341.14142328232788</c:v>
                </c:pt>
                <c:pt idx="2">
                  <c:v>346.13306419489368</c:v>
                </c:pt>
                <c:pt idx="3">
                  <c:v>350.85541011614941</c:v>
                </c:pt>
                <c:pt idx="4">
                  <c:v>355.70529093942741</c:v>
                </c:pt>
                <c:pt idx="5">
                  <c:v>360.54366659660832</c:v>
                </c:pt>
                <c:pt idx="6">
                  <c:v>365.06113834527491</c:v>
                </c:pt>
                <c:pt idx="7">
                  <c:v>369.94199636410735</c:v>
                </c:pt>
                <c:pt idx="8">
                  <c:v>374.92286285499017</c:v>
                </c:pt>
                <c:pt idx="9">
                  <c:v>379.67096889845629</c:v>
                </c:pt>
                <c:pt idx="10">
                  <c:v>384.56393926419537</c:v>
                </c:pt>
                <c:pt idx="11">
                  <c:v>389.47208392384005</c:v>
                </c:pt>
                <c:pt idx="12">
                  <c:v>394.4719683225037</c:v>
                </c:pt>
                <c:pt idx="13">
                  <c:v>399.14932986508302</c:v>
                </c:pt>
                <c:pt idx="14">
                  <c:v>403.75720562295669</c:v>
                </c:pt>
                <c:pt idx="15">
                  <c:v>408.72495269783872</c:v>
                </c:pt>
                <c:pt idx="16">
                  <c:v>413.58298841199326</c:v>
                </c:pt>
                <c:pt idx="17">
                  <c:v>418.42188487709768</c:v>
                </c:pt>
                <c:pt idx="18">
                  <c:v>423.3516693551453</c:v>
                </c:pt>
                <c:pt idx="19">
                  <c:v>428.32809126250004</c:v>
                </c:pt>
                <c:pt idx="20">
                  <c:v>433.2737737229902</c:v>
                </c:pt>
                <c:pt idx="21">
                  <c:v>438.19767857584839</c:v>
                </c:pt>
                <c:pt idx="22">
                  <c:v>443.16644461984765</c:v>
                </c:pt>
                <c:pt idx="23">
                  <c:v>447.97990397877038</c:v>
                </c:pt>
                <c:pt idx="24">
                  <c:v>452.6794944928472</c:v>
                </c:pt>
                <c:pt idx="25">
                  <c:v>465.12606492093164</c:v>
                </c:pt>
              </c:numCache>
            </c:numRef>
          </c:xVal>
          <c:yVal>
            <c:numRef>
              <c:f>GOL07c!$R$76:$R$101</c:f>
              <c:numCache>
                <c:formatCode>0.0</c:formatCode>
                <c:ptCount val="26"/>
                <c:pt idx="0">
                  <c:v>0</c:v>
                </c:pt>
                <c:pt idx="1">
                  <c:v>-2.3209999999999127</c:v>
                </c:pt>
                <c:pt idx="2">
                  <c:v>-2.6100000000001273</c:v>
                </c:pt>
                <c:pt idx="3">
                  <c:v>-4.2529999999997017</c:v>
                </c:pt>
                <c:pt idx="4">
                  <c:v>-5.4690000000000509</c:v>
                </c:pt>
                <c:pt idx="5">
                  <c:v>-6.7300000000000182</c:v>
                </c:pt>
                <c:pt idx="6">
                  <c:v>-4.5869999999999891</c:v>
                </c:pt>
                <c:pt idx="7">
                  <c:v>-3.5019999999999527</c:v>
                </c:pt>
                <c:pt idx="8">
                  <c:v>-3.0650000000000546</c:v>
                </c:pt>
                <c:pt idx="9">
                  <c:v>-4.6320000000000618</c:v>
                </c:pt>
                <c:pt idx="10">
                  <c:v>-5.6610000000000582</c:v>
                </c:pt>
                <c:pt idx="11">
                  <c:v>-4.7069999999998799</c:v>
                </c:pt>
                <c:pt idx="12">
                  <c:v>-4.6729999999997744</c:v>
                </c:pt>
                <c:pt idx="13">
                  <c:v>-6.4400000000000546</c:v>
                </c:pt>
                <c:pt idx="14">
                  <c:v>-8.3809999999998581</c:v>
                </c:pt>
                <c:pt idx="15">
                  <c:v>-8.9479999999998654</c:v>
                </c:pt>
                <c:pt idx="16">
                  <c:v>-10.130999999999858</c:v>
                </c:pt>
                <c:pt idx="17">
                  <c:v>-11.389999999999873</c:v>
                </c:pt>
                <c:pt idx="18">
                  <c:v>-12.224999999999909</c:v>
                </c:pt>
                <c:pt idx="19">
                  <c:v>-12.710000000000036</c:v>
                </c:pt>
                <c:pt idx="20">
                  <c:v>-13.444999999999709</c:v>
                </c:pt>
                <c:pt idx="21">
                  <c:v>-14.313999999999851</c:v>
                </c:pt>
                <c:pt idx="22">
                  <c:v>-13.755999999999858</c:v>
                </c:pt>
                <c:pt idx="23">
                  <c:v>-15.108999999999924</c:v>
                </c:pt>
                <c:pt idx="24">
                  <c:v>-16.815999999999804</c:v>
                </c:pt>
                <c:pt idx="25">
                  <c:v>-16.451499999999896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2C-4AB9-A58A-207121C3D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675343"/>
        <c:axId val="715060975"/>
      </c:scatterChart>
      <c:valAx>
        <c:axId val="53967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60975"/>
        <c:crosses val="autoZero"/>
        <c:crossBetween val="midCat"/>
      </c:valAx>
      <c:valAx>
        <c:axId val="71506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67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'SUE02'!$W$4:$W$51</c:f>
              <c:numCache>
                <c:formatCode>General</c:formatCode>
                <c:ptCount val="48"/>
                <c:pt idx="0">
                  <c:v>0</c:v>
                </c:pt>
                <c:pt idx="1">
                  <c:v>5</c:v>
                </c:pt>
                <c:pt idx="2">
                  <c:v>9.6999999999999993</c:v>
                </c:pt>
                <c:pt idx="3">
                  <c:v>14.7</c:v>
                </c:pt>
                <c:pt idx="4">
                  <c:v>19.7</c:v>
                </c:pt>
                <c:pt idx="5">
                  <c:v>24.7</c:v>
                </c:pt>
                <c:pt idx="6">
                  <c:v>29.7</c:v>
                </c:pt>
                <c:pt idx="7">
                  <c:v>34.700000000000003</c:v>
                </c:pt>
                <c:pt idx="8">
                  <c:v>39.6</c:v>
                </c:pt>
                <c:pt idx="9">
                  <c:v>44.6</c:v>
                </c:pt>
                <c:pt idx="10">
                  <c:v>49.4</c:v>
                </c:pt>
                <c:pt idx="11">
                  <c:v>54.3</c:v>
                </c:pt>
                <c:pt idx="12">
                  <c:v>59.3</c:v>
                </c:pt>
                <c:pt idx="13">
                  <c:v>63.6</c:v>
                </c:pt>
                <c:pt idx="14">
                  <c:v>68.099999999999994</c:v>
                </c:pt>
                <c:pt idx="15">
                  <c:v>73.099999999999994</c:v>
                </c:pt>
                <c:pt idx="16">
                  <c:v>77</c:v>
                </c:pt>
                <c:pt idx="17">
                  <c:v>81.900000000000006</c:v>
                </c:pt>
                <c:pt idx="18">
                  <c:v>86.8</c:v>
                </c:pt>
                <c:pt idx="19">
                  <c:v>91.8</c:v>
                </c:pt>
                <c:pt idx="20">
                  <c:v>96.7</c:v>
                </c:pt>
                <c:pt idx="21">
                  <c:v>101.7</c:v>
                </c:pt>
                <c:pt idx="22">
                  <c:v>106.7</c:v>
                </c:pt>
                <c:pt idx="23">
                  <c:v>111.6</c:v>
                </c:pt>
                <c:pt idx="24">
                  <c:v>116.4</c:v>
                </c:pt>
                <c:pt idx="25">
                  <c:v>121.4</c:v>
                </c:pt>
                <c:pt idx="26">
                  <c:v>126.3</c:v>
                </c:pt>
                <c:pt idx="27">
                  <c:v>131.19999999999999</c:v>
                </c:pt>
                <c:pt idx="28">
                  <c:v>136.1</c:v>
                </c:pt>
                <c:pt idx="29">
                  <c:v>141</c:v>
                </c:pt>
                <c:pt idx="30">
                  <c:v>145.80000000000001</c:v>
                </c:pt>
                <c:pt idx="31">
                  <c:v>150.80000000000001</c:v>
                </c:pt>
                <c:pt idx="32">
                  <c:v>155.80000000000001</c:v>
                </c:pt>
                <c:pt idx="33">
                  <c:v>160.80000000000001</c:v>
                </c:pt>
                <c:pt idx="34">
                  <c:v>165.4</c:v>
                </c:pt>
                <c:pt idx="35">
                  <c:v>170</c:v>
                </c:pt>
                <c:pt idx="36">
                  <c:v>174.9</c:v>
                </c:pt>
                <c:pt idx="37">
                  <c:v>179.7</c:v>
                </c:pt>
                <c:pt idx="38">
                  <c:v>184.6</c:v>
                </c:pt>
                <c:pt idx="39">
                  <c:v>189.4</c:v>
                </c:pt>
                <c:pt idx="40">
                  <c:v>194.3</c:v>
                </c:pt>
                <c:pt idx="41">
                  <c:v>199.3</c:v>
                </c:pt>
                <c:pt idx="42">
                  <c:v>204.2</c:v>
                </c:pt>
                <c:pt idx="43">
                  <c:v>209.2</c:v>
                </c:pt>
                <c:pt idx="44">
                  <c:v>214</c:v>
                </c:pt>
                <c:pt idx="45">
                  <c:v>218.9</c:v>
                </c:pt>
                <c:pt idx="46">
                  <c:v>223.9</c:v>
                </c:pt>
                <c:pt idx="47">
                  <c:v>228.9</c:v>
                </c:pt>
              </c:numCache>
            </c:numRef>
          </c:xVal>
          <c:yVal>
            <c:numRef>
              <c:f>'SUE02'!$X$4:$X$51</c:f>
              <c:numCache>
                <c:formatCode>General</c:formatCode>
                <c:ptCount val="48"/>
                <c:pt idx="0">
                  <c:v>-12.013</c:v>
                </c:pt>
                <c:pt idx="1">
                  <c:v>-11.871</c:v>
                </c:pt>
                <c:pt idx="2">
                  <c:v>-13.516</c:v>
                </c:pt>
                <c:pt idx="3">
                  <c:v>-13.47</c:v>
                </c:pt>
                <c:pt idx="4">
                  <c:v>-13.497</c:v>
                </c:pt>
                <c:pt idx="5">
                  <c:v>-12.879</c:v>
                </c:pt>
                <c:pt idx="6">
                  <c:v>-12.914999999999999</c:v>
                </c:pt>
                <c:pt idx="7">
                  <c:v>-12.817</c:v>
                </c:pt>
                <c:pt idx="8">
                  <c:v>-13.617000000000001</c:v>
                </c:pt>
                <c:pt idx="9">
                  <c:v>-12.96</c:v>
                </c:pt>
                <c:pt idx="10">
                  <c:v>-11.521000000000001</c:v>
                </c:pt>
                <c:pt idx="11">
                  <c:v>-10.635</c:v>
                </c:pt>
                <c:pt idx="12">
                  <c:v>-11.189</c:v>
                </c:pt>
                <c:pt idx="13">
                  <c:v>-8.6430000000000007</c:v>
                </c:pt>
                <c:pt idx="14">
                  <c:v>-6.6379999999999999</c:v>
                </c:pt>
                <c:pt idx="15">
                  <c:v>-6.6589999999999998</c:v>
                </c:pt>
                <c:pt idx="16">
                  <c:v>-3.5009999999999999</c:v>
                </c:pt>
                <c:pt idx="17">
                  <c:v>-1.5</c:v>
                </c:pt>
                <c:pt idx="18">
                  <c:v>-3.1070000000000002</c:v>
                </c:pt>
                <c:pt idx="19">
                  <c:v>-2.7829999999999999</c:v>
                </c:pt>
                <c:pt idx="20">
                  <c:v>-2.3769999999999998</c:v>
                </c:pt>
                <c:pt idx="21">
                  <c:v>-1.6830000000000001</c:v>
                </c:pt>
                <c:pt idx="22">
                  <c:v>-1.284</c:v>
                </c:pt>
                <c:pt idx="23">
                  <c:v>-0.20499999999999999</c:v>
                </c:pt>
                <c:pt idx="24">
                  <c:v>-1.2949999999999999</c:v>
                </c:pt>
                <c:pt idx="25">
                  <c:v>-1.9570000000000001</c:v>
                </c:pt>
                <c:pt idx="26">
                  <c:v>-0.95499999999999996</c:v>
                </c:pt>
                <c:pt idx="27">
                  <c:v>0</c:v>
                </c:pt>
                <c:pt idx="28">
                  <c:v>-1.1890000000000001</c:v>
                </c:pt>
                <c:pt idx="29">
                  <c:v>-2.1760000000000002</c:v>
                </c:pt>
                <c:pt idx="30">
                  <c:v>-3.2949999999999999</c:v>
                </c:pt>
                <c:pt idx="31">
                  <c:v>-2.6389999999999998</c:v>
                </c:pt>
                <c:pt idx="32">
                  <c:v>-3.0470000000000002</c:v>
                </c:pt>
                <c:pt idx="33">
                  <c:v>-3.0209999999999999</c:v>
                </c:pt>
                <c:pt idx="34">
                  <c:v>-5.0090000000000003</c:v>
                </c:pt>
                <c:pt idx="35">
                  <c:v>-3.0470000000000002</c:v>
                </c:pt>
                <c:pt idx="36">
                  <c:v>-3.4809999999999999</c:v>
                </c:pt>
                <c:pt idx="37">
                  <c:v>-4.9450000000000003</c:v>
                </c:pt>
                <c:pt idx="38">
                  <c:v>-6.0149999999999997</c:v>
                </c:pt>
                <c:pt idx="39">
                  <c:v>-4.53</c:v>
                </c:pt>
                <c:pt idx="40">
                  <c:v>-5.4379999999999997</c:v>
                </c:pt>
                <c:pt idx="41">
                  <c:v>-5.4960000000000004</c:v>
                </c:pt>
                <c:pt idx="42">
                  <c:v>-6.38</c:v>
                </c:pt>
                <c:pt idx="43">
                  <c:v>-6.7</c:v>
                </c:pt>
                <c:pt idx="44">
                  <c:v>-8.2379999999999995</c:v>
                </c:pt>
                <c:pt idx="45">
                  <c:v>-7.8760000000000003</c:v>
                </c:pt>
                <c:pt idx="46">
                  <c:v>-8.1180000000000003</c:v>
                </c:pt>
                <c:pt idx="47">
                  <c:v>-7.282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E-4BCA-B066-0A586F74506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BE-4BCA-B066-0A586F74506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BE-4BCA-B066-0A586F745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'SUE02'!$AC$3:$AC$28</c:f>
              <c:numCache>
                <c:formatCode>0.0</c:formatCode>
                <c:ptCount val="26"/>
                <c:pt idx="0">
                  <c:v>68.134278910383728</c:v>
                </c:pt>
                <c:pt idx="1">
                  <c:v>73.134278910383728</c:v>
                </c:pt>
                <c:pt idx="2">
                  <c:v>76.018897429356343</c:v>
                </c:pt>
                <c:pt idx="3">
                  <c:v>78.903515948328959</c:v>
                </c:pt>
                <c:pt idx="4">
                  <c:v>81.788134467301575</c:v>
                </c:pt>
                <c:pt idx="5">
                  <c:v>84.67275298627419</c:v>
                </c:pt>
                <c:pt idx="6">
                  <c:v>87.557371505246806</c:v>
                </c:pt>
                <c:pt idx="7">
                  <c:v>90.441990024219422</c:v>
                </c:pt>
                <c:pt idx="8">
                  <c:v>93.326608543192037</c:v>
                </c:pt>
                <c:pt idx="9">
                  <c:v>96.211227062164653</c:v>
                </c:pt>
                <c:pt idx="10">
                  <c:v>99.095845581137269</c:v>
                </c:pt>
                <c:pt idx="11">
                  <c:v>101.98046410010988</c:v>
                </c:pt>
                <c:pt idx="12">
                  <c:v>104.8650826190825</c:v>
                </c:pt>
                <c:pt idx="13">
                  <c:v>107.74970113805512</c:v>
                </c:pt>
                <c:pt idx="14">
                  <c:v>110.63431965702773</c:v>
                </c:pt>
                <c:pt idx="15">
                  <c:v>113.51893817600035</c:v>
                </c:pt>
                <c:pt idx="16">
                  <c:v>116.40355669497296</c:v>
                </c:pt>
                <c:pt idx="17">
                  <c:v>119.28817521394558</c:v>
                </c:pt>
                <c:pt idx="18">
                  <c:v>122.17279373291819</c:v>
                </c:pt>
                <c:pt idx="19">
                  <c:v>125.05741225189081</c:v>
                </c:pt>
                <c:pt idx="20">
                  <c:v>127.94203077086343</c:v>
                </c:pt>
                <c:pt idx="21">
                  <c:v>130.82664928983604</c:v>
                </c:pt>
                <c:pt idx="22">
                  <c:v>133.71126780880866</c:v>
                </c:pt>
                <c:pt idx="23">
                  <c:v>136.59588632778127</c:v>
                </c:pt>
                <c:pt idx="24">
                  <c:v>139.48050484675389</c:v>
                </c:pt>
                <c:pt idx="25">
                  <c:v>142.3651233657265</c:v>
                </c:pt>
              </c:numCache>
            </c:numRef>
          </c:xVal>
          <c:yVal>
            <c:numRef>
              <c:f>'SUE02'!$AD$3:$AD$28</c:f>
              <c:numCache>
                <c:formatCode>General</c:formatCode>
                <c:ptCount val="26"/>
                <c:pt idx="0">
                  <c:v>-6.6379999999999999</c:v>
                </c:pt>
                <c:pt idx="1">
                  <c:v>-6.6589999999999998</c:v>
                </c:pt>
                <c:pt idx="2">
                  <c:v>-4.5</c:v>
                </c:pt>
                <c:pt idx="3">
                  <c:v>-2.9</c:v>
                </c:pt>
                <c:pt idx="4">
                  <c:v>-1.5</c:v>
                </c:pt>
                <c:pt idx="5">
                  <c:v>-2.5</c:v>
                </c:pt>
                <c:pt idx="6">
                  <c:v>-3.1070000000000002</c:v>
                </c:pt>
                <c:pt idx="7">
                  <c:v>-3.0835999999999331</c:v>
                </c:pt>
                <c:pt idx="8">
                  <c:v>-2.8922000000002299</c:v>
                </c:pt>
                <c:pt idx="9">
                  <c:v>-2.3769999999999998</c:v>
                </c:pt>
                <c:pt idx="10">
                  <c:v>-2.4520000000002256</c:v>
                </c:pt>
                <c:pt idx="11">
                  <c:v>-1.6830000000000001</c:v>
                </c:pt>
                <c:pt idx="12">
                  <c:v>-1.6940000000099644</c:v>
                </c:pt>
                <c:pt idx="13">
                  <c:v>-1.3</c:v>
                </c:pt>
                <c:pt idx="14">
                  <c:v>-0.7</c:v>
                </c:pt>
                <c:pt idx="15">
                  <c:v>-0.5</c:v>
                </c:pt>
                <c:pt idx="16">
                  <c:v>-1.2949999999999999</c:v>
                </c:pt>
                <c:pt idx="17">
                  <c:v>-1.6</c:v>
                </c:pt>
                <c:pt idx="18">
                  <c:v>-1.5904000000000451</c:v>
                </c:pt>
                <c:pt idx="19">
                  <c:v>-1.4</c:v>
                </c:pt>
                <c:pt idx="20">
                  <c:v>-0.8</c:v>
                </c:pt>
                <c:pt idx="21">
                  <c:v>0</c:v>
                </c:pt>
                <c:pt idx="22">
                  <c:v>-0.6</c:v>
                </c:pt>
                <c:pt idx="23">
                  <c:v>-1.1890000000000001</c:v>
                </c:pt>
                <c:pt idx="24">
                  <c:v>-1.6</c:v>
                </c:pt>
                <c:pt idx="25">
                  <c:v>-2.4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BE-4BCA-B066-0A586F745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725360"/>
        <c:axId val="1585334608"/>
      </c:scatterChart>
      <c:valAx>
        <c:axId val="148572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34608"/>
        <c:crosses val="autoZero"/>
        <c:crossBetween val="midCat"/>
      </c:valAx>
      <c:valAx>
        <c:axId val="158533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2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'KUM01'!$O$3:$O$50</c:f>
              <c:numCache>
                <c:formatCode>0.0</c:formatCode>
                <c:ptCount val="48"/>
                <c:pt idx="0">
                  <c:v>0</c:v>
                </c:pt>
                <c:pt idx="1">
                  <c:v>4.9979546816672906</c:v>
                </c:pt>
                <c:pt idx="2">
                  <c:v>9.925174993364358</c:v>
                </c:pt>
                <c:pt idx="3">
                  <c:v>14.899301650376641</c:v>
                </c:pt>
                <c:pt idx="4">
                  <c:v>19.89269238213399</c:v>
                </c:pt>
                <c:pt idx="5">
                  <c:v>24.784185405741393</c:v>
                </c:pt>
                <c:pt idx="6">
                  <c:v>29.77047661264054</c:v>
                </c:pt>
                <c:pt idx="7">
                  <c:v>34.759640771094354</c:v>
                </c:pt>
                <c:pt idx="8">
                  <c:v>39.743534730640455</c:v>
                </c:pt>
                <c:pt idx="9">
                  <c:v>44.739923426488687</c:v>
                </c:pt>
                <c:pt idx="10">
                  <c:v>49.632893792227684</c:v>
                </c:pt>
                <c:pt idx="11">
                  <c:v>54.632749390142486</c:v>
                </c:pt>
                <c:pt idx="12">
                  <c:v>59.442251547330848</c:v>
                </c:pt>
                <c:pt idx="13">
                  <c:v>64.430265580991943</c:v>
                </c:pt>
                <c:pt idx="14">
                  <c:v>69.119221115010035</c:v>
                </c:pt>
                <c:pt idx="15">
                  <c:v>74.080256390030755</c:v>
                </c:pt>
                <c:pt idx="16">
                  <c:v>79.023077851503956</c:v>
                </c:pt>
                <c:pt idx="17">
                  <c:v>83.973693873778359</c:v>
                </c:pt>
                <c:pt idx="18">
                  <c:v>88.958303788305244</c:v>
                </c:pt>
                <c:pt idx="19">
                  <c:v>93.88876411164226</c:v>
                </c:pt>
                <c:pt idx="20">
                  <c:v>98.871843380528148</c:v>
                </c:pt>
                <c:pt idx="21">
                  <c:v>103.86558946938769</c:v>
                </c:pt>
                <c:pt idx="22">
                  <c:v>108.86150740306113</c:v>
                </c:pt>
                <c:pt idx="23">
                  <c:v>115.2</c:v>
                </c:pt>
                <c:pt idx="24">
                  <c:v>118.64782727912407</c:v>
                </c:pt>
                <c:pt idx="25">
                  <c:v>123.61568838829366</c:v>
                </c:pt>
                <c:pt idx="26">
                  <c:v>128.60377168751793</c:v>
                </c:pt>
                <c:pt idx="27">
                  <c:v>133.59690256903909</c:v>
                </c:pt>
                <c:pt idx="28">
                  <c:v>138.39013435980399</c:v>
                </c:pt>
                <c:pt idx="29">
                  <c:v>143.37434854059518</c:v>
                </c:pt>
                <c:pt idx="30">
                  <c:v>148.37241606714983</c:v>
                </c:pt>
                <c:pt idx="31">
                  <c:v>153.35718286209618</c:v>
                </c:pt>
                <c:pt idx="32">
                  <c:v>158.35717476208961</c:v>
                </c:pt>
                <c:pt idx="33">
                  <c:v>163.30359771206062</c:v>
                </c:pt>
                <c:pt idx="34">
                  <c:v>168.01893767859536</c:v>
                </c:pt>
                <c:pt idx="35">
                  <c:v>173.00160202611067</c:v>
                </c:pt>
                <c:pt idx="36">
                  <c:v>177.90896751076738</c:v>
                </c:pt>
                <c:pt idx="37">
                  <c:v>182.90576238348328</c:v>
                </c:pt>
                <c:pt idx="38">
                  <c:v>187.90541427136506</c:v>
                </c:pt>
                <c:pt idx="39">
                  <c:v>192.90012146999041</c:v>
                </c:pt>
                <c:pt idx="40">
                  <c:v>197.89536680931059</c:v>
                </c:pt>
                <c:pt idx="41">
                  <c:v>202.86161287651265</c:v>
                </c:pt>
                <c:pt idx="42">
                  <c:v>207.8550549759066</c:v>
                </c:pt>
                <c:pt idx="43">
                  <c:v>212.80058871858793</c:v>
                </c:pt>
                <c:pt idx="44">
                  <c:v>217.77612527256881</c:v>
                </c:pt>
                <c:pt idx="45">
                  <c:v>222.74953205263418</c:v>
                </c:pt>
                <c:pt idx="46">
                  <c:v>227.73227978857267</c:v>
                </c:pt>
                <c:pt idx="47">
                  <c:v>232.70711636880321</c:v>
                </c:pt>
              </c:numCache>
            </c:numRef>
          </c:xVal>
          <c:yVal>
            <c:numRef>
              <c:f>'KUM01'!$P$3:$P$50</c:f>
              <c:numCache>
                <c:formatCode>General</c:formatCode>
                <c:ptCount val="48"/>
                <c:pt idx="0">
                  <c:v>-6.2419999999997344</c:v>
                </c:pt>
                <c:pt idx="1">
                  <c:v>-6.3849999999997635</c:v>
                </c:pt>
                <c:pt idx="2">
                  <c:v>-5.5349999999998545</c:v>
                </c:pt>
                <c:pt idx="3">
                  <c:v>-6.0429999999996653</c:v>
                </c:pt>
                <c:pt idx="4">
                  <c:v>-5.7860000000000582</c:v>
                </c:pt>
                <c:pt idx="5">
                  <c:v>-4.75</c:v>
                </c:pt>
                <c:pt idx="6">
                  <c:v>-4.3799999999996544</c:v>
                </c:pt>
                <c:pt idx="7">
                  <c:v>-4.0509999999999309</c:v>
                </c:pt>
                <c:pt idx="8">
                  <c:v>-4.4519999999997708</c:v>
                </c:pt>
                <c:pt idx="9">
                  <c:v>-4.6419999999998254</c:v>
                </c:pt>
                <c:pt idx="10">
                  <c:v>-3.612999999999829</c:v>
                </c:pt>
                <c:pt idx="11">
                  <c:v>-3.6509999999998399</c:v>
                </c:pt>
                <c:pt idx="12">
                  <c:v>-2.2839999999996508</c:v>
                </c:pt>
                <c:pt idx="13">
                  <c:v>-1.9379999999996471</c:v>
                </c:pt>
                <c:pt idx="14">
                  <c:v>-3.6739999999999782</c:v>
                </c:pt>
                <c:pt idx="15">
                  <c:v>-3.0509999999999309</c:v>
                </c:pt>
                <c:pt idx="16">
                  <c:v>-2.4300000000000002</c:v>
                </c:pt>
                <c:pt idx="17">
                  <c:v>-2.9980000000000473</c:v>
                </c:pt>
                <c:pt idx="18">
                  <c:v>-2.6059999999997672</c:v>
                </c:pt>
                <c:pt idx="19">
                  <c:v>-1.94</c:v>
                </c:pt>
                <c:pt idx="20">
                  <c:v>-2.1859999999996944</c:v>
                </c:pt>
                <c:pt idx="21">
                  <c:v>-2.4359999999996944</c:v>
                </c:pt>
                <c:pt idx="22">
                  <c:v>-2.63799999999992</c:v>
                </c:pt>
                <c:pt idx="23">
                  <c:v>-1.2249999999999091</c:v>
                </c:pt>
                <c:pt idx="24">
                  <c:v>-0.91100000000005821</c:v>
                </c:pt>
                <c:pt idx="25">
                  <c:v>-0.44</c:v>
                </c:pt>
                <c:pt idx="26">
                  <c:v>-0.11</c:v>
                </c:pt>
                <c:pt idx="27">
                  <c:v>-0.26199999999971624</c:v>
                </c:pt>
                <c:pt idx="28">
                  <c:v>-1.0900000000000001</c:v>
                </c:pt>
                <c:pt idx="29">
                  <c:v>-1.2880000000000109</c:v>
                </c:pt>
                <c:pt idx="30">
                  <c:v>-1.4269999999996799</c:v>
                </c:pt>
                <c:pt idx="31">
                  <c:v>-1.8170000000000073</c:v>
                </c:pt>
                <c:pt idx="32">
                  <c:v>-1.8260000000000218</c:v>
                </c:pt>
                <c:pt idx="33">
                  <c:v>-2.55600000000004</c:v>
                </c:pt>
                <c:pt idx="34">
                  <c:v>-0.8930000000000291</c:v>
                </c:pt>
                <c:pt idx="35">
                  <c:v>-1.3089999999997417</c:v>
                </c:pt>
                <c:pt idx="36">
                  <c:v>-2.2669999999998254</c:v>
                </c:pt>
                <c:pt idx="37">
                  <c:v>-2.0879999999997381</c:v>
                </c:pt>
                <c:pt idx="38">
                  <c:v>-2.1469999999999345</c:v>
                </c:pt>
                <c:pt idx="39">
                  <c:v>-1.9169999999999163</c:v>
                </c:pt>
                <c:pt idx="40">
                  <c:v>-1.6990000000000691</c:v>
                </c:pt>
                <c:pt idx="41">
                  <c:v>-2.2789999999999964</c:v>
                </c:pt>
                <c:pt idx="42">
                  <c:v>-2.0229999999996835</c:v>
                </c:pt>
                <c:pt idx="43">
                  <c:v>-2.7590000000000146</c:v>
                </c:pt>
                <c:pt idx="44">
                  <c:v>-2.2649999999998727</c:v>
                </c:pt>
                <c:pt idx="45">
                  <c:v>-1.75</c:v>
                </c:pt>
                <c:pt idx="46">
                  <c:v>-2.1649999999999636</c:v>
                </c:pt>
                <c:pt idx="47">
                  <c:v>-1.6639999999997599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07-4A44-8838-24C78D61A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26223"/>
        <c:axId val="388599407"/>
      </c:scatterChart>
      <c:valAx>
        <c:axId val="15102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99407"/>
        <c:crosses val="autoZero"/>
        <c:crossBetween val="midCat"/>
      </c:valAx>
      <c:valAx>
        <c:axId val="38859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2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KUM0203_RST5m!$M$4:$M$171</c:f>
              <c:numCache>
                <c:formatCode>0.0</c:formatCode>
                <c:ptCount val="168"/>
                <c:pt idx="0">
                  <c:v>0</c:v>
                </c:pt>
                <c:pt idx="1">
                  <c:v>4.9999515997657422</c:v>
                </c:pt>
                <c:pt idx="2">
                  <c:v>9.9954551779848586</c:v>
                </c:pt>
                <c:pt idx="3">
                  <c:v>14.984816259325834</c:v>
                </c:pt>
                <c:pt idx="4">
                  <c:v>19.973037485374263</c:v>
                </c:pt>
                <c:pt idx="5">
                  <c:v>24.954079043121002</c:v>
                </c:pt>
                <c:pt idx="6">
                  <c:v>29.946783720948442</c:v>
                </c:pt>
                <c:pt idx="7">
                  <c:v>34.945506657859426</c:v>
                </c:pt>
                <c:pt idx="8">
                  <c:v>39.945204148708243</c:v>
                </c:pt>
                <c:pt idx="9">
                  <c:v>44.930666915593591</c:v>
                </c:pt>
                <c:pt idx="10">
                  <c:v>49.921956829032794</c:v>
                </c:pt>
                <c:pt idx="11">
                  <c:v>54.878736428732587</c:v>
                </c:pt>
                <c:pt idx="12">
                  <c:v>59.873163723227933</c:v>
                </c:pt>
                <c:pt idx="13">
                  <c:v>64.871975482036206</c:v>
                </c:pt>
                <c:pt idx="14">
                  <c:v>69.793926314785324</c:v>
                </c:pt>
                <c:pt idx="15">
                  <c:v>74.773180777051749</c:v>
                </c:pt>
                <c:pt idx="16">
                  <c:v>79.730750746300785</c:v>
                </c:pt>
                <c:pt idx="17">
                  <c:v>84.693524063711138</c:v>
                </c:pt>
                <c:pt idx="18">
                  <c:v>89.651094032960174</c:v>
                </c:pt>
                <c:pt idx="19">
                  <c:v>94.636403551936922</c:v>
                </c:pt>
                <c:pt idx="20">
                  <c:v>99.616650935350719</c:v>
                </c:pt>
                <c:pt idx="21">
                  <c:v>104.5962692942212</c:v>
                </c:pt>
                <c:pt idx="22">
                  <c:v>109.4550345694738</c:v>
                </c:pt>
                <c:pt idx="23">
                  <c:v>114.43607612722053</c:v>
                </c:pt>
                <c:pt idx="24">
                  <c:v>119.41101331275362</c:v>
                </c:pt>
                <c:pt idx="25">
                  <c:v>124.40212501256562</c:v>
                </c:pt>
                <c:pt idx="26">
                  <c:v>129.33754789211702</c:v>
                </c:pt>
                <c:pt idx="27">
                  <c:v>134.14790172525653</c:v>
                </c:pt>
                <c:pt idx="28">
                  <c:v>139.04338035354198</c:v>
                </c:pt>
                <c:pt idx="29">
                  <c:v>143.996924539274</c:v>
                </c:pt>
                <c:pt idx="30">
                  <c:v>148.9871806449263</c:v>
                </c:pt>
                <c:pt idx="31">
                  <c:v>153.96795929891204</c:v>
                </c:pt>
                <c:pt idx="32">
                  <c:v>158.94339646563418</c:v>
                </c:pt>
                <c:pt idx="33">
                  <c:v>163.94067322402969</c:v>
                </c:pt>
                <c:pt idx="34">
                  <c:v>168.93839260390686</c:v>
                </c:pt>
                <c:pt idx="35">
                  <c:v>173.93167999799905</c:v>
                </c:pt>
                <c:pt idx="36">
                  <c:v>178.92895675639457</c:v>
                </c:pt>
                <c:pt idx="37">
                  <c:v>183.92450267250825</c:v>
                </c:pt>
                <c:pt idx="38">
                  <c:v>188.87326049644753</c:v>
                </c:pt>
                <c:pt idx="39">
                  <c:v>193.84498444292726</c:v>
                </c:pt>
                <c:pt idx="40">
                  <c:v>198.84486194142659</c:v>
                </c:pt>
                <c:pt idx="41">
                  <c:v>203.83626965869433</c:v>
                </c:pt>
                <c:pt idx="42">
                  <c:v>208.74538352985275</c:v>
                </c:pt>
                <c:pt idx="43">
                  <c:v>213.64639362982189</c:v>
                </c:pt>
                <c:pt idx="44">
                  <c:v>218.63154909379693</c:v>
                </c:pt>
                <c:pt idx="45">
                  <c:v>223.63154659379632</c:v>
                </c:pt>
                <c:pt idx="46">
                  <c:v>228.57752586993564</c:v>
                </c:pt>
                <c:pt idx="47">
                  <c:v>233.55741502532857</c:v>
                </c:pt>
                <c:pt idx="48">
                  <c:v>238.54804264117007</c:v>
                </c:pt>
                <c:pt idx="49">
                  <c:v>243.51669628174514</c:v>
                </c:pt>
                <c:pt idx="50">
                  <c:v>248.47785703302102</c:v>
                </c:pt>
                <c:pt idx="51">
                  <c:v>253.47778943256404</c:v>
                </c:pt>
                <c:pt idx="52">
                  <c:v>258.47750852467311</c:v>
                </c:pt>
                <c:pt idx="53">
                  <c:v>263.46559182389734</c:v>
                </c:pt>
                <c:pt idx="54">
                  <c:v>268.45729053275386</c:v>
                </c:pt>
                <c:pt idx="55">
                  <c:v>273.30917016852385</c:v>
                </c:pt>
                <c:pt idx="56">
                  <c:v>278.22473473426805</c:v>
                </c:pt>
                <c:pt idx="57">
                  <c:v>283.13307365899607</c:v>
                </c:pt>
                <c:pt idx="58">
                  <c:v>288.11639945609181</c:v>
                </c:pt>
                <c:pt idx="59">
                  <c:v>292.5502780065259</c:v>
                </c:pt>
                <c:pt idx="60">
                  <c:v>297.38153622773495</c:v>
                </c:pt>
                <c:pt idx="61">
                  <c:v>302.37907071986206</c:v>
                </c:pt>
                <c:pt idx="62">
                  <c:v>307.37905381983347</c:v>
                </c:pt>
                <c:pt idx="63">
                  <c:v>312.32414016892795</c:v>
                </c:pt>
                <c:pt idx="64">
                  <c:v>317.2718829876282</c:v>
                </c:pt>
                <c:pt idx="65">
                  <c:v>322.25672792002075</c:v>
                </c:pt>
                <c:pt idx="66">
                  <c:v>327.24970048153159</c:v>
                </c:pt>
                <c:pt idx="67">
                  <c:v>332.24964758125174</c:v>
                </c:pt>
                <c:pt idx="68">
                  <c:v>337.21105867085117</c:v>
                </c:pt>
                <c:pt idx="69">
                  <c:v>342.21100107051939</c:v>
                </c:pt>
                <c:pt idx="70">
                  <c:v>347.18229617340751</c:v>
                </c:pt>
                <c:pt idx="71">
                  <c:v>352.13018461192348</c:v>
                </c:pt>
                <c:pt idx="72">
                  <c:v>356.96986063413823</c:v>
                </c:pt>
                <c:pt idx="73">
                  <c:v>361.93737902866883</c:v>
                </c:pt>
                <c:pt idx="74">
                  <c:v>366.93576586844023</c:v>
                </c:pt>
                <c:pt idx="75">
                  <c:v>371.9357654684402</c:v>
                </c:pt>
                <c:pt idx="76">
                  <c:v>376.90023673938128</c:v>
                </c:pt>
                <c:pt idx="77">
                  <c:v>381.89599133703717</c:v>
                </c:pt>
                <c:pt idx="78">
                  <c:v>386.89430105133061</c:v>
                </c:pt>
                <c:pt idx="79">
                  <c:v>391.87688180832794</c:v>
                </c:pt>
                <c:pt idx="80">
                  <c:v>396.87381836986242</c:v>
                </c:pt>
                <c:pt idx="81">
                  <c:v>401.86363189343223</c:v>
                </c:pt>
                <c:pt idx="82">
                  <c:v>406.83228553400727</c:v>
                </c:pt>
                <c:pt idx="83">
                  <c:v>411.77811650564382</c:v>
                </c:pt>
                <c:pt idx="84">
                  <c:v>416.77809090557827</c:v>
                </c:pt>
                <c:pt idx="85">
                  <c:v>421.75566772567856</c:v>
                </c:pt>
                <c:pt idx="86">
                  <c:v>426.73816469005294</c:v>
                </c:pt>
                <c:pt idx="87">
                  <c:v>431.72891453351332</c:v>
                </c:pt>
                <c:pt idx="88">
                  <c:v>436.71149529051064</c:v>
                </c:pt>
                <c:pt idx="89">
                  <c:v>441.67164649788322</c:v>
                </c:pt>
                <c:pt idx="90">
                  <c:v>446.67162399783257</c:v>
                </c:pt>
                <c:pt idx="91">
                  <c:v>451.59321682942681</c:v>
                </c:pt>
                <c:pt idx="92">
                  <c:v>456.59157816090334</c:v>
                </c:pt>
                <c:pt idx="93">
                  <c:v>461.56819458172583</c:v>
                </c:pt>
                <c:pt idx="94">
                  <c:v>466.56819368172575</c:v>
                </c:pt>
                <c:pt idx="95">
                  <c:v>471.55729179661586</c:v>
                </c:pt>
                <c:pt idx="96">
                  <c:v>476.51944898880555</c:v>
                </c:pt>
                <c:pt idx="97">
                  <c:v>481.50718394567724</c:v>
                </c:pt>
                <c:pt idx="98">
                  <c:v>486.5027298617909</c:v>
                </c:pt>
                <c:pt idx="99">
                  <c:v>491.44826360447229</c:v>
                </c:pt>
                <c:pt idx="100">
                  <c:v>496.36985643606653</c:v>
                </c:pt>
                <c:pt idx="101">
                  <c:v>501.35252078358178</c:v>
                </c:pt>
                <c:pt idx="102">
                  <c:v>506.35236868126827</c:v>
                </c:pt>
                <c:pt idx="103">
                  <c:v>511.19385595275821</c:v>
                </c:pt>
                <c:pt idx="104">
                  <c:v>516.09344685404778</c:v>
                </c:pt>
                <c:pt idx="105">
                  <c:v>521.090886198352</c:v>
                </c:pt>
                <c:pt idx="106">
                  <c:v>526.08851403563642</c:v>
                </c:pt>
                <c:pt idx="107">
                  <c:v>531.02949005257881</c:v>
                </c:pt>
                <c:pt idx="108">
                  <c:v>535.97694101241666</c:v>
                </c:pt>
                <c:pt idx="109">
                  <c:v>540.84896564289636</c:v>
                </c:pt>
                <c:pt idx="110">
                  <c:v>545.66522466832271</c:v>
                </c:pt>
                <c:pt idx="111">
                  <c:v>550.5999966995314</c:v>
                </c:pt>
                <c:pt idx="112">
                  <c:v>555.58068731429557</c:v>
                </c:pt>
                <c:pt idx="113">
                  <c:v>560.49699477010017</c:v>
                </c:pt>
                <c:pt idx="114">
                  <c:v>565.47777342408585</c:v>
                </c:pt>
                <c:pt idx="115">
                  <c:v>570.46421263458467</c:v>
                </c:pt>
                <c:pt idx="116">
                  <c:v>575.39947311403262</c:v>
                </c:pt>
                <c:pt idx="117">
                  <c:v>580.33489599358404</c:v>
                </c:pt>
                <c:pt idx="118">
                  <c:v>585.18925444759202</c:v>
                </c:pt>
                <c:pt idx="119">
                  <c:v>590.17266201671578</c:v>
                </c:pt>
                <c:pt idx="120">
                  <c:v>594.43493887304498</c:v>
                </c:pt>
                <c:pt idx="121">
                  <c:v>599.4176032205603</c:v>
                </c:pt>
                <c:pt idx="122">
                  <c:v>604.35996611698943</c:v>
                </c:pt>
                <c:pt idx="123">
                  <c:v>609.34312776397621</c:v>
                </c:pt>
                <c:pt idx="124">
                  <c:v>614.3422251825109</c:v>
                </c:pt>
                <c:pt idx="125">
                  <c:v>619.29424689086397</c:v>
                </c:pt>
                <c:pt idx="126">
                  <c:v>624.25376047588418</c:v>
                </c:pt>
                <c:pt idx="127">
                  <c:v>629.23506311676033</c:v>
                </c:pt>
                <c:pt idx="128">
                  <c:v>634.03564599803622</c:v>
                </c:pt>
                <c:pt idx="129">
                  <c:v>639.03225925103072</c:v>
                </c:pt>
                <c:pt idx="130">
                  <c:v>644.00430269412334</c:v>
                </c:pt>
                <c:pt idx="131">
                  <c:v>648.83953495328103</c:v>
                </c:pt>
                <c:pt idx="132">
                  <c:v>653.81242143901545</c:v>
                </c:pt>
                <c:pt idx="133">
                  <c:v>658.81225333618954</c:v>
                </c:pt>
                <c:pt idx="134">
                  <c:v>663.77502665359987</c:v>
                </c:pt>
                <c:pt idx="135">
                  <c:v>667.90048117401352</c:v>
                </c:pt>
                <c:pt idx="136">
                  <c:v>672.6990200141189</c:v>
                </c:pt>
                <c:pt idx="137">
                  <c:v>677.69694598395881</c:v>
                </c:pt>
                <c:pt idx="138">
                  <c:v>682.68516721000719</c:v>
                </c:pt>
                <c:pt idx="139">
                  <c:v>687.67715188546447</c:v>
                </c:pt>
                <c:pt idx="140">
                  <c:v>692.64714091965755</c:v>
                </c:pt>
                <c:pt idx="141">
                  <c:v>696.84386297383253</c:v>
                </c:pt>
                <c:pt idx="142">
                  <c:v>701.8436129675822</c:v>
                </c:pt>
                <c:pt idx="143">
                  <c:v>706.27331261880011</c:v>
                </c:pt>
                <c:pt idx="144">
                  <c:v>711.18681686729735</c:v>
                </c:pt>
                <c:pt idx="145">
                  <c:v>716.17913807090599</c:v>
                </c:pt>
                <c:pt idx="146">
                  <c:v>721.17899366882079</c:v>
                </c:pt>
                <c:pt idx="147">
                  <c:v>726.0841989652381</c:v>
                </c:pt>
                <c:pt idx="148">
                  <c:v>731.04268169688089</c:v>
                </c:pt>
                <c:pt idx="149">
                  <c:v>735.89777953317628</c:v>
                </c:pt>
                <c:pt idx="150">
                  <c:v>740.8211539857241</c:v>
                </c:pt>
                <c:pt idx="151">
                  <c:v>745.7441737906812</c:v>
                </c:pt>
                <c:pt idx="152">
                  <c:v>750.66648178592084</c:v>
                </c:pt>
                <c:pt idx="153">
                  <c:v>755.66513600480812</c:v>
                </c:pt>
                <c:pt idx="154">
                  <c:v>760.59990803601693</c:v>
                </c:pt>
                <c:pt idx="155">
                  <c:v>765.11118989375984</c:v>
                </c:pt>
                <c:pt idx="156">
                  <c:v>769.75195265434138</c:v>
                </c:pt>
                <c:pt idx="157">
                  <c:v>774.73411242697011</c:v>
                </c:pt>
                <c:pt idx="158">
                  <c:v>779.4512128075005</c:v>
                </c:pt>
                <c:pt idx="159">
                  <c:v>784.18931274312877</c:v>
                </c:pt>
                <c:pt idx="160">
                  <c:v>788.64432116062926</c:v>
                </c:pt>
                <c:pt idx="161">
                  <c:v>793.506465132171</c:v>
                </c:pt>
                <c:pt idx="162">
                  <c:v>798.50542462390524</c:v>
                </c:pt>
                <c:pt idx="163">
                  <c:v>803.5023961067136</c:v>
                </c:pt>
                <c:pt idx="164">
                  <c:v>808.24284967151095</c:v>
                </c:pt>
                <c:pt idx="165">
                  <c:v>813.24272717001031</c:v>
                </c:pt>
                <c:pt idx="166">
                  <c:v>818.24121404105438</c:v>
                </c:pt>
                <c:pt idx="167">
                  <c:v>823.23325530690943</c:v>
                </c:pt>
              </c:numCache>
            </c:numRef>
          </c:xVal>
          <c:yVal>
            <c:numRef>
              <c:f>KUM0203_RST5m!$N$4:$N$171</c:f>
              <c:numCache>
                <c:formatCode>0.0</c:formatCode>
                <c:ptCount val="168"/>
                <c:pt idx="0">
                  <c:v>-0.9839999999999236</c:v>
                </c:pt>
                <c:pt idx="1">
                  <c:v>-0.96199999999998909</c:v>
                </c:pt>
                <c:pt idx="2">
                  <c:v>-0.75</c:v>
                </c:pt>
                <c:pt idx="3">
                  <c:v>-1.0760000000000218</c:v>
                </c:pt>
                <c:pt idx="4">
                  <c:v>-1.418999999999869</c:v>
                </c:pt>
                <c:pt idx="5">
                  <c:v>-0.9839999999999236</c:v>
                </c:pt>
                <c:pt idx="6">
                  <c:v>-1.2539999999999054</c:v>
                </c:pt>
                <c:pt idx="7">
                  <c:v>-1.3670000000001892</c:v>
                </c:pt>
                <c:pt idx="8">
                  <c:v>-1.3119999999998981</c:v>
                </c:pt>
                <c:pt idx="9">
                  <c:v>-0.93100000000004002</c:v>
                </c:pt>
                <c:pt idx="10">
                  <c:v>-1.2260000000001128</c:v>
                </c:pt>
                <c:pt idx="11">
                  <c:v>-0.57000000000016371</c:v>
                </c:pt>
                <c:pt idx="12">
                  <c:v>-0.3340000000002874</c:v>
                </c:pt>
                <c:pt idx="13">
                  <c:v>-0.22499999999990905</c:v>
                </c:pt>
                <c:pt idx="14">
                  <c:v>-1.1050000000000182</c:v>
                </c:pt>
                <c:pt idx="15">
                  <c:v>-0.65000000000009095</c:v>
                </c:pt>
                <c:pt idx="16">
                  <c:v>0</c:v>
                </c:pt>
                <c:pt idx="17">
                  <c:v>-0.6089999999999236</c:v>
                </c:pt>
                <c:pt idx="18">
                  <c:v>-1.2590000000000146</c:v>
                </c:pt>
                <c:pt idx="19">
                  <c:v>-0.87600000000020373</c:v>
                </c:pt>
                <c:pt idx="20">
                  <c:v>-1.3200000000001637</c:v>
                </c:pt>
                <c:pt idx="21">
                  <c:v>-1.7710000000001855</c:v>
                </c:pt>
                <c:pt idx="22">
                  <c:v>-2.9510000000000218</c:v>
                </c:pt>
                <c:pt idx="23">
                  <c:v>-2.5160000000000764</c:v>
                </c:pt>
                <c:pt idx="24">
                  <c:v>-2.0160000000000764</c:v>
                </c:pt>
                <c:pt idx="25">
                  <c:v>-2.3139999999998508</c:v>
                </c:pt>
                <c:pt idx="26">
                  <c:v>-3.1150000000002365</c:v>
                </c:pt>
                <c:pt idx="27">
                  <c:v>-4.4790000000002692</c:v>
                </c:pt>
                <c:pt idx="28">
                  <c:v>-3.4619999999999891</c:v>
                </c:pt>
                <c:pt idx="29">
                  <c:v>-4.1420000000002801</c:v>
                </c:pt>
                <c:pt idx="30">
                  <c:v>-4.4540000000001783</c:v>
                </c:pt>
                <c:pt idx="31">
                  <c:v>-4.8920000000002801</c:v>
                </c:pt>
                <c:pt idx="32">
                  <c:v>-5.387000000000171</c:v>
                </c:pt>
                <c:pt idx="33">
                  <c:v>-5.5520000000001346</c:v>
                </c:pt>
                <c:pt idx="34">
                  <c:v>-5.4009999999998399</c:v>
                </c:pt>
                <c:pt idx="35">
                  <c:v>-5.6599999999998545</c:v>
                </c:pt>
                <c:pt idx="36">
                  <c:v>-5.8250000000002728</c:v>
                </c:pt>
                <c:pt idx="37">
                  <c:v>-6.0360000000000582</c:v>
                </c:pt>
                <c:pt idx="38">
                  <c:v>-5.3220000000001164</c:v>
                </c:pt>
                <c:pt idx="39">
                  <c:v>-5.8530000000000655</c:v>
                </c:pt>
                <c:pt idx="40">
                  <c:v>-5.88799999999992</c:v>
                </c:pt>
                <c:pt idx="41">
                  <c:v>-6.18100000000004</c:v>
                </c:pt>
                <c:pt idx="42">
                  <c:v>-5.2319999999999709</c:v>
                </c:pt>
                <c:pt idx="43">
                  <c:v>-6.2220000000002074</c:v>
                </c:pt>
                <c:pt idx="44">
                  <c:v>-6.6069999999999709</c:v>
                </c:pt>
                <c:pt idx="45">
                  <c:v>-6.61200000000008</c:v>
                </c:pt>
                <c:pt idx="46">
                  <c:v>-7.3450000000002547</c:v>
                </c:pt>
                <c:pt idx="47">
                  <c:v>-7.7930000000001201</c:v>
                </c:pt>
                <c:pt idx="48">
                  <c:v>-8.0990000000001601</c:v>
                </c:pt>
                <c:pt idx="49">
                  <c:v>-7.5399999999999636</c:v>
                </c:pt>
                <c:pt idx="50">
                  <c:v>-6.9180000000001201</c:v>
                </c:pt>
                <c:pt idx="51">
                  <c:v>-6.8920000000002801</c:v>
                </c:pt>
                <c:pt idx="52">
                  <c:v>-6.9450000000001637</c:v>
                </c:pt>
                <c:pt idx="53">
                  <c:v>-6.5999999999999091</c:v>
                </c:pt>
                <c:pt idx="54">
                  <c:v>-6.88799999999992</c:v>
                </c:pt>
                <c:pt idx="55">
                  <c:v>-8.0960000000000036</c:v>
                </c:pt>
                <c:pt idx="56">
                  <c:v>-9.0109999999999673</c:v>
                </c:pt>
                <c:pt idx="57">
                  <c:v>-9.9639999999999418</c:v>
                </c:pt>
                <c:pt idx="58">
                  <c:v>-9.55600000000004</c:v>
                </c:pt>
                <c:pt idx="59">
                  <c:v>-7.2449999999998909</c:v>
                </c:pt>
                <c:pt idx="60">
                  <c:v>-5.9569999999998799</c:v>
                </c:pt>
                <c:pt idx="61">
                  <c:v>-5.8000000000001819</c:v>
                </c:pt>
                <c:pt idx="62">
                  <c:v>-5.7870000000002619</c:v>
                </c:pt>
                <c:pt idx="63">
                  <c:v>-6.5259999999998399</c:v>
                </c:pt>
                <c:pt idx="64">
                  <c:v>-7.2469999999998436</c:v>
                </c:pt>
                <c:pt idx="65">
                  <c:v>-7.6359999999999673</c:v>
                </c:pt>
                <c:pt idx="66">
                  <c:v>-7.3710000000000946</c:v>
                </c:pt>
                <c:pt idx="67">
                  <c:v>-7.3940000000002328</c:v>
                </c:pt>
                <c:pt idx="68">
                  <c:v>-8.0140000000001237</c:v>
                </c:pt>
                <c:pt idx="69">
                  <c:v>-7.9900000000002365</c:v>
                </c:pt>
                <c:pt idx="70">
                  <c:v>-7.4549999999999272</c:v>
                </c:pt>
                <c:pt idx="71">
                  <c:v>-6.7350000000001273</c:v>
                </c:pt>
                <c:pt idx="72">
                  <c:v>-7.9909999999999854</c:v>
                </c:pt>
                <c:pt idx="73">
                  <c:v>-8.5599999999999454</c:v>
                </c:pt>
                <c:pt idx="74">
                  <c:v>-8.4329999999999927</c:v>
                </c:pt>
                <c:pt idx="75">
                  <c:v>-8.4349999999999454</c:v>
                </c:pt>
                <c:pt idx="76">
                  <c:v>-9.0300000000002001</c:v>
                </c:pt>
                <c:pt idx="77">
                  <c:v>-8.8240000000000691</c:v>
                </c:pt>
                <c:pt idx="78">
                  <c:v>-8.69399999999996</c:v>
                </c:pt>
                <c:pt idx="79">
                  <c:v>-9.1109999999998763</c:v>
                </c:pt>
                <c:pt idx="80">
                  <c:v>-9.2860000000000582</c:v>
                </c:pt>
                <c:pt idx="81">
                  <c:v>-8.9670000000000982</c:v>
                </c:pt>
                <c:pt idx="82">
                  <c:v>-8.4079999999999018</c:v>
                </c:pt>
                <c:pt idx="83">
                  <c:v>-9.1420000000002801</c:v>
                </c:pt>
                <c:pt idx="84">
                  <c:v>-9.1260000000002037</c:v>
                </c:pt>
                <c:pt idx="85">
                  <c:v>-9.5990000000001601</c:v>
                </c:pt>
                <c:pt idx="86">
                  <c:v>-9.18100000000004</c:v>
                </c:pt>
                <c:pt idx="87">
                  <c:v>-9.4850000000001273</c:v>
                </c:pt>
                <c:pt idx="88">
                  <c:v>-9.9020000000000437</c:v>
                </c:pt>
                <c:pt idx="89">
                  <c:v>-9.2719999999999345</c:v>
                </c:pt>
                <c:pt idx="90">
                  <c:v>-9.2870000000002619</c:v>
                </c:pt>
                <c:pt idx="91">
                  <c:v>-8.4050000000002001</c:v>
                </c:pt>
                <c:pt idx="92">
                  <c:v>-8.2770000000000437</c:v>
                </c:pt>
                <c:pt idx="93">
                  <c:v>-8.7600000000002183</c:v>
                </c:pt>
                <c:pt idx="94">
                  <c:v>-8.7570000000000618</c:v>
                </c:pt>
                <c:pt idx="95">
                  <c:v>-9.0869999999999891</c:v>
                </c:pt>
                <c:pt idx="96">
                  <c:v>-9.7010000000000218</c:v>
                </c:pt>
                <c:pt idx="97">
                  <c:v>-10.050999999999931</c:v>
                </c:pt>
                <c:pt idx="98">
                  <c:v>-9.8400000000001455</c:v>
                </c:pt>
                <c:pt idx="99">
                  <c:v>-10.576000000000022</c:v>
                </c:pt>
                <c:pt idx="100">
                  <c:v>-9.69399999999996</c:v>
                </c:pt>
                <c:pt idx="101">
                  <c:v>-10.110000000000127</c:v>
                </c:pt>
                <c:pt idx="102">
                  <c:v>-10.070999999999913</c:v>
                </c:pt>
                <c:pt idx="103">
                  <c:v>-11.320000000000164</c:v>
                </c:pt>
                <c:pt idx="104">
                  <c:v>-10.322999999999865</c:v>
                </c:pt>
                <c:pt idx="105">
                  <c:v>-10.483000000000175</c:v>
                </c:pt>
                <c:pt idx="106">
                  <c:v>-10.637000000000171</c:v>
                </c:pt>
                <c:pt idx="107">
                  <c:v>-9.8710000000000946</c:v>
                </c:pt>
                <c:pt idx="108">
                  <c:v>-10.594000000000051</c:v>
                </c:pt>
                <c:pt idx="109">
                  <c:v>-11.717999999999847</c:v>
                </c:pt>
                <c:pt idx="110">
                  <c:v>-10.375</c:v>
                </c:pt>
                <c:pt idx="111">
                  <c:v>-11.180000000000291</c:v>
                </c:pt>
                <c:pt idx="112">
                  <c:v>-10.740999999999985</c:v>
                </c:pt>
                <c:pt idx="113">
                  <c:v>-9.8299999999999272</c:v>
                </c:pt>
                <c:pt idx="114">
                  <c:v>-10.268000000000029</c:v>
                </c:pt>
                <c:pt idx="115">
                  <c:v>-10.635999999999967</c:v>
                </c:pt>
                <c:pt idx="116">
                  <c:v>-9.8340000000002874</c:v>
                </c:pt>
                <c:pt idx="117">
                  <c:v>-10.635000000000218</c:v>
                </c:pt>
                <c:pt idx="118">
                  <c:v>-9.4369999999998981</c:v>
                </c:pt>
                <c:pt idx="119">
                  <c:v>-9.8440000000000509</c:v>
                </c:pt>
                <c:pt idx="120">
                  <c:v>-7.2300000000000182</c:v>
                </c:pt>
                <c:pt idx="121">
                  <c:v>-7.6460000000001855</c:v>
                </c:pt>
                <c:pt idx="122">
                  <c:v>-8.4030000000002474</c:v>
                </c:pt>
                <c:pt idx="123">
                  <c:v>-8.8130000000001019</c:v>
                </c:pt>
                <c:pt idx="124">
                  <c:v>-8.7179999999998472</c:v>
                </c:pt>
                <c:pt idx="125">
                  <c:v>-9.4090000000001055</c:v>
                </c:pt>
                <c:pt idx="126">
                  <c:v>-8.7739999999998872</c:v>
                </c:pt>
                <c:pt idx="127">
                  <c:v>-8.3420000000000982</c:v>
                </c:pt>
                <c:pt idx="128">
                  <c:v>-9.7400000000002365</c:v>
                </c:pt>
                <c:pt idx="129">
                  <c:v>-9.55600000000004</c:v>
                </c:pt>
                <c:pt idx="130">
                  <c:v>-9.0280000000002474</c:v>
                </c:pt>
                <c:pt idx="131">
                  <c:v>-7.7550000000001091</c:v>
                </c:pt>
                <c:pt idx="132">
                  <c:v>-7.2350000000001273</c:v>
                </c:pt>
                <c:pt idx="133">
                  <c:v>-7.19399999999996</c:v>
                </c:pt>
                <c:pt idx="134">
                  <c:v>-6.5850000000000364</c:v>
                </c:pt>
                <c:pt idx="135">
                  <c:v>-9.4099999999998545</c:v>
                </c:pt>
                <c:pt idx="136">
                  <c:v>-10.815000000000055</c:v>
                </c:pt>
                <c:pt idx="137">
                  <c:v>-10.959000000000287</c:v>
                </c:pt>
                <c:pt idx="138">
                  <c:v>-10.615999999999985</c:v>
                </c:pt>
                <c:pt idx="139">
                  <c:v>-10.898999999999887</c:v>
                </c:pt>
                <c:pt idx="140">
                  <c:v>-10.351999999999862</c:v>
                </c:pt>
                <c:pt idx="141">
                  <c:v>-13.070000000000164</c:v>
                </c:pt>
                <c:pt idx="142">
                  <c:v>-13.119999999999891</c:v>
                </c:pt>
                <c:pt idx="143">
                  <c:v>-10.800999999999931</c:v>
                </c:pt>
                <c:pt idx="144">
                  <c:v>-11.726999999999862</c:v>
                </c:pt>
                <c:pt idx="145">
                  <c:v>-11.450000000000273</c:v>
                </c:pt>
                <c:pt idx="146">
                  <c:v>-11.488000000000284</c:v>
                </c:pt>
                <c:pt idx="147">
                  <c:v>-12.45699999999988</c:v>
                </c:pt>
                <c:pt idx="148">
                  <c:v>-13.099999999999909</c:v>
                </c:pt>
                <c:pt idx="149">
                  <c:v>-14.295000000000073</c:v>
                </c:pt>
                <c:pt idx="150">
                  <c:v>-15.166999999999916</c:v>
                </c:pt>
                <c:pt idx="151">
                  <c:v>-16.041000000000167</c:v>
                </c:pt>
                <c:pt idx="152">
                  <c:v>-16.918999999999869</c:v>
                </c:pt>
                <c:pt idx="153">
                  <c:v>-17.034999999999854</c:v>
                </c:pt>
                <c:pt idx="154">
                  <c:v>-16.230000000000018</c:v>
                </c:pt>
                <c:pt idx="155">
                  <c:v>-18.385999999999967</c:v>
                </c:pt>
                <c:pt idx="156">
                  <c:v>-20.246999999999844</c:v>
                </c:pt>
                <c:pt idx="157">
                  <c:v>-20.668999999999869</c:v>
                </c:pt>
                <c:pt idx="158">
                  <c:v>-19.010999999999967</c:v>
                </c:pt>
                <c:pt idx="159">
                  <c:v>-17.414000000000215</c:v>
                </c:pt>
                <c:pt idx="160">
                  <c:v>-19.684000000000196</c:v>
                </c:pt>
                <c:pt idx="161">
                  <c:v>-18.518000000000029</c:v>
                </c:pt>
                <c:pt idx="162">
                  <c:v>-18.416000000000167</c:v>
                </c:pt>
                <c:pt idx="163">
                  <c:v>-18.590000000000146</c:v>
                </c:pt>
                <c:pt idx="164">
                  <c:v>-20.180000000000291</c:v>
                </c:pt>
                <c:pt idx="165">
                  <c:v>-20.215000000000146</c:v>
                </c:pt>
                <c:pt idx="166">
                  <c:v>-20.092000000000098</c:v>
                </c:pt>
                <c:pt idx="167">
                  <c:v>-20.374000000000251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D9-4283-9FBC-7A1391D0E81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KUM0203_RST5m!$O$126:$O$150</c:f>
              <c:numCache>
                <c:formatCode>0.0</c:formatCode>
                <c:ptCount val="25"/>
                <c:pt idx="0">
                  <c:v>604.34312776397621</c:v>
                </c:pt>
                <c:pt idx="1">
                  <c:v>609.34312776397621</c:v>
                </c:pt>
                <c:pt idx="2">
                  <c:v>614.3422251825109</c:v>
                </c:pt>
                <c:pt idx="3">
                  <c:v>619.29424689086397</c:v>
                </c:pt>
                <c:pt idx="4">
                  <c:v>624.25376047588418</c:v>
                </c:pt>
                <c:pt idx="5">
                  <c:v>629.23506311676033</c:v>
                </c:pt>
                <c:pt idx="6">
                  <c:v>634.03564599803622</c:v>
                </c:pt>
                <c:pt idx="7">
                  <c:v>639.03225925103072</c:v>
                </c:pt>
                <c:pt idx="8">
                  <c:v>644.00430269412334</c:v>
                </c:pt>
                <c:pt idx="9">
                  <c:v>648.83953495328103</c:v>
                </c:pt>
                <c:pt idx="10">
                  <c:v>653.81242143901545</c:v>
                </c:pt>
                <c:pt idx="11">
                  <c:v>658.81225333618954</c:v>
                </c:pt>
                <c:pt idx="12">
                  <c:v>663.77502665359987</c:v>
                </c:pt>
                <c:pt idx="13">
                  <c:v>667.90048117401352</c:v>
                </c:pt>
                <c:pt idx="14">
                  <c:v>672.6990200141189</c:v>
                </c:pt>
                <c:pt idx="15">
                  <c:v>677.69694598395881</c:v>
                </c:pt>
                <c:pt idx="16">
                  <c:v>682.68516721000719</c:v>
                </c:pt>
                <c:pt idx="17">
                  <c:v>687.67715188546447</c:v>
                </c:pt>
                <c:pt idx="18">
                  <c:v>692.64714091965755</c:v>
                </c:pt>
                <c:pt idx="19">
                  <c:v>696.84386297383253</c:v>
                </c:pt>
                <c:pt idx="20">
                  <c:v>701.8436129675822</c:v>
                </c:pt>
                <c:pt idx="21">
                  <c:v>706.27331261880011</c:v>
                </c:pt>
                <c:pt idx="22">
                  <c:v>711.18681686729735</c:v>
                </c:pt>
                <c:pt idx="23">
                  <c:v>716.17913807090599</c:v>
                </c:pt>
                <c:pt idx="24">
                  <c:v>721.17899366882079</c:v>
                </c:pt>
              </c:numCache>
            </c:numRef>
          </c:xVal>
          <c:yVal>
            <c:numRef>
              <c:f>KUM0203_RST5m!$P$126:$P$150</c:f>
              <c:numCache>
                <c:formatCode>0.0</c:formatCode>
                <c:ptCount val="25"/>
                <c:pt idx="0">
                  <c:v>-8.4030000000002474</c:v>
                </c:pt>
                <c:pt idx="1">
                  <c:v>-8.8130000000001019</c:v>
                </c:pt>
                <c:pt idx="2">
                  <c:v>-8.7179999999998472</c:v>
                </c:pt>
                <c:pt idx="3">
                  <c:v>-9.4090000000001055</c:v>
                </c:pt>
                <c:pt idx="4">
                  <c:v>-8.7739999999998872</c:v>
                </c:pt>
                <c:pt idx="5">
                  <c:v>-8.3420000000000982</c:v>
                </c:pt>
                <c:pt idx="6">
                  <c:v>-9.7400000000002365</c:v>
                </c:pt>
                <c:pt idx="7">
                  <c:v>-9.55600000000004</c:v>
                </c:pt>
                <c:pt idx="8">
                  <c:v>-9.0280000000002474</c:v>
                </c:pt>
                <c:pt idx="9">
                  <c:v>-7.7550000000001091</c:v>
                </c:pt>
                <c:pt idx="10">
                  <c:v>-7.2350000000001273</c:v>
                </c:pt>
                <c:pt idx="11">
                  <c:v>-7.19399999999996</c:v>
                </c:pt>
                <c:pt idx="12">
                  <c:v>-6.5850000000000364</c:v>
                </c:pt>
                <c:pt idx="13">
                  <c:v>-9.4099999999998545</c:v>
                </c:pt>
                <c:pt idx="14">
                  <c:v>-10.815000000000055</c:v>
                </c:pt>
                <c:pt idx="15">
                  <c:v>-10.959000000000287</c:v>
                </c:pt>
                <c:pt idx="16">
                  <c:v>-10.615999999999985</c:v>
                </c:pt>
                <c:pt idx="17">
                  <c:v>-10.898999999999887</c:v>
                </c:pt>
                <c:pt idx="18">
                  <c:v>-10.351999999999862</c:v>
                </c:pt>
                <c:pt idx="19">
                  <c:v>-13.070000000000164</c:v>
                </c:pt>
                <c:pt idx="20">
                  <c:v>-13.119999999999891</c:v>
                </c:pt>
                <c:pt idx="21">
                  <c:v>-10.800999999999931</c:v>
                </c:pt>
                <c:pt idx="22">
                  <c:v>-11.726999999999862</c:v>
                </c:pt>
                <c:pt idx="23">
                  <c:v>-11.450000000000273</c:v>
                </c:pt>
                <c:pt idx="24">
                  <c:v>-11.488000000000284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9-4283-9FBC-7A1391D0E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736159"/>
        <c:axId val="1303062479"/>
      </c:scatterChart>
      <c:valAx>
        <c:axId val="131073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062479"/>
        <c:crosses val="autoZero"/>
        <c:crossBetween val="midCat"/>
      </c:valAx>
      <c:valAx>
        <c:axId val="130306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73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KUM0203_RST2m!$K$125:$K$153</c:f>
              <c:numCache>
                <c:formatCode>0.0</c:formatCode>
                <c:ptCount val="29"/>
                <c:pt idx="0">
                  <c:v>599.4176032205603</c:v>
                </c:pt>
                <c:pt idx="1">
                  <c:v>604.35996611698943</c:v>
                </c:pt>
                <c:pt idx="2">
                  <c:v>609.34312776397621</c:v>
                </c:pt>
                <c:pt idx="3">
                  <c:v>614.3422251825109</c:v>
                </c:pt>
                <c:pt idx="4">
                  <c:v>619.29424689086397</c:v>
                </c:pt>
                <c:pt idx="5">
                  <c:v>624.25376047588418</c:v>
                </c:pt>
                <c:pt idx="6">
                  <c:v>629.23506311676033</c:v>
                </c:pt>
                <c:pt idx="7">
                  <c:v>634.03564599803622</c:v>
                </c:pt>
                <c:pt idx="8">
                  <c:v>639.03225925103072</c:v>
                </c:pt>
                <c:pt idx="9">
                  <c:v>644.00430269412334</c:v>
                </c:pt>
                <c:pt idx="10">
                  <c:v>648.83953495328103</c:v>
                </c:pt>
                <c:pt idx="11">
                  <c:v>653.81242143901545</c:v>
                </c:pt>
                <c:pt idx="12">
                  <c:v>658.81225333618954</c:v>
                </c:pt>
                <c:pt idx="13">
                  <c:v>663.77502665359987</c:v>
                </c:pt>
                <c:pt idx="14">
                  <c:v>667.90048117401352</c:v>
                </c:pt>
                <c:pt idx="15">
                  <c:v>672.6990200141189</c:v>
                </c:pt>
                <c:pt idx="16">
                  <c:v>677.69694598395881</c:v>
                </c:pt>
                <c:pt idx="17">
                  <c:v>682.68516721000719</c:v>
                </c:pt>
                <c:pt idx="18">
                  <c:v>687.67715188546447</c:v>
                </c:pt>
                <c:pt idx="19">
                  <c:v>692.64714091965755</c:v>
                </c:pt>
                <c:pt idx="20">
                  <c:v>696.84386297383253</c:v>
                </c:pt>
                <c:pt idx="21">
                  <c:v>701.8436129675822</c:v>
                </c:pt>
                <c:pt idx="22">
                  <c:v>706.27331261880011</c:v>
                </c:pt>
                <c:pt idx="23">
                  <c:v>711.18681686729735</c:v>
                </c:pt>
                <c:pt idx="24">
                  <c:v>716.17913807090599</c:v>
                </c:pt>
                <c:pt idx="25">
                  <c:v>721.17899366882079</c:v>
                </c:pt>
                <c:pt idx="26">
                  <c:v>726.0841989652381</c:v>
                </c:pt>
                <c:pt idx="27">
                  <c:v>731.04268169688089</c:v>
                </c:pt>
                <c:pt idx="28">
                  <c:v>735.89777953317628</c:v>
                </c:pt>
              </c:numCache>
            </c:numRef>
          </c:xVal>
          <c:yVal>
            <c:numRef>
              <c:f>KUM0203_RST2m!$L$125:$L$153</c:f>
              <c:numCache>
                <c:formatCode>0.0</c:formatCode>
                <c:ptCount val="29"/>
                <c:pt idx="0">
                  <c:v>-7.6460000000001855</c:v>
                </c:pt>
                <c:pt idx="1">
                  <c:v>-8.4030000000002474</c:v>
                </c:pt>
                <c:pt idx="2">
                  <c:v>-8.8130000000001019</c:v>
                </c:pt>
                <c:pt idx="3">
                  <c:v>-8.7179999999998472</c:v>
                </c:pt>
                <c:pt idx="4">
                  <c:v>-9.4090000000001055</c:v>
                </c:pt>
                <c:pt idx="5">
                  <c:v>-8.7739999999998872</c:v>
                </c:pt>
                <c:pt idx="6">
                  <c:v>-8.3420000000000982</c:v>
                </c:pt>
                <c:pt idx="7">
                  <c:v>-9.7400000000002365</c:v>
                </c:pt>
                <c:pt idx="8">
                  <c:v>-9.55600000000004</c:v>
                </c:pt>
                <c:pt idx="9">
                  <c:v>-9.0280000000002474</c:v>
                </c:pt>
                <c:pt idx="10">
                  <c:v>-7.7550000000001091</c:v>
                </c:pt>
                <c:pt idx="11">
                  <c:v>-7.2350000000001273</c:v>
                </c:pt>
                <c:pt idx="12">
                  <c:v>-7.19399999999996</c:v>
                </c:pt>
                <c:pt idx="13">
                  <c:v>-6.5850000000000364</c:v>
                </c:pt>
                <c:pt idx="14">
                  <c:v>-9.4099999999998545</c:v>
                </c:pt>
                <c:pt idx="15">
                  <c:v>-10.815000000000055</c:v>
                </c:pt>
                <c:pt idx="16">
                  <c:v>-10.959000000000287</c:v>
                </c:pt>
                <c:pt idx="17">
                  <c:v>-10.615999999999985</c:v>
                </c:pt>
                <c:pt idx="18">
                  <c:v>-10.898999999999887</c:v>
                </c:pt>
                <c:pt idx="19">
                  <c:v>-10.351999999999862</c:v>
                </c:pt>
                <c:pt idx="20">
                  <c:v>-13.070000000000164</c:v>
                </c:pt>
                <c:pt idx="21">
                  <c:v>-13.119999999999891</c:v>
                </c:pt>
                <c:pt idx="22">
                  <c:v>-10.800999999999931</c:v>
                </c:pt>
                <c:pt idx="23">
                  <c:v>-11.726999999999862</c:v>
                </c:pt>
                <c:pt idx="24">
                  <c:v>-11.450000000000273</c:v>
                </c:pt>
                <c:pt idx="25">
                  <c:v>-11.488000000000284</c:v>
                </c:pt>
                <c:pt idx="26">
                  <c:v>-12.45699999999988</c:v>
                </c:pt>
                <c:pt idx="27">
                  <c:v>-13.099999999999909</c:v>
                </c:pt>
                <c:pt idx="28">
                  <c:v>-14.295000000000073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F3-4F34-99E6-60D6960602A9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KUM0203_RST2m!$M$125:$M$152</c:f>
              <c:numCache>
                <c:formatCode>0.0</c:formatCode>
                <c:ptCount val="28"/>
                <c:pt idx="0">
                  <c:v>603.34312776397621</c:v>
                </c:pt>
                <c:pt idx="1">
                  <c:v>606.34312776397621</c:v>
                </c:pt>
                <c:pt idx="2">
                  <c:v>609.34312776397621</c:v>
                </c:pt>
                <c:pt idx="3">
                  <c:v>611.33671749107657</c:v>
                </c:pt>
                <c:pt idx="4">
                  <c:v>613.33631745106857</c:v>
                </c:pt>
                <c:pt idx="5">
                  <c:v>615.33591741106056</c:v>
                </c:pt>
                <c:pt idx="6">
                  <c:v>617.33231416521539</c:v>
                </c:pt>
                <c:pt idx="7">
                  <c:v>619.31261717233326</c:v>
                </c:pt>
                <c:pt idx="8">
                  <c:v>621.29292017945113</c:v>
                </c:pt>
                <c:pt idx="9">
                  <c:v>623.2784679628096</c:v>
                </c:pt>
                <c:pt idx="10">
                  <c:v>625.26401574616818</c:v>
                </c:pt>
                <c:pt idx="11">
                  <c:v>627.25187892053407</c:v>
                </c:pt>
                <c:pt idx="12">
                  <c:v>629.24185379474727</c:v>
                </c:pt>
                <c:pt idx="13">
                  <c:v>631.23182866896047</c:v>
                </c:pt>
                <c:pt idx="14">
                  <c:v>633.15182866896043</c:v>
                </c:pt>
                <c:pt idx="15">
                  <c:v>635.07182866896051</c:v>
                </c:pt>
                <c:pt idx="16">
                  <c:v>637.05485665666015</c:v>
                </c:pt>
                <c:pt idx="17">
                  <c:v>639.05445661665215</c:v>
                </c:pt>
                <c:pt idx="18">
                  <c:v>641.05405657664414</c:v>
                </c:pt>
                <c:pt idx="19">
                  <c:v>643.03960436000273</c:v>
                </c:pt>
                <c:pt idx="20">
                  <c:v>645.0251521433612</c:v>
                </c:pt>
                <c:pt idx="21">
                  <c:v>646.99248536373852</c:v>
                </c:pt>
                <c:pt idx="22">
                  <c:v>648.93403113966042</c:v>
                </c:pt>
                <c:pt idx="23">
                  <c:v>650.87557691558231</c:v>
                </c:pt>
                <c:pt idx="24">
                  <c:v>652.86112469894078</c:v>
                </c:pt>
                <c:pt idx="25">
                  <c:v>654.84667248229937</c:v>
                </c:pt>
                <c:pt idx="26">
                  <c:v>656.8430692364542</c:v>
                </c:pt>
              </c:numCache>
            </c:numRef>
          </c:xVal>
          <c:yVal>
            <c:numRef>
              <c:f>KUM0203_RST2m!$R$125:$R$151</c:f>
              <c:numCache>
                <c:formatCode>0.0</c:formatCode>
                <c:ptCount val="27"/>
                <c:pt idx="0">
                  <c:v>-8.2519999999999527</c:v>
                </c:pt>
                <c:pt idx="1">
                  <c:v>-8.5831020408199947</c:v>
                </c:pt>
                <c:pt idx="2">
                  <c:v>-8.8279999999999745</c:v>
                </c:pt>
                <c:pt idx="3">
                  <c:v>-8.7880000000000109</c:v>
                </c:pt>
                <c:pt idx="4">
                  <c:v>-8.7480000000000473</c:v>
                </c:pt>
                <c:pt idx="5">
                  <c:v>-8.8679999999999382</c:v>
                </c:pt>
                <c:pt idx="6">
                  <c:v>-9.1480000000001382</c:v>
                </c:pt>
                <c:pt idx="7">
                  <c:v>-9.4279999999998836</c:v>
                </c:pt>
                <c:pt idx="8">
                  <c:v>-9.1480000000001382</c:v>
                </c:pt>
                <c:pt idx="9">
                  <c:v>-8.8679999999999382</c:v>
                </c:pt>
                <c:pt idx="10">
                  <c:v>-8.6463673469402238</c:v>
                </c:pt>
                <c:pt idx="11">
                  <c:v>-8.4831020408200857</c:v>
                </c:pt>
                <c:pt idx="12">
                  <c:v>-8.3279999999999745</c:v>
                </c:pt>
                <c:pt idx="13">
                  <c:v>-8.9113333333402807</c:v>
                </c:pt>
                <c:pt idx="14">
                  <c:v>-9.4946666666701276</c:v>
                </c:pt>
                <c:pt idx="15">
                  <c:v>-9.6840000000001965</c:v>
                </c:pt>
                <c:pt idx="16">
                  <c:v>-9.6040000000002692</c:v>
                </c:pt>
                <c:pt idx="17">
                  <c:v>-9.5180000000000291</c:v>
                </c:pt>
                <c:pt idx="18">
                  <c:v>-9.318000000000211</c:v>
                </c:pt>
                <c:pt idx="19">
                  <c:v>-9.1280000000001564</c:v>
                </c:pt>
                <c:pt idx="20">
                  <c:v>-8.7571666666699457</c:v>
                </c:pt>
                <c:pt idx="21">
                  <c:v>-8.2155000000002474</c:v>
                </c:pt>
                <c:pt idx="22">
                  <c:v>-7.7179999999998472</c:v>
                </c:pt>
                <c:pt idx="23">
                  <c:v>-7.5180000000000291</c:v>
                </c:pt>
                <c:pt idx="24">
                  <c:v>-7.318000000000211</c:v>
                </c:pt>
                <c:pt idx="25">
                  <c:v>-7.2280000000000655</c:v>
                </c:pt>
                <c:pt idx="26">
                  <c:v>-7.2280000000000655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F3-4F34-99E6-60D6960602A9}"/>
            </c:ext>
          </c:extLst>
        </c:ser>
        <c:ser>
          <c:idx val="1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KUM0203_RST2m!$S$125:$S$151</c:f>
              <c:numCache>
                <c:formatCode>0.0</c:formatCode>
                <c:ptCount val="27"/>
                <c:pt idx="0">
                  <c:v>603.34312776397621</c:v>
                </c:pt>
                <c:pt idx="1">
                  <c:v>606.34312776397621</c:v>
                </c:pt>
                <c:pt idx="2">
                  <c:v>609.34312776397621</c:v>
                </c:pt>
                <c:pt idx="3">
                  <c:v>611.33671749107657</c:v>
                </c:pt>
                <c:pt idx="4">
                  <c:v>613.33631745106857</c:v>
                </c:pt>
                <c:pt idx="5">
                  <c:v>615.33591741106056</c:v>
                </c:pt>
                <c:pt idx="6">
                  <c:v>617.33231416521539</c:v>
                </c:pt>
                <c:pt idx="7">
                  <c:v>619.31261717233326</c:v>
                </c:pt>
                <c:pt idx="8">
                  <c:v>621.29292017945113</c:v>
                </c:pt>
                <c:pt idx="9">
                  <c:v>623.2784679628096</c:v>
                </c:pt>
                <c:pt idx="10">
                  <c:v>625.26401574616818</c:v>
                </c:pt>
                <c:pt idx="11">
                  <c:v>627.25187892053407</c:v>
                </c:pt>
                <c:pt idx="12">
                  <c:v>629.24185379474727</c:v>
                </c:pt>
                <c:pt idx="13">
                  <c:v>631.23182866896047</c:v>
                </c:pt>
                <c:pt idx="14">
                  <c:v>633.15182866896043</c:v>
                </c:pt>
                <c:pt idx="15">
                  <c:v>635.07182866896051</c:v>
                </c:pt>
                <c:pt idx="16">
                  <c:v>637.05485665666015</c:v>
                </c:pt>
                <c:pt idx="17">
                  <c:v>639.05445661665215</c:v>
                </c:pt>
                <c:pt idx="18">
                  <c:v>641.05405657664414</c:v>
                </c:pt>
                <c:pt idx="19">
                  <c:v>643.03960436000273</c:v>
                </c:pt>
                <c:pt idx="20">
                  <c:v>645.0251521433612</c:v>
                </c:pt>
                <c:pt idx="21">
                  <c:v>646.99248536373852</c:v>
                </c:pt>
                <c:pt idx="22">
                  <c:v>648.93403113966042</c:v>
                </c:pt>
                <c:pt idx="23">
                  <c:v>650.87557691558231</c:v>
                </c:pt>
                <c:pt idx="24">
                  <c:v>652.86112469894078</c:v>
                </c:pt>
                <c:pt idx="25">
                  <c:v>654.84667248229937</c:v>
                </c:pt>
                <c:pt idx="26">
                  <c:v>656.8430692364542</c:v>
                </c:pt>
              </c:numCache>
            </c:numRef>
          </c:xVal>
          <c:yVal>
            <c:numRef>
              <c:f>KUM0203_RST2m!$T$125:$T$151</c:f>
              <c:numCache>
                <c:formatCode>General</c:formatCode>
                <c:ptCount val="27"/>
                <c:pt idx="0">
                  <c:v>-8.2519999999999527</c:v>
                </c:pt>
                <c:pt idx="1">
                  <c:v>-8.5831020408199947</c:v>
                </c:pt>
                <c:pt idx="2">
                  <c:v>-8.8279999999999745</c:v>
                </c:pt>
                <c:pt idx="3">
                  <c:v>-8.7880000000000109</c:v>
                </c:pt>
                <c:pt idx="4">
                  <c:v>-8.7480000000000473</c:v>
                </c:pt>
                <c:pt idx="5">
                  <c:v>-8.8679999999999382</c:v>
                </c:pt>
                <c:pt idx="6">
                  <c:v>-9.1480000000001382</c:v>
                </c:pt>
                <c:pt idx="7">
                  <c:v>-9.4279999999998836</c:v>
                </c:pt>
                <c:pt idx="8">
                  <c:v>-9.1480000000001382</c:v>
                </c:pt>
                <c:pt idx="9">
                  <c:v>-8.8679999999999382</c:v>
                </c:pt>
                <c:pt idx="10">
                  <c:v>-8.6463673469402238</c:v>
                </c:pt>
                <c:pt idx="11">
                  <c:v>-8.4831020408200857</c:v>
                </c:pt>
                <c:pt idx="12">
                  <c:v>-8.3279999999999745</c:v>
                </c:pt>
                <c:pt idx="13">
                  <c:v>-8.9113333333402807</c:v>
                </c:pt>
                <c:pt idx="14">
                  <c:v>-9.4946666666701276</c:v>
                </c:pt>
                <c:pt idx="15">
                  <c:v>-9.6840000000001965</c:v>
                </c:pt>
                <c:pt idx="16">
                  <c:v>-9.6040000000002692</c:v>
                </c:pt>
                <c:pt idx="17">
                  <c:v>-9.5180000000000291</c:v>
                </c:pt>
                <c:pt idx="18">
                  <c:v>-9.318000000000211</c:v>
                </c:pt>
                <c:pt idx="19">
                  <c:v>-9.1280000000001564</c:v>
                </c:pt>
                <c:pt idx="20">
                  <c:v>-8.7571666666699457</c:v>
                </c:pt>
                <c:pt idx="21">
                  <c:v>-8.2155000000002474</c:v>
                </c:pt>
                <c:pt idx="22">
                  <c:v>-7.7179999999998472</c:v>
                </c:pt>
                <c:pt idx="23">
                  <c:v>-7.5180000000000291</c:v>
                </c:pt>
                <c:pt idx="24">
                  <c:v>-7.318000000000211</c:v>
                </c:pt>
                <c:pt idx="25">
                  <c:v>-7.2280000000000655</c:v>
                </c:pt>
                <c:pt idx="26">
                  <c:v>-7.2280000000000655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5E-4117-BB35-362B37782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06319"/>
        <c:axId val="2004800431"/>
      </c:scatterChart>
      <c:valAx>
        <c:axId val="119706319"/>
        <c:scaling>
          <c:orientation val="minMax"/>
          <c:max val="680"/>
          <c:min val="5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00431"/>
        <c:crosses val="autoZero"/>
        <c:crossBetween val="midCat"/>
      </c:valAx>
      <c:valAx>
        <c:axId val="20048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06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KUM04_RST5m!$F$4:$F$51</c:f>
              <c:numCache>
                <c:formatCode>0.0</c:formatCode>
                <c:ptCount val="48"/>
                <c:pt idx="0" formatCode="General">
                  <c:v>0</c:v>
                </c:pt>
                <c:pt idx="1">
                  <c:v>4.98629120689918</c:v>
                </c:pt>
                <c:pt idx="2">
                  <c:v>9.9844952843654049</c:v>
                </c:pt>
                <c:pt idx="3">
                  <c:v>14.983871145410458</c:v>
                </c:pt>
                <c:pt idx="4">
                  <c:v>19.795639947005043</c:v>
                </c:pt>
                <c:pt idx="5">
                  <c:v>24.454585643190121</c:v>
                </c:pt>
                <c:pt idx="6">
                  <c:v>29.436660612517642</c:v>
                </c:pt>
                <c:pt idx="7">
                  <c:v>34.436658112517016</c:v>
                </c:pt>
                <c:pt idx="8">
                  <c:v>39.419654801257614</c:v>
                </c:pt>
                <c:pt idx="9">
                  <c:v>44.382182282289847</c:v>
                </c:pt>
                <c:pt idx="10">
                  <c:v>49.3529367521867</c:v>
                </c:pt>
                <c:pt idx="11">
                  <c:v>54.317647317768561</c:v>
                </c:pt>
                <c:pt idx="12">
                  <c:v>59.298601443234872</c:v>
                </c:pt>
                <c:pt idx="13">
                  <c:v>64.296469388669209</c:v>
                </c:pt>
                <c:pt idx="14">
                  <c:v>69.289228044963323</c:v>
                </c:pt>
                <c:pt idx="15">
                  <c:v>74.283981192016725</c:v>
                </c:pt>
                <c:pt idx="16">
                  <c:v>79.187200440632836</c:v>
                </c:pt>
                <c:pt idx="17">
                  <c:v>84.063342768334167</c:v>
                </c:pt>
                <c:pt idx="18">
                  <c:v>89.056208778953703</c:v>
                </c:pt>
                <c:pt idx="19">
                  <c:v>94.043519076097823</c:v>
                </c:pt>
                <c:pt idx="20">
                  <c:v>98.979427908319067</c:v>
                </c:pt>
                <c:pt idx="21">
                  <c:v>103.64726852256462</c:v>
                </c:pt>
                <c:pt idx="22">
                  <c:v>108.64071062195856</c:v>
                </c:pt>
                <c:pt idx="23">
                  <c:v>113.61211324093848</c:v>
                </c:pt>
                <c:pt idx="24">
                  <c:v>118.58843758728088</c:v>
                </c:pt>
                <c:pt idx="25">
                  <c:v>123.58769793257197</c:v>
                </c:pt>
                <c:pt idx="26">
                  <c:v>128.49486809469184</c:v>
                </c:pt>
                <c:pt idx="27">
                  <c:v>133.48315798201796</c:v>
                </c:pt>
                <c:pt idx="28">
                  <c:v>138.40185659038985</c:v>
                </c:pt>
                <c:pt idx="29">
                  <c:v>143.30347173236089</c:v>
                </c:pt>
                <c:pt idx="30">
                  <c:v>148.30332733027569</c:v>
                </c:pt>
                <c:pt idx="31">
                  <c:v>153.3031509271639</c:v>
                </c:pt>
                <c:pt idx="32">
                  <c:v>158.30151225864043</c:v>
                </c:pt>
                <c:pt idx="33">
                  <c:v>163.30075530134201</c:v>
                </c:pt>
                <c:pt idx="34">
                  <c:v>168.2808239755673</c:v>
                </c:pt>
                <c:pt idx="35">
                  <c:v>173.2207097029906</c:v>
                </c:pt>
                <c:pt idx="36">
                  <c:v>178.17328792044458</c:v>
                </c:pt>
                <c:pt idx="37">
                  <c:v>183.11317364786782</c:v>
                </c:pt>
                <c:pt idx="38">
                  <c:v>188.03150669881097</c:v>
                </c:pt>
                <c:pt idx="39">
                  <c:v>193.03119308897587</c:v>
                </c:pt>
                <c:pt idx="40">
                  <c:v>197.80464634631488</c:v>
                </c:pt>
                <c:pt idx="41">
                  <c:v>202.80014992453397</c:v>
                </c:pt>
                <c:pt idx="42">
                  <c:v>207.79694479724986</c:v>
                </c:pt>
                <c:pt idx="43">
                  <c:v>212.79630475628463</c:v>
                </c:pt>
                <c:pt idx="44">
                  <c:v>217.5907222391495</c:v>
                </c:pt>
                <c:pt idx="45">
                  <c:v>222.47879916162114</c:v>
                </c:pt>
                <c:pt idx="46">
                  <c:v>227.44966216516491</c:v>
                </c:pt>
                <c:pt idx="47">
                  <c:v>232.42937099199406</c:v>
                </c:pt>
              </c:numCache>
            </c:numRef>
          </c:xVal>
          <c:yVal>
            <c:numRef>
              <c:f>KUM04_RST5m!$G$4:$G$51</c:f>
              <c:numCache>
                <c:formatCode>General</c:formatCode>
                <c:ptCount val="48"/>
                <c:pt idx="0">
                  <c:v>-14.920000000000073</c:v>
                </c:pt>
                <c:pt idx="1">
                  <c:v>-15.289999999999964</c:v>
                </c:pt>
                <c:pt idx="2">
                  <c:v>-15.155999999999949</c:v>
                </c:pt>
                <c:pt idx="3">
                  <c:v>-15.235000000000127</c:v>
                </c:pt>
                <c:pt idx="4">
                  <c:v>-13.875999999999749</c:v>
                </c:pt>
                <c:pt idx="5">
                  <c:v>-12.061000000000149</c:v>
                </c:pt>
                <c:pt idx="6">
                  <c:v>-11.63799999999992</c:v>
                </c:pt>
                <c:pt idx="7">
                  <c:v>-11.632999999999811</c:v>
                </c:pt>
                <c:pt idx="8">
                  <c:v>-12.045000000000073</c:v>
                </c:pt>
                <c:pt idx="9">
                  <c:v>-11.434000000000196</c:v>
                </c:pt>
                <c:pt idx="10">
                  <c:v>-10.893999999999778</c:v>
                </c:pt>
                <c:pt idx="11">
                  <c:v>-10.300999999999931</c:v>
                </c:pt>
                <c:pt idx="12">
                  <c:v>-9.8649999999997817</c:v>
                </c:pt>
                <c:pt idx="13">
                  <c:v>-9.7190000000000509</c:v>
                </c:pt>
                <c:pt idx="14">
                  <c:v>-9.4499999999998181</c:v>
                </c:pt>
                <c:pt idx="15">
                  <c:v>-9.6790000000000873</c:v>
                </c:pt>
                <c:pt idx="16">
                  <c:v>-8.6999999999998181</c:v>
                </c:pt>
                <c:pt idx="17">
                  <c:v>-7.5940000000000509</c:v>
                </c:pt>
                <c:pt idx="18">
                  <c:v>-7.3269999999997708</c:v>
                </c:pt>
                <c:pt idx="19">
                  <c:v>-7.6829999999999927</c:v>
                </c:pt>
                <c:pt idx="20">
                  <c:v>-6.8849999999997635</c:v>
                </c:pt>
                <c:pt idx="21">
                  <c:v>-5.0929999999998472</c:v>
                </c:pt>
                <c:pt idx="22">
                  <c:v>-5.3490000000001601</c:v>
                </c:pt>
                <c:pt idx="23">
                  <c:v>-5.8829999999998108</c:v>
                </c:pt>
                <c:pt idx="24">
                  <c:v>-5.3969999999999345</c:v>
                </c:pt>
                <c:pt idx="25">
                  <c:v>-5.4830000000001746</c:v>
                </c:pt>
                <c:pt idx="26">
                  <c:v>-4.5239999999998872</c:v>
                </c:pt>
                <c:pt idx="27">
                  <c:v>-4.8659999999999854</c:v>
                </c:pt>
                <c:pt idx="28">
                  <c:v>-5.7640000000001237</c:v>
                </c:pt>
                <c:pt idx="29">
                  <c:v>-4.7770000000000437</c:v>
                </c:pt>
                <c:pt idx="30">
                  <c:v>-4.7390000000000327</c:v>
                </c:pt>
                <c:pt idx="31">
                  <c:v>-4.7809999999999491</c:v>
                </c:pt>
                <c:pt idx="32">
                  <c:v>-4.6529999999997926</c:v>
                </c:pt>
                <c:pt idx="33">
                  <c:v>-4.7399999999997817</c:v>
                </c:pt>
                <c:pt idx="34">
                  <c:v>-4.293999999999869</c:v>
                </c:pt>
                <c:pt idx="35">
                  <c:v>-3.5210000000001855</c:v>
                </c:pt>
                <c:pt idx="36">
                  <c:v>-2.8339999999998327</c:v>
                </c:pt>
                <c:pt idx="37">
                  <c:v>-3.6069999999999709</c:v>
                </c:pt>
                <c:pt idx="38">
                  <c:v>-4.5070000000000618</c:v>
                </c:pt>
                <c:pt idx="39">
                  <c:v>-4.4510000000000218</c:v>
                </c:pt>
                <c:pt idx="40">
                  <c:v>-2.9630000000001928</c:v>
                </c:pt>
                <c:pt idx="41">
                  <c:v>-2.750999999999749</c:v>
                </c:pt>
                <c:pt idx="42">
                  <c:v>-2.9299999999998363</c:v>
                </c:pt>
                <c:pt idx="43">
                  <c:v>-3.0099999999997635</c:v>
                </c:pt>
                <c:pt idx="44">
                  <c:v>-1.5909999999998945</c:v>
                </c:pt>
                <c:pt idx="45">
                  <c:v>-0.53899999999975989</c:v>
                </c:pt>
                <c:pt idx="46">
                  <c:v>0</c:v>
                </c:pt>
                <c:pt idx="47">
                  <c:v>-0.4499999999998181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56-4F16-B00D-D4DA0BF1A14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KUM04_RST5m!$M$16:$M$39</c:f>
              <c:numCache>
                <c:formatCode>0.0</c:formatCode>
                <c:ptCount val="24"/>
                <c:pt idx="0">
                  <c:v>59.298601443234872</c:v>
                </c:pt>
                <c:pt idx="1">
                  <c:v>64.296469388669209</c:v>
                </c:pt>
                <c:pt idx="2">
                  <c:v>69.289228044963323</c:v>
                </c:pt>
                <c:pt idx="3">
                  <c:v>74.283981192016725</c:v>
                </c:pt>
                <c:pt idx="4">
                  <c:v>79.187200440632836</c:v>
                </c:pt>
                <c:pt idx="5">
                  <c:v>84.063342768334167</c:v>
                </c:pt>
                <c:pt idx="6">
                  <c:v>89.056208778953703</c:v>
                </c:pt>
                <c:pt idx="7">
                  <c:v>94.043519076097823</c:v>
                </c:pt>
                <c:pt idx="8">
                  <c:v>98.979427908319067</c:v>
                </c:pt>
                <c:pt idx="9">
                  <c:v>103.64726852256462</c:v>
                </c:pt>
                <c:pt idx="10">
                  <c:v>108.64071062195856</c:v>
                </c:pt>
                <c:pt idx="11">
                  <c:v>113.61211324093848</c:v>
                </c:pt>
                <c:pt idx="12">
                  <c:v>118.58843758728088</c:v>
                </c:pt>
                <c:pt idx="13">
                  <c:v>123.58769793257197</c:v>
                </c:pt>
                <c:pt idx="14">
                  <c:v>128.49486809469184</c:v>
                </c:pt>
                <c:pt idx="15">
                  <c:v>133.48315798201796</c:v>
                </c:pt>
                <c:pt idx="16">
                  <c:v>138.40185659038985</c:v>
                </c:pt>
                <c:pt idx="17">
                  <c:v>143.30347173236089</c:v>
                </c:pt>
                <c:pt idx="18">
                  <c:v>148.30332733027569</c:v>
                </c:pt>
                <c:pt idx="19">
                  <c:v>153.3031509271639</c:v>
                </c:pt>
                <c:pt idx="20">
                  <c:v>158.30151225864043</c:v>
                </c:pt>
                <c:pt idx="21">
                  <c:v>163.30075530134201</c:v>
                </c:pt>
                <c:pt idx="22">
                  <c:v>168.2808239755673</c:v>
                </c:pt>
                <c:pt idx="23">
                  <c:v>173.2207097029906</c:v>
                </c:pt>
              </c:numCache>
            </c:numRef>
          </c:xVal>
          <c:yVal>
            <c:numRef>
              <c:f>KUM04_RST5m!$N$16:$N$39</c:f>
              <c:numCache>
                <c:formatCode>General</c:formatCode>
                <c:ptCount val="24"/>
                <c:pt idx="0">
                  <c:v>-9.8649999999997817</c:v>
                </c:pt>
                <c:pt idx="1">
                  <c:v>-9.7190000000000509</c:v>
                </c:pt>
                <c:pt idx="2">
                  <c:v>-9.4499999999998181</c:v>
                </c:pt>
                <c:pt idx="3">
                  <c:v>-9.6790000000000873</c:v>
                </c:pt>
                <c:pt idx="4">
                  <c:v>-8.6999999999998181</c:v>
                </c:pt>
                <c:pt idx="5">
                  <c:v>-7.5940000000000509</c:v>
                </c:pt>
                <c:pt idx="6">
                  <c:v>-7.3269999999997708</c:v>
                </c:pt>
                <c:pt idx="7">
                  <c:v>-7.6829999999999927</c:v>
                </c:pt>
                <c:pt idx="8">
                  <c:v>-6.8849999999997635</c:v>
                </c:pt>
                <c:pt idx="9">
                  <c:v>-5.0929999999998472</c:v>
                </c:pt>
                <c:pt idx="10">
                  <c:v>-5.3490000000001601</c:v>
                </c:pt>
                <c:pt idx="11">
                  <c:v>-5.8829999999998108</c:v>
                </c:pt>
                <c:pt idx="12">
                  <c:v>-5.3969999999999345</c:v>
                </c:pt>
                <c:pt idx="13">
                  <c:v>-5.4830000000001746</c:v>
                </c:pt>
                <c:pt idx="14">
                  <c:v>-4.5239999999998872</c:v>
                </c:pt>
                <c:pt idx="15">
                  <c:v>-4.8659999999999854</c:v>
                </c:pt>
                <c:pt idx="16">
                  <c:v>-5.7640000000001237</c:v>
                </c:pt>
                <c:pt idx="17">
                  <c:v>-4.7770000000000437</c:v>
                </c:pt>
                <c:pt idx="18">
                  <c:v>-4.7390000000000327</c:v>
                </c:pt>
                <c:pt idx="19">
                  <c:v>-4.7809999999999491</c:v>
                </c:pt>
                <c:pt idx="20">
                  <c:v>-4.6529999999997926</c:v>
                </c:pt>
                <c:pt idx="21">
                  <c:v>-4.7399999999997817</c:v>
                </c:pt>
                <c:pt idx="22">
                  <c:v>-4.293999999999869</c:v>
                </c:pt>
                <c:pt idx="23">
                  <c:v>-3.5210000000001855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E9-45EA-A808-2F673B519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70847"/>
        <c:axId val="388598991"/>
      </c:scatterChart>
      <c:valAx>
        <c:axId val="15347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98991"/>
        <c:crosses val="autoZero"/>
        <c:crossBetween val="midCat"/>
      </c:valAx>
      <c:valAx>
        <c:axId val="38859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7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Final</a:t>
            </a:r>
            <a:r>
              <a:rPr lang="en-GB" baseline="0"/>
              <a:t> dopo (depths, true horizontal)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'abra04_2023-07-20_5m'!$P$4:$P$75</c:f>
              <c:numCache>
                <c:formatCode>0.0</c:formatCode>
                <c:ptCount val="72"/>
                <c:pt idx="0">
                  <c:v>0</c:v>
                </c:pt>
                <c:pt idx="1">
                  <c:v>4.9996615400188924</c:v>
                </c:pt>
                <c:pt idx="2">
                  <c:v>9.8901441255299147</c:v>
                </c:pt>
                <c:pt idx="3">
                  <c:v>14.88981949530255</c:v>
                </c:pt>
                <c:pt idx="4">
                  <c:v>19.888517813632937</c:v>
                </c:pt>
                <c:pt idx="5">
                  <c:v>24.840281294865498</c:v>
                </c:pt>
                <c:pt idx="6">
                  <c:v>29.806729909239966</c:v>
                </c:pt>
                <c:pt idx="7">
                  <c:v>34.803747133748743</c:v>
                </c:pt>
                <c:pt idx="8">
                  <c:v>39.802411407076285</c:v>
                </c:pt>
                <c:pt idx="9">
                  <c:v>44.802077054579797</c:v>
                </c:pt>
                <c:pt idx="10">
                  <c:v>49.800745139623245</c:v>
                </c:pt>
                <c:pt idx="11">
                  <c:v>54.788918668762712</c:v>
                </c:pt>
                <c:pt idx="12">
                  <c:v>59.787629803171583</c:v>
                </c:pt>
                <c:pt idx="13">
                  <c:v>64.756505652009182</c:v>
                </c:pt>
                <c:pt idx="14">
                  <c:v>69.731393441666782</c:v>
                </c:pt>
                <c:pt idx="15">
                  <c:v>74.623227936814104</c:v>
                </c:pt>
                <c:pt idx="16">
                  <c:v>78.749051859633582</c:v>
                </c:pt>
                <c:pt idx="17">
                  <c:v>83.638584347859535</c:v>
                </c:pt>
                <c:pt idx="18">
                  <c:v>88.554439510605121</c:v>
                </c:pt>
                <c:pt idx="19">
                  <c:v>93.246728670690644</c:v>
                </c:pt>
                <c:pt idx="20">
                  <c:v>98.213359928737034</c:v>
                </c:pt>
                <c:pt idx="21">
                  <c:v>103.01620048951561</c:v>
                </c:pt>
                <c:pt idx="22">
                  <c:v>107.97516848122046</c:v>
                </c:pt>
                <c:pt idx="23">
                  <c:v>112.8771081241734</c:v>
                </c:pt>
                <c:pt idx="24">
                  <c:v>117.87415939121161</c:v>
                </c:pt>
                <c:pt idx="25">
                  <c:v>122.87121065824981</c:v>
                </c:pt>
                <c:pt idx="26">
                  <c:v>127.87121065824981</c:v>
                </c:pt>
                <c:pt idx="27">
                  <c:v>132.87121065824982</c:v>
                </c:pt>
                <c:pt idx="28">
                  <c:v>137.8659789774542</c:v>
                </c:pt>
                <c:pt idx="29">
                  <c:v>142.8659789774542</c:v>
                </c:pt>
                <c:pt idx="30">
                  <c:v>147.86565434722684</c:v>
                </c:pt>
                <c:pt idx="31">
                  <c:v>152.86434676329392</c:v>
                </c:pt>
                <c:pt idx="32">
                  <c:v>157.86434676329392</c:v>
                </c:pt>
                <c:pt idx="33">
                  <c:v>162.85913870676634</c:v>
                </c:pt>
                <c:pt idx="34">
                  <c:v>167.85621653929076</c:v>
                </c:pt>
                <c:pt idx="35">
                  <c:v>172.84813674895236</c:v>
                </c:pt>
                <c:pt idx="36">
                  <c:v>177.8322136415822</c:v>
                </c:pt>
                <c:pt idx="37">
                  <c:v>182.83090049694772</c:v>
                </c:pt>
                <c:pt idx="38">
                  <c:v>187.8295988152781</c:v>
                </c:pt>
                <c:pt idx="39">
                  <c:v>192.81777234441756</c:v>
                </c:pt>
                <c:pt idx="40">
                  <c:v>197.79130902671983</c:v>
                </c:pt>
                <c:pt idx="41">
                  <c:v>202.77045543659423</c:v>
                </c:pt>
                <c:pt idx="42">
                  <c:v>207.76746288687517</c:v>
                </c:pt>
                <c:pt idx="43">
                  <c:v>212.73456589670795</c:v>
                </c:pt>
                <c:pt idx="44">
                  <c:v>217.69702273690234</c:v>
                </c:pt>
                <c:pt idx="45">
                  <c:v>222.64990621599802</c:v>
                </c:pt>
                <c:pt idx="46">
                  <c:v>227.62251990276707</c:v>
                </c:pt>
                <c:pt idx="47">
                  <c:v>232.59232600522208</c:v>
                </c:pt>
                <c:pt idx="48">
                  <c:v>237.58725609954871</c:v>
                </c:pt>
                <c:pt idx="49">
                  <c:v>242.5869347563214</c:v>
                </c:pt>
                <c:pt idx="50">
                  <c:v>247.58563931523301</c:v>
                </c:pt>
                <c:pt idx="51">
                  <c:v>252.53754109720927</c:v>
                </c:pt>
                <c:pt idx="52">
                  <c:v>257.52913908638482</c:v>
                </c:pt>
                <c:pt idx="53">
                  <c:v>262.46509282187134</c:v>
                </c:pt>
                <c:pt idx="54">
                  <c:v>267.38955975386119</c:v>
                </c:pt>
                <c:pt idx="55">
                  <c:v>272.16221195205515</c:v>
                </c:pt>
                <c:pt idx="56">
                  <c:v>277.12858274047636</c:v>
                </c:pt>
                <c:pt idx="57">
                  <c:v>282.08022086229084</c:v>
                </c:pt>
                <c:pt idx="58">
                  <c:v>287.06855399929776</c:v>
                </c:pt>
                <c:pt idx="59">
                  <c:v>292.04344178895536</c:v>
                </c:pt>
                <c:pt idx="60">
                  <c:v>296.93949396747013</c:v>
                </c:pt>
                <c:pt idx="61">
                  <c:v>301.92743274984349</c:v>
                </c:pt>
                <c:pt idx="62">
                  <c:v>306.90037582683908</c:v>
                </c:pt>
                <c:pt idx="63">
                  <c:v>311.89906824290614</c:v>
                </c:pt>
                <c:pt idx="64">
                  <c:v>316.8987436126788</c:v>
                </c:pt>
                <c:pt idx="65">
                  <c:v>321.8987436126788</c:v>
                </c:pt>
                <c:pt idx="66">
                  <c:v>326.89585104090531</c:v>
                </c:pt>
                <c:pt idx="67">
                  <c:v>331.8945838749882</c:v>
                </c:pt>
                <c:pt idx="68">
                  <c:v>336.8945838749882</c:v>
                </c:pt>
                <c:pt idx="69">
                  <c:v>341.8945838749882</c:v>
                </c:pt>
                <c:pt idx="70">
                  <c:v>346.8945838749882</c:v>
                </c:pt>
                <c:pt idx="71">
                  <c:v>351.8945838749882</c:v>
                </c:pt>
              </c:numCache>
            </c:numRef>
          </c:xVal>
          <c:yVal>
            <c:numRef>
              <c:f>'abra04_2023-07-20_5m'!$Q$4:$Q$75</c:f>
              <c:numCache>
                <c:formatCode>0.00</c:formatCode>
                <c:ptCount val="72"/>
                <c:pt idx="0">
                  <c:v>-2.2439959009999999</c:v>
                </c:pt>
                <c:pt idx="1">
                  <c:v>-2.30217223</c:v>
                </c:pt>
                <c:pt idx="2">
                  <c:v>-1.2614128529999999</c:v>
                </c:pt>
                <c:pt idx="3">
                  <c:v>-1.2044374469999999</c:v>
                </c:pt>
                <c:pt idx="4">
                  <c:v>-1.318521286</c:v>
                </c:pt>
                <c:pt idx="5">
                  <c:v>-2.0113693399999999</c:v>
                </c:pt>
                <c:pt idx="6">
                  <c:v>-1.433106285</c:v>
                </c:pt>
                <c:pt idx="7">
                  <c:v>-1.605787662</c:v>
                </c:pt>
                <c:pt idx="8">
                  <c:v>-1.7213535849999999</c:v>
                </c:pt>
                <c:pt idx="9">
                  <c:v>-1.6635313299999999</c:v>
                </c:pt>
                <c:pt idx="10">
                  <c:v>-1.5481303959999999</c:v>
                </c:pt>
                <c:pt idx="11">
                  <c:v>-1.2044374469999999</c:v>
                </c:pt>
                <c:pt idx="12">
                  <c:v>-1.090916547</c:v>
                </c:pt>
                <c:pt idx="13">
                  <c:v>-0.53389518399999991</c:v>
                </c:pt>
                <c:pt idx="14">
                  <c:v>-1.0343864229999999</c:v>
                </c:pt>
                <c:pt idx="15">
                  <c:v>0</c:v>
                </c:pt>
                <c:pt idx="16">
                  <c:v>-2.8244604720000002</c:v>
                </c:pt>
                <c:pt idx="17">
                  <c:v>-1.7792465959999999</c:v>
                </c:pt>
                <c:pt idx="18">
                  <c:v>-0.86580912199999993</c:v>
                </c:pt>
                <c:pt idx="19">
                  <c:v>-2.5927782699999997</c:v>
                </c:pt>
                <c:pt idx="20">
                  <c:v>-3.1694705159999996</c:v>
                </c:pt>
                <c:pt idx="21">
                  <c:v>-1.7792465959999999</c:v>
                </c:pt>
                <c:pt idx="22">
                  <c:v>-2.4184933850000001</c:v>
                </c:pt>
                <c:pt idx="23">
                  <c:v>-1.433106285</c:v>
                </c:pt>
                <c:pt idx="24">
                  <c:v>-1.2614128529999999</c:v>
                </c:pt>
                <c:pt idx="25">
                  <c:v>-1.433106285</c:v>
                </c:pt>
                <c:pt idx="26">
                  <c:v>-1.433106285</c:v>
                </c:pt>
                <c:pt idx="27">
                  <c:v>-1.433106285</c:v>
                </c:pt>
                <c:pt idx="28">
                  <c:v>-1.2044374469999999</c:v>
                </c:pt>
                <c:pt idx="29">
                  <c:v>-1.2044374469999999</c:v>
                </c:pt>
                <c:pt idx="30">
                  <c:v>-1.2614128529999999</c:v>
                </c:pt>
                <c:pt idx="31">
                  <c:v>-1.375755013</c:v>
                </c:pt>
                <c:pt idx="32">
                  <c:v>-1.375755013</c:v>
                </c:pt>
                <c:pt idx="33">
                  <c:v>-1.1476027799999999</c:v>
                </c:pt>
                <c:pt idx="34">
                  <c:v>-1.318521286</c:v>
                </c:pt>
                <c:pt idx="35">
                  <c:v>-1.0343864229999999</c:v>
                </c:pt>
                <c:pt idx="36">
                  <c:v>-1.433106285</c:v>
                </c:pt>
                <c:pt idx="37">
                  <c:v>-1.318521286</c:v>
                </c:pt>
                <c:pt idx="38">
                  <c:v>-1.2044374469999999</c:v>
                </c:pt>
                <c:pt idx="39">
                  <c:v>-1.5481303959999999</c:v>
                </c:pt>
                <c:pt idx="40">
                  <c:v>-1.0343864229999999</c:v>
                </c:pt>
                <c:pt idx="41">
                  <c:v>-1.4905673399999999</c:v>
                </c:pt>
                <c:pt idx="42">
                  <c:v>-1.6635313299999999</c:v>
                </c:pt>
                <c:pt idx="43">
                  <c:v>-1.090916547</c:v>
                </c:pt>
                <c:pt idx="44">
                  <c:v>-0.47934307700000001</c:v>
                </c:pt>
                <c:pt idx="45">
                  <c:v>0.20545268999999999</c:v>
                </c:pt>
                <c:pt idx="46">
                  <c:v>-0.31714956999999999</c:v>
                </c:pt>
                <c:pt idx="47">
                  <c:v>-0.86580912199999993</c:v>
                </c:pt>
                <c:pt idx="48">
                  <c:v>-1.090916547</c:v>
                </c:pt>
                <c:pt idx="49">
                  <c:v>-1.1476027799999999</c:v>
                </c:pt>
                <c:pt idx="50">
                  <c:v>-1.2614128529999999</c:v>
                </c:pt>
                <c:pt idx="51">
                  <c:v>-1.9532717559999999</c:v>
                </c:pt>
                <c:pt idx="52">
                  <c:v>-1.6635313299999999</c:v>
                </c:pt>
                <c:pt idx="53">
                  <c:v>-0.86580912199999993</c:v>
                </c:pt>
                <c:pt idx="54">
                  <c:v>0</c:v>
                </c:pt>
                <c:pt idx="55">
                  <c:v>-1.4905673399999999</c:v>
                </c:pt>
                <c:pt idx="56">
                  <c:v>-2.0694984169999997</c:v>
                </c:pt>
                <c:pt idx="57">
                  <c:v>-1.375755013</c:v>
                </c:pt>
                <c:pt idx="58">
                  <c:v>-1.0343864229999999</c:v>
                </c:pt>
                <c:pt idx="59">
                  <c:v>-0.53389518399999991</c:v>
                </c:pt>
                <c:pt idx="60">
                  <c:v>-1.5481303959999999</c:v>
                </c:pt>
                <c:pt idx="61">
                  <c:v>-1.8952135319999999</c:v>
                </c:pt>
                <c:pt idx="62">
                  <c:v>-1.375755013</c:v>
                </c:pt>
                <c:pt idx="63">
                  <c:v>-1.2614128529999999</c:v>
                </c:pt>
                <c:pt idx="64">
                  <c:v>-1.2044374469999999</c:v>
                </c:pt>
                <c:pt idx="65">
                  <c:v>-1.2044374469999999</c:v>
                </c:pt>
                <c:pt idx="66">
                  <c:v>-1.0343864229999999</c:v>
                </c:pt>
                <c:pt idx="67">
                  <c:v>-0.92182509099999987</c:v>
                </c:pt>
                <c:pt idx="68">
                  <c:v>-0.92182509099999987</c:v>
                </c:pt>
                <c:pt idx="69">
                  <c:v>-0.92182509099999987</c:v>
                </c:pt>
                <c:pt idx="70">
                  <c:v>-0.92182509099999987</c:v>
                </c:pt>
                <c:pt idx="71">
                  <c:v>-0.92182509099999987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79-4F31-983F-5A958BA435F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'abra04_2023-07-20_5m'!$M$15:$M$50</c:f>
              <c:numCache>
                <c:formatCode>0.0</c:formatCode>
                <c:ptCount val="36"/>
                <c:pt idx="0">
                  <c:v>57.8</c:v>
                </c:pt>
                <c:pt idx="1">
                  <c:v>59.787629803171583</c:v>
                </c:pt>
                <c:pt idx="2">
                  <c:v>64.756505652009182</c:v>
                </c:pt>
                <c:pt idx="3">
                  <c:v>69.731393441666782</c:v>
                </c:pt>
                <c:pt idx="4">
                  <c:v>74.623227936814104</c:v>
                </c:pt>
                <c:pt idx="5">
                  <c:v>78.749051859633582</c:v>
                </c:pt>
                <c:pt idx="6">
                  <c:v>83.638584347859535</c:v>
                </c:pt>
                <c:pt idx="7">
                  <c:v>88.554439510605121</c:v>
                </c:pt>
                <c:pt idx="8">
                  <c:v>93.246728670690644</c:v>
                </c:pt>
                <c:pt idx="9">
                  <c:v>98.213359928737034</c:v>
                </c:pt>
                <c:pt idx="10">
                  <c:v>103.01620048951561</c:v>
                </c:pt>
                <c:pt idx="11">
                  <c:v>107.97516848122046</c:v>
                </c:pt>
                <c:pt idx="12">
                  <c:v>112.8771081241734</c:v>
                </c:pt>
                <c:pt idx="13">
                  <c:v>117.87415939121161</c:v>
                </c:pt>
                <c:pt idx="14">
                  <c:v>122.87121065824981</c:v>
                </c:pt>
                <c:pt idx="15">
                  <c:v>127.87121065824981</c:v>
                </c:pt>
                <c:pt idx="16">
                  <c:v>132.87121065824982</c:v>
                </c:pt>
                <c:pt idx="17">
                  <c:v>137.8659789774542</c:v>
                </c:pt>
                <c:pt idx="18">
                  <c:v>142.8659789774542</c:v>
                </c:pt>
                <c:pt idx="19">
                  <c:v>147.86565434722684</c:v>
                </c:pt>
                <c:pt idx="20">
                  <c:v>152.86434676329392</c:v>
                </c:pt>
                <c:pt idx="21">
                  <c:v>157.86434676329392</c:v>
                </c:pt>
                <c:pt idx="22">
                  <c:v>162.85913870676634</c:v>
                </c:pt>
                <c:pt idx="23">
                  <c:v>167.85621653929076</c:v>
                </c:pt>
                <c:pt idx="24">
                  <c:v>172.84813674895236</c:v>
                </c:pt>
                <c:pt idx="25">
                  <c:v>177.8322136415822</c:v>
                </c:pt>
                <c:pt idx="26">
                  <c:v>182.83090049694772</c:v>
                </c:pt>
                <c:pt idx="27">
                  <c:v>187.8295988152781</c:v>
                </c:pt>
                <c:pt idx="28">
                  <c:v>192.81777234441756</c:v>
                </c:pt>
                <c:pt idx="29">
                  <c:v>197.79130902671983</c:v>
                </c:pt>
                <c:pt idx="30">
                  <c:v>202.77045543659423</c:v>
                </c:pt>
                <c:pt idx="31">
                  <c:v>207.76746288687517</c:v>
                </c:pt>
                <c:pt idx="32">
                  <c:v>212.73456589670795</c:v>
                </c:pt>
                <c:pt idx="33">
                  <c:v>217.69702273690234</c:v>
                </c:pt>
                <c:pt idx="34">
                  <c:v>222.64990621599802</c:v>
                </c:pt>
                <c:pt idx="35">
                  <c:v>227.62251990276707</c:v>
                </c:pt>
              </c:numCache>
            </c:numRef>
          </c:xVal>
          <c:yVal>
            <c:numRef>
              <c:f>'abra04_2023-07-20_5m'!$N$15:$N$50</c:f>
              <c:numCache>
                <c:formatCode>0.00</c:formatCode>
                <c:ptCount val="36"/>
                <c:pt idx="0">
                  <c:v>-1.2044374469999999</c:v>
                </c:pt>
                <c:pt idx="1">
                  <c:v>-1.090916547</c:v>
                </c:pt>
                <c:pt idx="2">
                  <c:v>-0.53389518399999991</c:v>
                </c:pt>
                <c:pt idx="3">
                  <c:v>-1.0343864229999999</c:v>
                </c:pt>
                <c:pt idx="4">
                  <c:v>0</c:v>
                </c:pt>
                <c:pt idx="5">
                  <c:v>-2.8244604720000002</c:v>
                </c:pt>
                <c:pt idx="6">
                  <c:v>-1.7792465959999999</c:v>
                </c:pt>
                <c:pt idx="7">
                  <c:v>-0.86580912199999993</c:v>
                </c:pt>
                <c:pt idx="8">
                  <c:v>-2.5927782699999997</c:v>
                </c:pt>
                <c:pt idx="9">
                  <c:v>-3.1694705159999996</c:v>
                </c:pt>
                <c:pt idx="10">
                  <c:v>-1.7792465959999999</c:v>
                </c:pt>
                <c:pt idx="11">
                  <c:v>-2.4184933850000001</c:v>
                </c:pt>
                <c:pt idx="12">
                  <c:v>-1.433106285</c:v>
                </c:pt>
                <c:pt idx="13">
                  <c:v>-1.2614128529999999</c:v>
                </c:pt>
                <c:pt idx="14">
                  <c:v>-1.433106285</c:v>
                </c:pt>
                <c:pt idx="15">
                  <c:v>-1.433106285</c:v>
                </c:pt>
                <c:pt idx="16">
                  <c:v>-1.433106285</c:v>
                </c:pt>
                <c:pt idx="17">
                  <c:v>-1.2044374469999999</c:v>
                </c:pt>
                <c:pt idx="18">
                  <c:v>-1.2044374469999999</c:v>
                </c:pt>
                <c:pt idx="19">
                  <c:v>-1.2614128529999999</c:v>
                </c:pt>
                <c:pt idx="20">
                  <c:v>-1.375755013</c:v>
                </c:pt>
                <c:pt idx="21">
                  <c:v>-1.375755013</c:v>
                </c:pt>
                <c:pt idx="22">
                  <c:v>-1.1476027799999999</c:v>
                </c:pt>
                <c:pt idx="23">
                  <c:v>-1.318521286</c:v>
                </c:pt>
                <c:pt idx="24">
                  <c:v>-1.0343864229999999</c:v>
                </c:pt>
                <c:pt idx="25">
                  <c:v>-1.433106285</c:v>
                </c:pt>
                <c:pt idx="26">
                  <c:v>-1.318521286</c:v>
                </c:pt>
                <c:pt idx="27">
                  <c:v>-1.2044374469999999</c:v>
                </c:pt>
                <c:pt idx="28">
                  <c:v>-1.5481303959999999</c:v>
                </c:pt>
                <c:pt idx="29">
                  <c:v>-1.0343864229999999</c:v>
                </c:pt>
                <c:pt idx="30">
                  <c:v>-1.4905673399999999</c:v>
                </c:pt>
                <c:pt idx="31">
                  <c:v>-1.6635313299999999</c:v>
                </c:pt>
                <c:pt idx="32">
                  <c:v>-1.090916547</c:v>
                </c:pt>
                <c:pt idx="33">
                  <c:v>-0.47934307700000001</c:v>
                </c:pt>
                <c:pt idx="34">
                  <c:v>0.20545268999999999</c:v>
                </c:pt>
                <c:pt idx="35">
                  <c:v>-0.31714956999999999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79-4F31-983F-5A958BA43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12048"/>
        <c:axId val="29107728"/>
      </c:scatterChart>
      <c:valAx>
        <c:axId val="2911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07728"/>
        <c:crosses val="autoZero"/>
        <c:crossBetween val="midCat"/>
      </c:valAx>
      <c:valAx>
        <c:axId val="2910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1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abra07!$P$3:$P$38</c:f>
              <c:numCache>
                <c:formatCode>0.0</c:formatCode>
                <c:ptCount val="36"/>
                <c:pt idx="0">
                  <c:v>0</c:v>
                </c:pt>
                <c:pt idx="1">
                  <c:v>4.9959983987187186</c:v>
                </c:pt>
                <c:pt idx="2">
                  <c:v>9.9949982986987145</c:v>
                </c:pt>
                <c:pt idx="3">
                  <c:v>14.990996697417433</c:v>
                </c:pt>
                <c:pt idx="4">
                  <c:v>19.986995096136152</c:v>
                </c:pt>
                <c:pt idx="5">
                  <c:v>24.985994996116148</c:v>
                </c:pt>
                <c:pt idx="6">
                  <c:v>29.984994896096143</c:v>
                </c:pt>
                <c:pt idx="7">
                  <c:v>34.98499489609614</c:v>
                </c:pt>
                <c:pt idx="8">
                  <c:v>39.98499489609614</c:v>
                </c:pt>
                <c:pt idx="9">
                  <c:v>44.983994796076132</c:v>
                </c:pt>
                <c:pt idx="10">
                  <c:v>49.983994796076132</c:v>
                </c:pt>
                <c:pt idx="11">
                  <c:v>54.982994696056124</c:v>
                </c:pt>
                <c:pt idx="12">
                  <c:v>59.981994596036117</c:v>
                </c:pt>
                <c:pt idx="13">
                  <c:v>64.981994596036117</c:v>
                </c:pt>
                <c:pt idx="14">
                  <c:v>69.981994596036117</c:v>
                </c:pt>
                <c:pt idx="15">
                  <c:v>74.981994596036117</c:v>
                </c:pt>
                <c:pt idx="16">
                  <c:v>79.981994596036117</c:v>
                </c:pt>
                <c:pt idx="17">
                  <c:v>84.980994496016109</c:v>
                </c:pt>
                <c:pt idx="18">
                  <c:v>89.979994395996101</c:v>
                </c:pt>
                <c:pt idx="19">
                  <c:v>94.978994295976094</c:v>
                </c:pt>
                <c:pt idx="20">
                  <c:v>99.977994195956086</c:v>
                </c:pt>
                <c:pt idx="21">
                  <c:v>104.97699409593608</c:v>
                </c:pt>
                <c:pt idx="22">
                  <c:v>109.97299249465479</c:v>
                </c:pt>
                <c:pt idx="23">
                  <c:v>114.97199239463478</c:v>
                </c:pt>
                <c:pt idx="24">
                  <c:v>119.97099229461477</c:v>
                </c:pt>
                <c:pt idx="25">
                  <c:v>124.97099229461477</c:v>
                </c:pt>
                <c:pt idx="26">
                  <c:v>129.97099229461477</c:v>
                </c:pt>
                <c:pt idx="27">
                  <c:v>134.96999219459477</c:v>
                </c:pt>
                <c:pt idx="28">
                  <c:v>139.96899209457476</c:v>
                </c:pt>
                <c:pt idx="29">
                  <c:v>144.96799199455475</c:v>
                </c:pt>
                <c:pt idx="30">
                  <c:v>149.96699189453474</c:v>
                </c:pt>
                <c:pt idx="31">
                  <c:v>154.96699189453474</c:v>
                </c:pt>
                <c:pt idx="32">
                  <c:v>159.96699189453474</c:v>
                </c:pt>
                <c:pt idx="33">
                  <c:v>164.96699189453474</c:v>
                </c:pt>
                <c:pt idx="34">
                  <c:v>169.96699189453474</c:v>
                </c:pt>
                <c:pt idx="35">
                  <c:v>174.96599179451474</c:v>
                </c:pt>
              </c:numCache>
            </c:numRef>
          </c:xVal>
          <c:yVal>
            <c:numRef>
              <c:f>abra07!$Q$3:$Q$38</c:f>
              <c:numCache>
                <c:formatCode>General</c:formatCode>
                <c:ptCount val="36"/>
                <c:pt idx="0">
                  <c:v>0</c:v>
                </c:pt>
                <c:pt idx="1">
                  <c:v>-0.2</c:v>
                </c:pt>
                <c:pt idx="2">
                  <c:v>-0.3</c:v>
                </c:pt>
                <c:pt idx="3">
                  <c:v>-0.5</c:v>
                </c:pt>
                <c:pt idx="4">
                  <c:v>-0.7</c:v>
                </c:pt>
                <c:pt idx="5">
                  <c:v>-0.8</c:v>
                </c:pt>
                <c:pt idx="6">
                  <c:v>-0.9</c:v>
                </c:pt>
                <c:pt idx="7">
                  <c:v>-0.9</c:v>
                </c:pt>
                <c:pt idx="8">
                  <c:v>-0.9</c:v>
                </c:pt>
                <c:pt idx="9">
                  <c:v>-1</c:v>
                </c:pt>
                <c:pt idx="10">
                  <c:v>-1</c:v>
                </c:pt>
                <c:pt idx="11">
                  <c:v>-1.1000000000000001</c:v>
                </c:pt>
                <c:pt idx="12">
                  <c:v>-1.2</c:v>
                </c:pt>
                <c:pt idx="13">
                  <c:v>-1.2</c:v>
                </c:pt>
                <c:pt idx="14">
                  <c:v>-1.2</c:v>
                </c:pt>
                <c:pt idx="15">
                  <c:v>-1.2</c:v>
                </c:pt>
                <c:pt idx="16">
                  <c:v>-1.2</c:v>
                </c:pt>
                <c:pt idx="17">
                  <c:v>-1.3</c:v>
                </c:pt>
                <c:pt idx="18">
                  <c:v>-1.4</c:v>
                </c:pt>
                <c:pt idx="19">
                  <c:v>-1.5</c:v>
                </c:pt>
                <c:pt idx="20">
                  <c:v>-1.6</c:v>
                </c:pt>
                <c:pt idx="21">
                  <c:v>-1.7</c:v>
                </c:pt>
                <c:pt idx="22">
                  <c:v>-1.9</c:v>
                </c:pt>
                <c:pt idx="23">
                  <c:v>-2</c:v>
                </c:pt>
                <c:pt idx="24">
                  <c:v>-2.1</c:v>
                </c:pt>
                <c:pt idx="25">
                  <c:v>-2.1</c:v>
                </c:pt>
                <c:pt idx="26">
                  <c:v>-2.1</c:v>
                </c:pt>
                <c:pt idx="27">
                  <c:v>-2.2000000000000002</c:v>
                </c:pt>
                <c:pt idx="28">
                  <c:v>-2.2999999999999998</c:v>
                </c:pt>
                <c:pt idx="29">
                  <c:v>-2.2000000000000002</c:v>
                </c:pt>
                <c:pt idx="30">
                  <c:v>-2.1</c:v>
                </c:pt>
                <c:pt idx="31">
                  <c:v>-2.1</c:v>
                </c:pt>
                <c:pt idx="32">
                  <c:v>-2.1</c:v>
                </c:pt>
                <c:pt idx="33">
                  <c:v>-2.1</c:v>
                </c:pt>
                <c:pt idx="34">
                  <c:v>-2.1</c:v>
                </c:pt>
                <c:pt idx="35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48-4FC6-81BD-919F01AC5FAB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abra07!$M$4:$M$27</c:f>
              <c:numCache>
                <c:formatCode>0.0</c:formatCode>
                <c:ptCount val="24"/>
                <c:pt idx="0">
                  <c:v>0</c:v>
                </c:pt>
                <c:pt idx="1">
                  <c:v>4.9959983987187186</c:v>
                </c:pt>
                <c:pt idx="2">
                  <c:v>9.9949982986987145</c:v>
                </c:pt>
                <c:pt idx="3">
                  <c:v>14.990996697417433</c:v>
                </c:pt>
                <c:pt idx="4">
                  <c:v>19.986995096136152</c:v>
                </c:pt>
                <c:pt idx="5">
                  <c:v>24.985994996116148</c:v>
                </c:pt>
                <c:pt idx="6">
                  <c:v>29.984994896096143</c:v>
                </c:pt>
                <c:pt idx="7">
                  <c:v>34.98499489609614</c:v>
                </c:pt>
                <c:pt idx="8">
                  <c:v>39.98499489609614</c:v>
                </c:pt>
                <c:pt idx="9">
                  <c:v>44.983994796076132</c:v>
                </c:pt>
                <c:pt idx="10">
                  <c:v>49.983994796076132</c:v>
                </c:pt>
                <c:pt idx="11">
                  <c:v>54.982994696056124</c:v>
                </c:pt>
                <c:pt idx="12">
                  <c:v>59.981994596036117</c:v>
                </c:pt>
                <c:pt idx="13">
                  <c:v>64.981994596036117</c:v>
                </c:pt>
                <c:pt idx="14">
                  <c:v>69.981994596036117</c:v>
                </c:pt>
                <c:pt idx="15">
                  <c:v>74.981994596036117</c:v>
                </c:pt>
                <c:pt idx="16">
                  <c:v>79.981994596036117</c:v>
                </c:pt>
                <c:pt idx="17">
                  <c:v>84.980994496016109</c:v>
                </c:pt>
                <c:pt idx="18">
                  <c:v>89.979994395996101</c:v>
                </c:pt>
                <c:pt idx="19">
                  <c:v>94.978994295976094</c:v>
                </c:pt>
                <c:pt idx="20">
                  <c:v>99.977994195956086</c:v>
                </c:pt>
                <c:pt idx="21">
                  <c:v>104.97699409593608</c:v>
                </c:pt>
                <c:pt idx="22">
                  <c:v>109.97299249465479</c:v>
                </c:pt>
                <c:pt idx="23">
                  <c:v>114.97199239463478</c:v>
                </c:pt>
              </c:numCache>
            </c:numRef>
          </c:xVal>
          <c:yVal>
            <c:numRef>
              <c:f>abra07!$N$4:$N$27</c:f>
              <c:numCache>
                <c:formatCode>General</c:formatCode>
                <c:ptCount val="24"/>
                <c:pt idx="0">
                  <c:v>0</c:v>
                </c:pt>
                <c:pt idx="1">
                  <c:v>-0.2</c:v>
                </c:pt>
                <c:pt idx="2">
                  <c:v>-0.3</c:v>
                </c:pt>
                <c:pt idx="3">
                  <c:v>-0.5</c:v>
                </c:pt>
                <c:pt idx="4">
                  <c:v>-0.7</c:v>
                </c:pt>
                <c:pt idx="5">
                  <c:v>-0.8</c:v>
                </c:pt>
                <c:pt idx="6">
                  <c:v>-0.9</c:v>
                </c:pt>
                <c:pt idx="7">
                  <c:v>-0.9</c:v>
                </c:pt>
                <c:pt idx="8">
                  <c:v>-0.9</c:v>
                </c:pt>
                <c:pt idx="9">
                  <c:v>-1</c:v>
                </c:pt>
                <c:pt idx="10">
                  <c:v>-1</c:v>
                </c:pt>
                <c:pt idx="11">
                  <c:v>-1.1000000000000001</c:v>
                </c:pt>
                <c:pt idx="12">
                  <c:v>-1.2</c:v>
                </c:pt>
                <c:pt idx="13">
                  <c:v>-1.2</c:v>
                </c:pt>
                <c:pt idx="14">
                  <c:v>-1.2</c:v>
                </c:pt>
                <c:pt idx="15">
                  <c:v>-1.2</c:v>
                </c:pt>
                <c:pt idx="16">
                  <c:v>-1.2</c:v>
                </c:pt>
                <c:pt idx="17">
                  <c:v>-1.3</c:v>
                </c:pt>
                <c:pt idx="18">
                  <c:v>-1.4</c:v>
                </c:pt>
                <c:pt idx="19">
                  <c:v>-1.5</c:v>
                </c:pt>
                <c:pt idx="20">
                  <c:v>-1.6</c:v>
                </c:pt>
                <c:pt idx="21">
                  <c:v>-1.7</c:v>
                </c:pt>
                <c:pt idx="22">
                  <c:v>-1.9</c:v>
                </c:pt>
                <c:pt idx="23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8-4FC6-81BD-919F01AC5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49135"/>
        <c:axId val="137046735"/>
      </c:scatterChart>
      <c:valAx>
        <c:axId val="13704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6735"/>
        <c:crosses val="autoZero"/>
        <c:crossBetween val="midCat"/>
      </c:valAx>
      <c:valAx>
        <c:axId val="13704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SUE01_2023!$P$3:$P$51</c:f>
              <c:numCache>
                <c:formatCode>0.0</c:formatCode>
                <c:ptCount val="49"/>
                <c:pt idx="0">
                  <c:v>-10</c:v>
                </c:pt>
                <c:pt idx="1">
                  <c:v>0</c:v>
                </c:pt>
                <c:pt idx="2">
                  <c:v>2.9995998066408798</c:v>
                </c:pt>
                <c:pt idx="3">
                  <c:v>5.9986114771750305</c:v>
                </c:pt>
                <c:pt idx="4">
                  <c:v>8.9974906011144977</c:v>
                </c:pt>
                <c:pt idx="5">
                  <c:v>11.993274138021013</c:v>
                </c:pt>
                <c:pt idx="6">
                  <c:v>14.992732589141809</c:v>
                </c:pt>
                <c:pt idx="7">
                  <c:v>17.98295599216706</c:v>
                </c:pt>
                <c:pt idx="8">
                  <c:v>20.953127031013135</c:v>
                </c:pt>
                <c:pt idx="9">
                  <c:v>23.908067977969601</c:v>
                </c:pt>
                <c:pt idx="10">
                  <c:v>26.869256759523427</c:v>
                </c:pt>
                <c:pt idx="11">
                  <c:v>29.86916075798738</c:v>
                </c:pt>
                <c:pt idx="12">
                  <c:v>32.850285377992364</c:v>
                </c:pt>
                <c:pt idx="13">
                  <c:v>35.827505390017045</c:v>
                </c:pt>
                <c:pt idx="14">
                  <c:v>38.822684850416699</c:v>
                </c:pt>
                <c:pt idx="15">
                  <c:v>41.81587645804894</c:v>
                </c:pt>
                <c:pt idx="16">
                  <c:v>44.813058467870832</c:v>
                </c:pt>
                <c:pt idx="17">
                  <c:v>47.803119336816508</c:v>
                </c:pt>
                <c:pt idx="18">
                  <c:v>50.777661318365951</c:v>
                </c:pt>
                <c:pt idx="19">
                  <c:v>53.765756196377708</c:v>
                </c:pt>
                <c:pt idx="20">
                  <c:v>56.765356003018589</c:v>
                </c:pt>
                <c:pt idx="21">
                  <c:v>59.763517939939277</c:v>
                </c:pt>
                <c:pt idx="22">
                  <c:v>62.7469346054421</c:v>
                </c:pt>
                <c:pt idx="23">
                  <c:v>65.742979331409984</c:v>
                </c:pt>
                <c:pt idx="24">
                  <c:v>68.741034701145495</c:v>
                </c:pt>
                <c:pt idx="25">
                  <c:v>71.740946533183234</c:v>
                </c:pt>
                <c:pt idx="26">
                  <c:v>74.739655588760328</c:v>
                </c:pt>
                <c:pt idx="27">
                  <c:v>77.722432650493204</c:v>
                </c:pt>
                <c:pt idx="28">
                  <c:v>80.721568526041366</c:v>
                </c:pt>
                <c:pt idx="29">
                  <c:v>83.718793742804351</c:v>
                </c:pt>
                <c:pt idx="30">
                  <c:v>86.707765305064555</c:v>
                </c:pt>
                <c:pt idx="31">
                  <c:v>89.69690815879369</c:v>
                </c:pt>
                <c:pt idx="32">
                  <c:v>92.677464985965429</c:v>
                </c:pt>
                <c:pt idx="33">
                  <c:v>95.63293026236434</c:v>
                </c:pt>
                <c:pt idx="34">
                  <c:v>98.564522150741766</c:v>
                </c:pt>
                <c:pt idx="35">
                  <c:v>101.55305958567544</c:v>
                </c:pt>
                <c:pt idx="36">
                  <c:v>104.54690928130145</c:v>
                </c:pt>
                <c:pt idx="37">
                  <c:v>107.52925315818757</c:v>
                </c:pt>
                <c:pt idx="38">
                  <c:v>110.51881834396292</c:v>
                </c:pt>
                <c:pt idx="39">
                  <c:v>113.51180598175898</c:v>
                </c:pt>
                <c:pt idx="40">
                  <c:v>116.49564227083383</c:v>
                </c:pt>
                <c:pt idx="41">
                  <c:v>119.47515565392176</c:v>
                </c:pt>
                <c:pt idx="42">
                  <c:v>122.44714471850459</c:v>
                </c:pt>
                <c:pt idx="43">
                  <c:v>125.36481433653886</c:v>
                </c:pt>
                <c:pt idx="44">
                  <c:v>128.30781892369117</c:v>
                </c:pt>
                <c:pt idx="45">
                  <c:v>131.24822280751397</c:v>
                </c:pt>
                <c:pt idx="46">
                  <c:v>134.16637016499956</c:v>
                </c:pt>
                <c:pt idx="47">
                  <c:v>137.12657809688542</c:v>
                </c:pt>
                <c:pt idx="48">
                  <c:v>140.08116774690453</c:v>
                </c:pt>
              </c:numCache>
            </c:numRef>
          </c:xVal>
          <c:yVal>
            <c:numRef>
              <c:f>SUE01_2023!$Q$3:$Q$51</c:f>
              <c:numCache>
                <c:formatCode>General</c:formatCode>
                <c:ptCount val="49"/>
                <c:pt idx="0">
                  <c:v>-2.5</c:v>
                </c:pt>
                <c:pt idx="1">
                  <c:v>-2.9180000000001201</c:v>
                </c:pt>
                <c:pt idx="2">
                  <c:v>-2.9670000000000982</c:v>
                </c:pt>
                <c:pt idx="3">
                  <c:v>-3.043999999999869</c:v>
                </c:pt>
                <c:pt idx="4">
                  <c:v>-3.1260000000002037</c:v>
                </c:pt>
                <c:pt idx="5">
                  <c:v>-3.2849999999998545</c:v>
                </c:pt>
                <c:pt idx="6">
                  <c:v>-3.3420000000000982</c:v>
                </c:pt>
                <c:pt idx="7">
                  <c:v>-3.0999999999999091</c:v>
                </c:pt>
                <c:pt idx="8">
                  <c:v>-2.6779999999998836</c:v>
                </c:pt>
                <c:pt idx="9">
                  <c:v>-2.1599999999998545</c:v>
                </c:pt>
                <c:pt idx="10">
                  <c:v>-1.6790000000000873</c:v>
                </c:pt>
                <c:pt idx="11">
                  <c:v>-1.6550000000002001</c:v>
                </c:pt>
                <c:pt idx="12">
                  <c:v>-1.31899999999996</c:v>
                </c:pt>
                <c:pt idx="13">
                  <c:v>-0.95000000000027285</c:v>
                </c:pt>
                <c:pt idx="14">
                  <c:v>-0.78000000000020009</c:v>
                </c:pt>
                <c:pt idx="15">
                  <c:v>-0.9819999999999709</c:v>
                </c:pt>
                <c:pt idx="16">
                  <c:v>-0.85199999999986176</c:v>
                </c:pt>
                <c:pt idx="17">
                  <c:v>-0.60800000000017462</c:v>
                </c:pt>
                <c:pt idx="18">
                  <c:v>-0.99800000000004729</c:v>
                </c:pt>
                <c:pt idx="19">
                  <c:v>-0.73100000000022192</c:v>
                </c:pt>
                <c:pt idx="20">
                  <c:v>-0.68200000000024374</c:v>
                </c:pt>
                <c:pt idx="21">
                  <c:v>-0.57700000000022555</c:v>
                </c:pt>
                <c:pt idx="22">
                  <c:v>-0.26200000000017099</c:v>
                </c:pt>
                <c:pt idx="23">
                  <c:v>-0.10800000000017462</c:v>
                </c:pt>
                <c:pt idx="24">
                  <c:v>0</c:v>
                </c:pt>
                <c:pt idx="25">
                  <c:v>-2.3000000000138243E-2</c:v>
                </c:pt>
                <c:pt idx="26">
                  <c:v>-0.11099999999987631</c:v>
                </c:pt>
                <c:pt idx="27">
                  <c:v>-0.43200000000024374</c:v>
                </c:pt>
                <c:pt idx="28">
                  <c:v>-0.50399999999990541</c:v>
                </c:pt>
                <c:pt idx="29">
                  <c:v>-0.63300000000026557</c:v>
                </c:pt>
                <c:pt idx="30">
                  <c:v>-0.88999999999987267</c:v>
                </c:pt>
                <c:pt idx="31">
                  <c:v>-1.1449999999999818</c:v>
                </c:pt>
                <c:pt idx="32">
                  <c:v>-1.4859999999998763</c:v>
                </c:pt>
                <c:pt idx="33">
                  <c:v>-2.0010000000002037</c:v>
                </c:pt>
                <c:pt idx="34">
                  <c:v>-2.63799999999992</c:v>
                </c:pt>
                <c:pt idx="35">
                  <c:v>-2.9000000000000909</c:v>
                </c:pt>
                <c:pt idx="36">
                  <c:v>-3.0920000000000982</c:v>
                </c:pt>
                <c:pt idx="37">
                  <c:v>-3.4169999999999163</c:v>
                </c:pt>
                <c:pt idx="38">
                  <c:v>-3.6669999999999163</c:v>
                </c:pt>
                <c:pt idx="39">
                  <c:v>-3.8719999999998436</c:v>
                </c:pt>
                <c:pt idx="40">
                  <c:v>-4.1829999999999927</c:v>
                </c:pt>
                <c:pt idx="41">
                  <c:v>-4.5329999999999018</c:v>
                </c:pt>
                <c:pt idx="42">
                  <c:v>-4.9420000000000073</c:v>
                </c:pt>
                <c:pt idx="43">
                  <c:v>-5.6399999999998727</c:v>
                </c:pt>
                <c:pt idx="44">
                  <c:v>-6.2220000000002074</c:v>
                </c:pt>
                <c:pt idx="45">
                  <c:v>-6.8170000000000073</c:v>
                </c:pt>
                <c:pt idx="46">
                  <c:v>-7.51299999999992</c:v>
                </c:pt>
                <c:pt idx="47">
                  <c:v>-8</c:v>
                </c:pt>
                <c:pt idx="48">
                  <c:v>-8.5199999999999818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6-434C-AF41-4756D61D3E9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SUE01_2023!$I$15:$I$40</c:f>
              <c:numCache>
                <c:formatCode>0.0</c:formatCode>
                <c:ptCount val="26"/>
                <c:pt idx="0">
                  <c:v>26.827505390017045</c:v>
                </c:pt>
                <c:pt idx="1">
                  <c:v>35.827505390017045</c:v>
                </c:pt>
                <c:pt idx="2">
                  <c:v>38.822684850416699</c:v>
                </c:pt>
                <c:pt idx="3">
                  <c:v>41.81587645804894</c:v>
                </c:pt>
                <c:pt idx="4">
                  <c:v>44.813058467870832</c:v>
                </c:pt>
                <c:pt idx="5">
                  <c:v>47.803119336816508</c:v>
                </c:pt>
                <c:pt idx="6">
                  <c:v>50.777661318365951</c:v>
                </c:pt>
                <c:pt idx="7">
                  <c:v>53.765756196377708</c:v>
                </c:pt>
                <c:pt idx="8">
                  <c:v>56.765356003018589</c:v>
                </c:pt>
                <c:pt idx="9">
                  <c:v>59.763517939939277</c:v>
                </c:pt>
                <c:pt idx="10">
                  <c:v>62.7469346054421</c:v>
                </c:pt>
                <c:pt idx="11">
                  <c:v>65.742979331409984</c:v>
                </c:pt>
                <c:pt idx="12">
                  <c:v>68.741034701145495</c:v>
                </c:pt>
                <c:pt idx="13">
                  <c:v>71.740946533183234</c:v>
                </c:pt>
                <c:pt idx="14">
                  <c:v>74.739655588760328</c:v>
                </c:pt>
                <c:pt idx="15">
                  <c:v>77.722432650493204</c:v>
                </c:pt>
                <c:pt idx="16">
                  <c:v>80.721568526041366</c:v>
                </c:pt>
                <c:pt idx="17">
                  <c:v>83.718793742804351</c:v>
                </c:pt>
                <c:pt idx="18">
                  <c:v>86.707765305064555</c:v>
                </c:pt>
                <c:pt idx="19">
                  <c:v>89.69690815879369</c:v>
                </c:pt>
                <c:pt idx="20">
                  <c:v>92.677464985965429</c:v>
                </c:pt>
                <c:pt idx="21">
                  <c:v>95.63293026236434</c:v>
                </c:pt>
                <c:pt idx="22">
                  <c:v>98.564522150741766</c:v>
                </c:pt>
                <c:pt idx="23">
                  <c:v>101.55305958567544</c:v>
                </c:pt>
                <c:pt idx="24">
                  <c:v>104.54690928130145</c:v>
                </c:pt>
                <c:pt idx="25">
                  <c:v>114.54690928130145</c:v>
                </c:pt>
              </c:numCache>
            </c:numRef>
          </c:xVal>
          <c:yVal>
            <c:numRef>
              <c:f>SUE01_2023!$J$15:$J$40</c:f>
              <c:numCache>
                <c:formatCode>General</c:formatCode>
                <c:ptCount val="26"/>
                <c:pt idx="0">
                  <c:v>-1.7</c:v>
                </c:pt>
                <c:pt idx="1">
                  <c:v>-0.95000000000027285</c:v>
                </c:pt>
                <c:pt idx="2">
                  <c:v>-0.78000000000020009</c:v>
                </c:pt>
                <c:pt idx="3">
                  <c:v>-0.9819999999999709</c:v>
                </c:pt>
                <c:pt idx="4">
                  <c:v>-0.85199999999986176</c:v>
                </c:pt>
                <c:pt idx="5">
                  <c:v>-0.60800000000017462</c:v>
                </c:pt>
                <c:pt idx="6">
                  <c:v>-0.99800000000004729</c:v>
                </c:pt>
                <c:pt idx="7">
                  <c:v>-0.73100000000022192</c:v>
                </c:pt>
                <c:pt idx="8">
                  <c:v>-0.68200000000024374</c:v>
                </c:pt>
                <c:pt idx="9">
                  <c:v>-0.57700000000022555</c:v>
                </c:pt>
                <c:pt idx="10">
                  <c:v>-0.26200000000017099</c:v>
                </c:pt>
                <c:pt idx="11">
                  <c:v>-0.10800000000017462</c:v>
                </c:pt>
                <c:pt idx="12">
                  <c:v>0</c:v>
                </c:pt>
                <c:pt idx="13">
                  <c:v>-2.3000000000138243E-2</c:v>
                </c:pt>
                <c:pt idx="14">
                  <c:v>-0.11099999999987631</c:v>
                </c:pt>
                <c:pt idx="15">
                  <c:v>-0.43200000000024374</c:v>
                </c:pt>
                <c:pt idx="16">
                  <c:v>-0.50399999999990541</c:v>
                </c:pt>
                <c:pt idx="17">
                  <c:v>-0.63300000000026557</c:v>
                </c:pt>
                <c:pt idx="18">
                  <c:v>-0.88999999999987267</c:v>
                </c:pt>
                <c:pt idx="19">
                  <c:v>-1.1449999999999818</c:v>
                </c:pt>
                <c:pt idx="20">
                  <c:v>-1.4859999999998763</c:v>
                </c:pt>
                <c:pt idx="21">
                  <c:v>-2.0010000000002037</c:v>
                </c:pt>
                <c:pt idx="22">
                  <c:v>-2.63799999999992</c:v>
                </c:pt>
                <c:pt idx="23">
                  <c:v>-2.9000000000000909</c:v>
                </c:pt>
                <c:pt idx="24">
                  <c:v>-3.0920000000000982</c:v>
                </c:pt>
                <c:pt idx="25">
                  <c:v>-3.4169999999999163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C6-434C-AF41-4756D61D3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828895"/>
        <c:axId val="1131822655"/>
      </c:scatterChart>
      <c:valAx>
        <c:axId val="1131828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2655"/>
        <c:crosses val="autoZero"/>
        <c:crossBetween val="midCat"/>
      </c:valAx>
      <c:valAx>
        <c:axId val="11318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8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SUE05_2023!$P$4:$P$52</c:f>
              <c:numCache>
                <c:formatCode>0.0</c:formatCode>
                <c:ptCount val="49"/>
                <c:pt idx="1">
                  <c:v>0</c:v>
                </c:pt>
                <c:pt idx="2">
                  <c:v>4.9980115045885976</c:v>
                </c:pt>
                <c:pt idx="3">
                  <c:v>9.9832440969557759</c:v>
                </c:pt>
                <c:pt idx="4">
                  <c:v>14.685371275159341</c:v>
                </c:pt>
                <c:pt idx="5">
                  <c:v>19.527116415085633</c:v>
                </c:pt>
                <c:pt idx="6">
                  <c:v>24.185282470519894</c:v>
                </c:pt>
                <c:pt idx="7">
                  <c:v>28.960291475746949</c:v>
                </c:pt>
                <c:pt idx="8">
                  <c:v>33.76636669363527</c:v>
                </c:pt>
                <c:pt idx="9">
                  <c:v>38.304912275647219</c:v>
                </c:pt>
                <c:pt idx="10">
                  <c:v>43.038950615162463</c:v>
                </c:pt>
                <c:pt idx="11">
                  <c:v>47.769578374773182</c:v>
                </c:pt>
                <c:pt idx="12">
                  <c:v>52.612866101101304</c:v>
                </c:pt>
                <c:pt idx="13">
                  <c:v>57.5595838007482</c:v>
                </c:pt>
                <c:pt idx="14">
                  <c:v>62.553329889607745</c:v>
                </c:pt>
                <c:pt idx="15">
                  <c:v>67.553038281104193</c:v>
                </c:pt>
                <c:pt idx="16">
                  <c:v>72.551188338875562</c:v>
                </c:pt>
                <c:pt idx="17">
                  <c:v>77.54483390098747</c:v>
                </c:pt>
                <c:pt idx="18">
                  <c:v>82.536474813553184</c:v>
                </c:pt>
                <c:pt idx="19">
                  <c:v>87.535802368334927</c:v>
                </c:pt>
                <c:pt idx="20">
                  <c:v>92.53565026602142</c:v>
                </c:pt>
                <c:pt idx="21">
                  <c:v>97.53516024200907</c:v>
                </c:pt>
                <c:pt idx="22">
                  <c:v>102.53296936201355</c:v>
                </c:pt>
                <c:pt idx="23">
                  <c:v>107.532943761948</c:v>
                </c:pt>
                <c:pt idx="24">
                  <c:v>112.52688849532264</c:v>
                </c:pt>
                <c:pt idx="25">
                  <c:v>117.52186837516199</c:v>
                </c:pt>
                <c:pt idx="26">
                  <c:v>122.50903550691122</c:v>
                </c:pt>
                <c:pt idx="27">
                  <c:v>127.44860785682167</c:v>
                </c:pt>
                <c:pt idx="28">
                  <c:v>132.42128480188859</c:v>
                </c:pt>
                <c:pt idx="29">
                  <c:v>137.29945976800045</c:v>
                </c:pt>
                <c:pt idx="30">
                  <c:v>142.15158827000863</c:v>
                </c:pt>
                <c:pt idx="31">
                  <c:v>147.01228945399433</c:v>
                </c:pt>
                <c:pt idx="32">
                  <c:v>151.92729464219096</c:v>
                </c:pt>
                <c:pt idx="33">
                  <c:v>156.90763107660979</c:v>
                </c:pt>
                <c:pt idx="34">
                  <c:v>161.90744617319086</c:v>
                </c:pt>
                <c:pt idx="35">
                  <c:v>166.89902908845932</c:v>
                </c:pt>
                <c:pt idx="36">
                  <c:v>171.89307193969719</c:v>
                </c:pt>
                <c:pt idx="37">
                  <c:v>176.89298193888717</c:v>
                </c:pt>
                <c:pt idx="38">
                  <c:v>181.89246351201052</c:v>
                </c:pt>
                <c:pt idx="39">
                  <c:v>186.8680000659914</c:v>
                </c:pt>
                <c:pt idx="40">
                  <c:v>191.80211792027907</c:v>
                </c:pt>
                <c:pt idx="41">
                  <c:v>196.73607171009107</c:v>
                </c:pt>
                <c:pt idx="42">
                  <c:v>201.64976431341901</c:v>
                </c:pt>
                <c:pt idx="43">
                  <c:v>206.5731387659668</c:v>
                </c:pt>
                <c:pt idx="44">
                  <c:v>211.4597039195281</c:v>
                </c:pt>
                <c:pt idx="45">
                  <c:v>216.26115942801718</c:v>
                </c:pt>
                <c:pt idx="46">
                  <c:v>220.99007304532938</c:v>
                </c:pt>
                <c:pt idx="47">
                  <c:v>225.76290239488708</c:v>
                </c:pt>
                <c:pt idx="48">
                  <c:v>230.55909161133798</c:v>
                </c:pt>
              </c:numCache>
            </c:numRef>
          </c:xVal>
          <c:yVal>
            <c:numRef>
              <c:f>SUE05_2023!$Q$4:$Q$52</c:f>
              <c:numCache>
                <c:formatCode>General</c:formatCode>
                <c:ptCount val="49"/>
                <c:pt idx="1">
                  <c:v>-15.751999999999953</c:v>
                </c:pt>
                <c:pt idx="2">
                  <c:v>-15.610999999999876</c:v>
                </c:pt>
                <c:pt idx="3">
                  <c:v>-15.226999999999862</c:v>
                </c:pt>
                <c:pt idx="4">
                  <c:v>-13.527000000000044</c:v>
                </c:pt>
                <c:pt idx="5">
                  <c:v>-12.278999999999996</c:v>
                </c:pt>
                <c:pt idx="6">
                  <c:v>-10.461999999999989</c:v>
                </c:pt>
                <c:pt idx="7">
                  <c:v>-8.9789999999998145</c:v>
                </c:pt>
                <c:pt idx="8">
                  <c:v>-7.5999999999999091</c:v>
                </c:pt>
                <c:pt idx="9">
                  <c:v>-5.5019999999999527</c:v>
                </c:pt>
                <c:pt idx="10">
                  <c:v>-3.8930000000000291</c:v>
                </c:pt>
                <c:pt idx="11">
                  <c:v>-2.2739999999998872</c:v>
                </c:pt>
                <c:pt idx="12">
                  <c:v>-1.0320000000001528</c:v>
                </c:pt>
                <c:pt idx="13">
                  <c:v>-0.30400000000008731</c:v>
                </c:pt>
                <c:pt idx="14">
                  <c:v>-5.4000000000087311E-2</c:v>
                </c:pt>
                <c:pt idx="15">
                  <c:v>0</c:v>
                </c:pt>
                <c:pt idx="16">
                  <c:v>-0.13599999999996726</c:v>
                </c:pt>
                <c:pt idx="17">
                  <c:v>-0.38799999999991996</c:v>
                </c:pt>
                <c:pt idx="18">
                  <c:v>-0.67700000000013461</c:v>
                </c:pt>
                <c:pt idx="19">
                  <c:v>-0.59499999999979991</c:v>
                </c:pt>
                <c:pt idx="20">
                  <c:v>-0.55600000000004002</c:v>
                </c:pt>
                <c:pt idx="21">
                  <c:v>-0.62600000000020373</c:v>
                </c:pt>
                <c:pt idx="22">
                  <c:v>-0.47800000000006548</c:v>
                </c:pt>
                <c:pt idx="23">
                  <c:v>-0.49400000000014188</c:v>
                </c:pt>
                <c:pt idx="24">
                  <c:v>-0.73999999999978172</c:v>
                </c:pt>
                <c:pt idx="25">
                  <c:v>-0.96399999999994179</c:v>
                </c:pt>
                <c:pt idx="26">
                  <c:v>-1.3220000000001164</c:v>
                </c:pt>
                <c:pt idx="27">
                  <c:v>-2.0970000000002074</c:v>
                </c:pt>
                <c:pt idx="28">
                  <c:v>-2.6190000000001419</c:v>
                </c:pt>
                <c:pt idx="29">
                  <c:v>-3.7159999999998945</c:v>
                </c:pt>
                <c:pt idx="30">
                  <c:v>-4.9229999999997744</c:v>
                </c:pt>
                <c:pt idx="31">
                  <c:v>-6.0949999999997999</c:v>
                </c:pt>
                <c:pt idx="32">
                  <c:v>-7.01299999999992</c:v>
                </c:pt>
                <c:pt idx="33">
                  <c:v>-7.456000000000131</c:v>
                </c:pt>
                <c:pt idx="34">
                  <c:v>-7.4989999999997963</c:v>
                </c:pt>
                <c:pt idx="35">
                  <c:v>-7.2089999999998327</c:v>
                </c:pt>
                <c:pt idx="36">
                  <c:v>-6.9650000000001455</c:v>
                </c:pt>
                <c:pt idx="37">
                  <c:v>-6.9949999999998909</c:v>
                </c:pt>
                <c:pt idx="38">
                  <c:v>-7.0670000000000073</c:v>
                </c:pt>
                <c:pt idx="39">
                  <c:v>-7.5610000000001492</c:v>
                </c:pt>
                <c:pt idx="40">
                  <c:v>-8.3699999999998909</c:v>
                </c:pt>
                <c:pt idx="41">
                  <c:v>-9.1799999999998363</c:v>
                </c:pt>
                <c:pt idx="42">
                  <c:v>-10.105000000000018</c:v>
                </c:pt>
                <c:pt idx="43">
                  <c:v>-10.976999999999862</c:v>
                </c:pt>
                <c:pt idx="44">
                  <c:v>-12.036000000000058</c:v>
                </c:pt>
                <c:pt idx="45">
                  <c:v>-13.43100000000004</c:v>
                </c:pt>
                <c:pt idx="46">
                  <c:v>-15.054999999999836</c:v>
                </c:pt>
                <c:pt idx="47">
                  <c:v>-16.545000000000073</c:v>
                </c:pt>
                <c:pt idx="48">
                  <c:v>-17.958000000000084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A-4A54-82DE-79A97296471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SUE05_2023!$M$16:$M$41</c:f>
              <c:numCache>
                <c:formatCode>0.0</c:formatCode>
                <c:ptCount val="26"/>
                <c:pt idx="0">
                  <c:v>47.5595838007482</c:v>
                </c:pt>
                <c:pt idx="1">
                  <c:v>57.5595838007482</c:v>
                </c:pt>
                <c:pt idx="2">
                  <c:v>62.553329889607745</c:v>
                </c:pt>
                <c:pt idx="3">
                  <c:v>67.553038281104193</c:v>
                </c:pt>
                <c:pt idx="4">
                  <c:v>72.551188338875562</c:v>
                </c:pt>
                <c:pt idx="5">
                  <c:v>77.54483390098747</c:v>
                </c:pt>
                <c:pt idx="6">
                  <c:v>82.536474813553184</c:v>
                </c:pt>
                <c:pt idx="7">
                  <c:v>87.535802368334927</c:v>
                </c:pt>
                <c:pt idx="8">
                  <c:v>92.53565026602142</c:v>
                </c:pt>
                <c:pt idx="9">
                  <c:v>97.53516024200907</c:v>
                </c:pt>
                <c:pt idx="10">
                  <c:v>102.53296936201355</c:v>
                </c:pt>
                <c:pt idx="11">
                  <c:v>107.532943761948</c:v>
                </c:pt>
                <c:pt idx="12">
                  <c:v>112.52688849532264</c:v>
                </c:pt>
                <c:pt idx="13">
                  <c:v>117.52186837516199</c:v>
                </c:pt>
                <c:pt idx="14">
                  <c:v>122.50903550691122</c:v>
                </c:pt>
                <c:pt idx="15">
                  <c:v>127.44860785682167</c:v>
                </c:pt>
                <c:pt idx="16">
                  <c:v>132.42128480188859</c:v>
                </c:pt>
                <c:pt idx="17">
                  <c:v>137.29945976800045</c:v>
                </c:pt>
                <c:pt idx="18">
                  <c:v>142.15158827000863</c:v>
                </c:pt>
                <c:pt idx="19">
                  <c:v>147.01228945399433</c:v>
                </c:pt>
                <c:pt idx="20">
                  <c:v>151.92729464219096</c:v>
                </c:pt>
                <c:pt idx="21">
                  <c:v>156.90763107660979</c:v>
                </c:pt>
                <c:pt idx="22">
                  <c:v>161.90744617319086</c:v>
                </c:pt>
                <c:pt idx="23">
                  <c:v>166.89902908845932</c:v>
                </c:pt>
                <c:pt idx="24">
                  <c:v>171.89307193969719</c:v>
                </c:pt>
                <c:pt idx="25">
                  <c:v>181.89307193969719</c:v>
                </c:pt>
              </c:numCache>
            </c:numRef>
          </c:xVal>
          <c:yVal>
            <c:numRef>
              <c:f>SUE05_2023!$N$16:$N$41</c:f>
              <c:numCache>
                <c:formatCode>General</c:formatCode>
                <c:ptCount val="26"/>
                <c:pt idx="0">
                  <c:v>-1.7</c:v>
                </c:pt>
                <c:pt idx="1">
                  <c:v>-0.30400000000008731</c:v>
                </c:pt>
                <c:pt idx="2">
                  <c:v>-5.4000000000087311E-2</c:v>
                </c:pt>
                <c:pt idx="3">
                  <c:v>0</c:v>
                </c:pt>
                <c:pt idx="4">
                  <c:v>-0.13599999999996726</c:v>
                </c:pt>
                <c:pt idx="5">
                  <c:v>-0.38799999999991996</c:v>
                </c:pt>
                <c:pt idx="6">
                  <c:v>-0.67700000000013461</c:v>
                </c:pt>
                <c:pt idx="7">
                  <c:v>-0.59499999999979991</c:v>
                </c:pt>
                <c:pt idx="8">
                  <c:v>-0.55600000000004002</c:v>
                </c:pt>
                <c:pt idx="9">
                  <c:v>-0.62600000000020373</c:v>
                </c:pt>
                <c:pt idx="10">
                  <c:v>-0.47800000000006548</c:v>
                </c:pt>
                <c:pt idx="11">
                  <c:v>-0.49400000000014188</c:v>
                </c:pt>
                <c:pt idx="12">
                  <c:v>-0.73999999999978172</c:v>
                </c:pt>
                <c:pt idx="13">
                  <c:v>-0.96399999999994179</c:v>
                </c:pt>
                <c:pt idx="14">
                  <c:v>-1.3220000000001164</c:v>
                </c:pt>
                <c:pt idx="15">
                  <c:v>-2.0970000000002074</c:v>
                </c:pt>
                <c:pt idx="16">
                  <c:v>-2.6190000000001419</c:v>
                </c:pt>
                <c:pt idx="17">
                  <c:v>-3.7159999999998945</c:v>
                </c:pt>
                <c:pt idx="18">
                  <c:v>-4.9229999999997744</c:v>
                </c:pt>
                <c:pt idx="19">
                  <c:v>-6.0949999999997999</c:v>
                </c:pt>
                <c:pt idx="20">
                  <c:v>-7.01299999999992</c:v>
                </c:pt>
                <c:pt idx="21">
                  <c:v>-7.456000000000131</c:v>
                </c:pt>
                <c:pt idx="22">
                  <c:v>-7.4989999999997963</c:v>
                </c:pt>
                <c:pt idx="23">
                  <c:v>-7.2089999999998327</c:v>
                </c:pt>
                <c:pt idx="24">
                  <c:v>-6.9650000000001455</c:v>
                </c:pt>
                <c:pt idx="25">
                  <c:v>-6.9949999999998909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FA-4A54-82DE-79A972964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583551"/>
        <c:axId val="1095587391"/>
      </c:scatterChart>
      <c:valAx>
        <c:axId val="109558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87391"/>
        <c:crosses val="autoZero"/>
        <c:crossBetween val="midCat"/>
      </c:valAx>
      <c:valAx>
        <c:axId val="109558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8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BUL01_2023!$P$5:$P$52</c:f>
              <c:numCache>
                <c:formatCode>0.0</c:formatCode>
                <c:ptCount val="48"/>
                <c:pt idx="0">
                  <c:v>0</c:v>
                </c:pt>
                <c:pt idx="1">
                  <c:v>1.9735815159247807</c:v>
                </c:pt>
                <c:pt idx="2">
                  <c:v>3.8328370120844353</c:v>
                </c:pt>
                <c:pt idx="3">
                  <c:v>5.8310299457122152</c:v>
                </c:pt>
                <c:pt idx="4">
                  <c:v>7.815090428661267</c:v>
                </c:pt>
                <c:pt idx="5">
                  <c:v>9.8093060639424632</c:v>
                </c:pt>
                <c:pt idx="6">
                  <c:v>11.807095842672945</c:v>
                </c:pt>
                <c:pt idx="7">
                  <c:v>13.806225403256745</c:v>
                </c:pt>
                <c:pt idx="8">
                  <c:v>15.778979569390955</c:v>
                </c:pt>
                <c:pt idx="9">
                  <c:v>17.777955307112641</c:v>
                </c:pt>
                <c:pt idx="10">
                  <c:v>19.766365476066756</c:v>
                </c:pt>
                <c:pt idx="11">
                  <c:v>21.751670490415915</c:v>
                </c:pt>
                <c:pt idx="12">
                  <c:v>23.733768116669498</c:v>
                </c:pt>
                <c:pt idx="13">
                  <c:v>25.715595303888371</c:v>
                </c:pt>
                <c:pt idx="14">
                  <c:v>27.711033852177959</c:v>
                </c:pt>
                <c:pt idx="15">
                  <c:v>29.642251084909695</c:v>
                </c:pt>
                <c:pt idx="16">
                  <c:v>31.607539613345217</c:v>
                </c:pt>
                <c:pt idx="17">
                  <c:v>32.916682844622635</c:v>
                </c:pt>
                <c:pt idx="18">
                  <c:v>34.851615401586869</c:v>
                </c:pt>
                <c:pt idx="19">
                  <c:v>36.701177241591161</c:v>
                </c:pt>
                <c:pt idx="20">
                  <c:v>38.691451343316842</c:v>
                </c:pt>
                <c:pt idx="21">
                  <c:v>40.303327269063182</c:v>
                </c:pt>
                <c:pt idx="22">
                  <c:v>42.062758711319447</c:v>
                </c:pt>
                <c:pt idx="23">
                  <c:v>43.939964081011297</c:v>
                </c:pt>
                <c:pt idx="24">
                  <c:v>45.886108731339164</c:v>
                </c:pt>
                <c:pt idx="25">
                  <c:v>47.885667682708188</c:v>
                </c:pt>
                <c:pt idx="26">
                  <c:v>49.883902904097312</c:v>
                </c:pt>
                <c:pt idx="27">
                  <c:v>51.883522617942916</c:v>
                </c:pt>
                <c:pt idx="28">
                  <c:v>53.882297242556717</c:v>
                </c:pt>
                <c:pt idx="29">
                  <c:v>55.882276992454202</c:v>
                </c:pt>
                <c:pt idx="30">
                  <c:v>57.881896706299806</c:v>
                </c:pt>
                <c:pt idx="31">
                  <c:v>59.881847705699542</c:v>
                </c:pt>
                <c:pt idx="32">
                  <c:v>61.880917239257599</c:v>
                </c:pt>
                <c:pt idx="33">
                  <c:v>63.868333652594252</c:v>
                </c:pt>
                <c:pt idx="34">
                  <c:v>65.85890241553615</c:v>
                </c:pt>
                <c:pt idx="35">
                  <c:v>67.845517375713413</c:v>
                </c:pt>
                <c:pt idx="36">
                  <c:v>69.840819608459114</c:v>
                </c:pt>
                <c:pt idx="37">
                  <c:v>71.818943719833314</c:v>
                </c:pt>
                <c:pt idx="38">
                  <c:v>73.817611025814983</c:v>
                </c:pt>
                <c:pt idx="39">
                  <c:v>75.786212305912088</c:v>
                </c:pt>
                <c:pt idx="40">
                  <c:v>77.785251074920836</c:v>
                </c:pt>
                <c:pt idx="41">
                  <c:v>79.785235074856843</c:v>
                </c:pt>
                <c:pt idx="42">
                  <c:v>81.783828330124152</c:v>
                </c:pt>
                <c:pt idx="43">
                  <c:v>83.782495636105807</c:v>
                </c:pt>
                <c:pt idx="44">
                  <c:v>85.758324576069995</c:v>
                </c:pt>
                <c:pt idx="45">
                  <c:v>87.755721882566604</c:v>
                </c:pt>
                <c:pt idx="46">
                  <c:v>89.683391719442099</c:v>
                </c:pt>
                <c:pt idx="47">
                  <c:v>91.683270715781632</c:v>
                </c:pt>
              </c:numCache>
            </c:numRef>
          </c:xVal>
          <c:yVal>
            <c:numRef>
              <c:f>BUL01_2023!$Q$5:$Q$52</c:f>
              <c:numCache>
                <c:formatCode>General</c:formatCode>
                <c:ptCount val="48"/>
                <c:pt idx="0">
                  <c:v>-4.8779999999997017</c:v>
                </c:pt>
                <c:pt idx="1">
                  <c:v>-5.2019999999997708</c:v>
                </c:pt>
                <c:pt idx="2">
                  <c:v>-4.4649999999996908</c:v>
                </c:pt>
                <c:pt idx="3">
                  <c:v>-4.3799999999996544</c:v>
                </c:pt>
                <c:pt idx="4">
                  <c:v>-4.1279999999997017</c:v>
                </c:pt>
                <c:pt idx="5">
                  <c:v>-3.975999999999658</c:v>
                </c:pt>
                <c:pt idx="6">
                  <c:v>-3.8819999999996071</c:v>
                </c:pt>
                <c:pt idx="7">
                  <c:v>-3.9409999999998035</c:v>
                </c:pt>
                <c:pt idx="8">
                  <c:v>-3.6119999999996253</c:v>
                </c:pt>
                <c:pt idx="9">
                  <c:v>-3.6759999999999309</c:v>
                </c:pt>
                <c:pt idx="10">
                  <c:v>-3.8909999999996217</c:v>
                </c:pt>
                <c:pt idx="11">
                  <c:v>-4.1329999999998108</c:v>
                </c:pt>
                <c:pt idx="12">
                  <c:v>-4.3999999999996362</c:v>
                </c:pt>
                <c:pt idx="13">
                  <c:v>-4.668999999999869</c:v>
                </c:pt>
                <c:pt idx="14">
                  <c:v>-4.8039999999996326</c:v>
                </c:pt>
                <c:pt idx="15">
                  <c:v>-5.3239999999996144</c:v>
                </c:pt>
                <c:pt idx="16">
                  <c:v>-4.9529999999999745</c:v>
                </c:pt>
                <c:pt idx="17">
                  <c:v>-3.4409999999998035</c:v>
                </c:pt>
                <c:pt idx="18">
                  <c:v>-2.9349999999999454</c:v>
                </c:pt>
                <c:pt idx="19">
                  <c:v>-3.6959999999999127</c:v>
                </c:pt>
                <c:pt idx="20">
                  <c:v>-3.4989999999997963</c:v>
                </c:pt>
                <c:pt idx="21">
                  <c:v>-2.3150000000000546</c:v>
                </c:pt>
                <c:pt idx="22">
                  <c:v>-1.3640000000000327</c:v>
                </c:pt>
                <c:pt idx="23">
                  <c:v>-0.67399999999997817</c:v>
                </c:pt>
                <c:pt idx="24">
                  <c:v>-0.21299999999973807</c:v>
                </c:pt>
                <c:pt idx="25">
                  <c:v>-0.25499999999965439</c:v>
                </c:pt>
                <c:pt idx="26">
                  <c:v>-0.17099999999982174</c:v>
                </c:pt>
                <c:pt idx="27">
                  <c:v>-0.1319999999996071</c:v>
                </c:pt>
                <c:pt idx="28">
                  <c:v>-6.1999999999898137E-2</c:v>
                </c:pt>
                <c:pt idx="29">
                  <c:v>-5.2999999999883585E-2</c:v>
                </c:pt>
                <c:pt idx="30">
                  <c:v>-1.3999999999668944E-2</c:v>
                </c:pt>
                <c:pt idx="31">
                  <c:v>0</c:v>
                </c:pt>
                <c:pt idx="32">
                  <c:v>-6.099999999969441E-2</c:v>
                </c:pt>
                <c:pt idx="33">
                  <c:v>-0.28499999999985448</c:v>
                </c:pt>
                <c:pt idx="34">
                  <c:v>-0.47899999999981446</c:v>
                </c:pt>
                <c:pt idx="35">
                  <c:v>-0.24800000000004729</c:v>
                </c:pt>
                <c:pt idx="36">
                  <c:v>-0.11099999999987631</c:v>
                </c:pt>
                <c:pt idx="37">
                  <c:v>0.18400000000019645</c:v>
                </c:pt>
                <c:pt idx="38">
                  <c:v>0.25700000000006185</c:v>
                </c:pt>
                <c:pt idx="39">
                  <c:v>-9.6000000000003638E-2</c:v>
                </c:pt>
                <c:pt idx="40">
                  <c:v>-0.15799999999990177</c:v>
                </c:pt>
                <c:pt idx="41">
                  <c:v>-0.1659999999997126</c:v>
                </c:pt>
                <c:pt idx="42">
                  <c:v>-0.24099999999998545</c:v>
                </c:pt>
                <c:pt idx="43">
                  <c:v>-0.16799999999966531</c:v>
                </c:pt>
                <c:pt idx="44">
                  <c:v>0.14200000000028012</c:v>
                </c:pt>
                <c:pt idx="45">
                  <c:v>3.999999999996362E-2</c:v>
                </c:pt>
                <c:pt idx="46">
                  <c:v>0.57300000000032014</c:v>
                </c:pt>
                <c:pt idx="47">
                  <c:v>0.55100000000038563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1-4C17-BDCF-B2DBB442D0E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BUL01_2023!$M$16:$M$40</c:f>
              <c:numCache>
                <c:formatCode>0.0</c:formatCode>
                <c:ptCount val="25"/>
                <c:pt idx="0">
                  <c:v>19.733768116669498</c:v>
                </c:pt>
                <c:pt idx="1">
                  <c:v>23.733768116669498</c:v>
                </c:pt>
                <c:pt idx="2">
                  <c:v>25.715595303888371</c:v>
                </c:pt>
                <c:pt idx="3">
                  <c:v>27.711033852177959</c:v>
                </c:pt>
                <c:pt idx="4">
                  <c:v>29.642251084909695</c:v>
                </c:pt>
                <c:pt idx="5">
                  <c:v>31.607539613345217</c:v>
                </c:pt>
                <c:pt idx="6">
                  <c:v>32.916682844622635</c:v>
                </c:pt>
                <c:pt idx="7">
                  <c:v>34.851615401586869</c:v>
                </c:pt>
                <c:pt idx="8">
                  <c:v>36.701177241591161</c:v>
                </c:pt>
                <c:pt idx="9">
                  <c:v>38.691451343316842</c:v>
                </c:pt>
                <c:pt idx="10">
                  <c:v>40.303327269063182</c:v>
                </c:pt>
                <c:pt idx="11">
                  <c:v>42.062758711319447</c:v>
                </c:pt>
                <c:pt idx="12">
                  <c:v>43.939964081011297</c:v>
                </c:pt>
                <c:pt idx="13">
                  <c:v>45.886108731339164</c:v>
                </c:pt>
                <c:pt idx="14">
                  <c:v>47.885667682708188</c:v>
                </c:pt>
                <c:pt idx="15">
                  <c:v>49.883902904097312</c:v>
                </c:pt>
                <c:pt idx="16">
                  <c:v>51.883522617942916</c:v>
                </c:pt>
                <c:pt idx="17">
                  <c:v>53.882297242556717</c:v>
                </c:pt>
                <c:pt idx="18">
                  <c:v>55.882276992454202</c:v>
                </c:pt>
                <c:pt idx="19">
                  <c:v>57.881896706299806</c:v>
                </c:pt>
                <c:pt idx="20">
                  <c:v>59.881847705699542</c:v>
                </c:pt>
                <c:pt idx="21">
                  <c:v>61.880917239257599</c:v>
                </c:pt>
                <c:pt idx="22">
                  <c:v>63.868333652594252</c:v>
                </c:pt>
                <c:pt idx="23">
                  <c:v>65.85890241553615</c:v>
                </c:pt>
                <c:pt idx="24">
                  <c:v>67.845517375713413</c:v>
                </c:pt>
              </c:numCache>
            </c:numRef>
          </c:xVal>
          <c:yVal>
            <c:numRef>
              <c:f>BUL01_2023!$N$16:$N$40</c:f>
              <c:numCache>
                <c:formatCode>General</c:formatCode>
                <c:ptCount val="25"/>
                <c:pt idx="0">
                  <c:v>-5.4729999999999563</c:v>
                </c:pt>
                <c:pt idx="1">
                  <c:v>-4.3999999999996362</c:v>
                </c:pt>
                <c:pt idx="2">
                  <c:v>-4.668999999999869</c:v>
                </c:pt>
                <c:pt idx="3">
                  <c:v>-4.8039999999996326</c:v>
                </c:pt>
                <c:pt idx="4">
                  <c:v>-5.3239999999996144</c:v>
                </c:pt>
                <c:pt idx="5">
                  <c:v>-4.9529999999999745</c:v>
                </c:pt>
                <c:pt idx="6">
                  <c:v>-3.4409999999998035</c:v>
                </c:pt>
                <c:pt idx="7">
                  <c:v>-2.9349999999999454</c:v>
                </c:pt>
                <c:pt idx="8">
                  <c:v>-3.6959999999999127</c:v>
                </c:pt>
                <c:pt idx="9">
                  <c:v>-3.4989999999997963</c:v>
                </c:pt>
                <c:pt idx="10">
                  <c:v>-2.3150000000000546</c:v>
                </c:pt>
                <c:pt idx="11">
                  <c:v>-1.3640000000000327</c:v>
                </c:pt>
                <c:pt idx="12">
                  <c:v>-0.67399999999997817</c:v>
                </c:pt>
                <c:pt idx="13">
                  <c:v>-0.21299999999973807</c:v>
                </c:pt>
                <c:pt idx="14">
                  <c:v>-0.25499999999965439</c:v>
                </c:pt>
                <c:pt idx="15">
                  <c:v>-0.17099999999982174</c:v>
                </c:pt>
                <c:pt idx="16">
                  <c:v>-0.1319999999996071</c:v>
                </c:pt>
                <c:pt idx="17">
                  <c:v>-6.1999999999898137E-2</c:v>
                </c:pt>
                <c:pt idx="18">
                  <c:v>-5.2999999999883585E-2</c:v>
                </c:pt>
                <c:pt idx="19">
                  <c:v>-1.3999999999668944E-2</c:v>
                </c:pt>
                <c:pt idx="20">
                  <c:v>0</c:v>
                </c:pt>
                <c:pt idx="21">
                  <c:v>-6.099999999969441E-2</c:v>
                </c:pt>
                <c:pt idx="22">
                  <c:v>-0.28499999999985448</c:v>
                </c:pt>
                <c:pt idx="23">
                  <c:v>-0.47899999999981446</c:v>
                </c:pt>
                <c:pt idx="24">
                  <c:v>-0.24800000000004729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21-4C17-BDCF-B2DBB442D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824095"/>
        <c:axId val="137054415"/>
      </c:scatterChart>
      <c:valAx>
        <c:axId val="113182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4415"/>
        <c:crosses val="autoZero"/>
        <c:crossBetween val="midCat"/>
      </c:valAx>
      <c:valAx>
        <c:axId val="13705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KAR01_2023!$Q$4</c:f>
              <c:strCache>
                <c:ptCount val="1"/>
              </c:strCache>
            </c:strRef>
          </c:tx>
          <c:xVal>
            <c:numRef>
              <c:f>KAR01_2023!$P$5:$P$52</c:f>
              <c:numCache>
                <c:formatCode>0.0</c:formatCode>
                <c:ptCount val="48"/>
                <c:pt idx="0">
                  <c:v>0</c:v>
                </c:pt>
                <c:pt idx="1">
                  <c:v>4.9452356870021452</c:v>
                </c:pt>
                <c:pt idx="2">
                  <c:v>9.8949984085878491</c:v>
                </c:pt>
                <c:pt idx="3">
                  <c:v>14.876039966334627</c:v>
                </c:pt>
                <c:pt idx="4">
                  <c:v>19.865204124788384</c:v>
                </c:pt>
                <c:pt idx="5">
                  <c:v>24.861706001101457</c:v>
                </c:pt>
                <c:pt idx="6">
                  <c:v>29.859544633950662</c:v>
                </c:pt>
                <c:pt idx="7">
                  <c:v>34.859135017172079</c:v>
                </c:pt>
                <c:pt idx="8">
                  <c:v>39.857312184900323</c:v>
                </c:pt>
                <c:pt idx="9">
                  <c:v>44.851739479395661</c:v>
                </c:pt>
                <c:pt idx="10">
                  <c:v>49.848389457130743</c:v>
                </c:pt>
                <c:pt idx="11">
                  <c:v>54.831878596278138</c:v>
                </c:pt>
                <c:pt idx="12">
                  <c:v>59.781784049920645</c:v>
                </c:pt>
                <c:pt idx="13">
                  <c:v>64.75539752505118</c:v>
                </c:pt>
                <c:pt idx="14">
                  <c:v>69.747607356378353</c:v>
                </c:pt>
                <c:pt idx="15">
                  <c:v>74.7287361441131</c:v>
                </c:pt>
                <c:pt idx="16">
                  <c:v>79.691016970507434</c:v>
                </c:pt>
                <c:pt idx="17">
                  <c:v>84.677382280028951</c:v>
                </c:pt>
                <c:pt idx="18">
                  <c:v>89.669195978475642</c:v>
                </c:pt>
                <c:pt idx="19">
                  <c:v>94.660247871614004</c:v>
                </c:pt>
                <c:pt idx="20">
                  <c:v>99.654436394287131</c:v>
                </c:pt>
                <c:pt idx="21">
                  <c:v>104.64905109414137</c:v>
                </c:pt>
                <c:pt idx="22">
                  <c:v>109.64508942465888</c:v>
                </c:pt>
                <c:pt idx="23">
                  <c:v>114.63965757415889</c:v>
                </c:pt>
                <c:pt idx="24">
                  <c:v>119.63608419725662</c:v>
                </c:pt>
                <c:pt idx="25">
                  <c:v>124.63231917972094</c:v>
                </c:pt>
                <c:pt idx="26">
                  <c:v>129.62882105603401</c:v>
                </c:pt>
                <c:pt idx="27">
                  <c:v>134.614360144237</c:v>
                </c:pt>
                <c:pt idx="28">
                  <c:v>139.61261744053536</c:v>
                </c:pt>
                <c:pt idx="29">
                  <c:v>144.60861583925407</c:v>
                </c:pt>
                <c:pt idx="30">
                  <c:v>149.60836583300375</c:v>
                </c:pt>
                <c:pt idx="31">
                  <c:v>154.60719929692308</c:v>
                </c:pt>
                <c:pt idx="32">
                  <c:v>159.59101269631918</c:v>
                </c:pt>
                <c:pt idx="33">
                  <c:v>164.55608067168467</c:v>
                </c:pt>
                <c:pt idx="34">
                  <c:v>169.54689132727961</c:v>
                </c:pt>
                <c:pt idx="35">
                  <c:v>174.54484600894691</c:v>
                </c:pt>
                <c:pt idx="36">
                  <c:v>179.5418522126653</c:v>
                </c:pt>
                <c:pt idx="37">
                  <c:v>184.54128968102111</c:v>
                </c:pt>
                <c:pt idx="38">
                  <c:v>189.53987338043035</c:v>
                </c:pt>
                <c:pt idx="39">
                  <c:v>194.53969697731856</c:v>
                </c:pt>
                <c:pt idx="40">
                  <c:v>199.53955257523336</c:v>
                </c:pt>
                <c:pt idx="41">
                  <c:v>204.53645401512588</c:v>
                </c:pt>
                <c:pt idx="42">
                  <c:v>209.51058067213816</c:v>
                </c:pt>
                <c:pt idx="43">
                  <c:v>214.46996611793682</c:v>
                </c:pt>
                <c:pt idx="44">
                  <c:v>219.44560185621194</c:v>
                </c:pt>
                <c:pt idx="45">
                  <c:v>224.445492955026</c:v>
                </c:pt>
                <c:pt idx="46">
                  <c:v>229.44509603927179</c:v>
                </c:pt>
                <c:pt idx="47">
                  <c:v>234.44411584319334</c:v>
                </c:pt>
              </c:numCache>
            </c:numRef>
          </c:xVal>
          <c:yVal>
            <c:numRef>
              <c:f>KAR01_2023!$Q$5:$Q$52</c:f>
              <c:numCache>
                <c:formatCode>0.0</c:formatCode>
                <c:ptCount val="48"/>
                <c:pt idx="0">
                  <c:v>-9.3110000000006039</c:v>
                </c:pt>
                <c:pt idx="1">
                  <c:v>-8.5730000000003201</c:v>
                </c:pt>
                <c:pt idx="2">
                  <c:v>-7.8659999999999854</c:v>
                </c:pt>
                <c:pt idx="3">
                  <c:v>-7.4310000000004948</c:v>
                </c:pt>
                <c:pt idx="4">
                  <c:v>-7.1019999999998618</c:v>
                </c:pt>
                <c:pt idx="5">
                  <c:v>-6.9149999999999636</c:v>
                </c:pt>
                <c:pt idx="6">
                  <c:v>-6.7680000000000291</c:v>
                </c:pt>
                <c:pt idx="7">
                  <c:v>-6.704000000000633</c:v>
                </c:pt>
                <c:pt idx="8">
                  <c:v>-6.5690000000004147</c:v>
                </c:pt>
                <c:pt idx="9">
                  <c:v>-6.3330000000005384</c:v>
                </c:pt>
                <c:pt idx="10">
                  <c:v>-6.1500000000005457</c:v>
                </c:pt>
                <c:pt idx="11">
                  <c:v>-5.7440000000005966</c:v>
                </c:pt>
                <c:pt idx="12">
                  <c:v>-5.0380000000004657</c:v>
                </c:pt>
                <c:pt idx="13">
                  <c:v>-4.5250000000005457</c:v>
                </c:pt>
                <c:pt idx="14">
                  <c:v>-4.2460000000000946</c:v>
                </c:pt>
                <c:pt idx="15">
                  <c:v>-3.8119999999998981</c:v>
                </c:pt>
                <c:pt idx="16">
                  <c:v>-3.1990000000005239</c:v>
                </c:pt>
                <c:pt idx="17">
                  <c:v>-2.8299999999999272</c:v>
                </c:pt>
                <c:pt idx="18">
                  <c:v>-2.543999999999869</c:v>
                </c:pt>
                <c:pt idx="19">
                  <c:v>-2.2449999999998909</c:v>
                </c:pt>
                <c:pt idx="20">
                  <c:v>-2.0039999999999054</c:v>
                </c:pt>
                <c:pt idx="21">
                  <c:v>-1.7719999999999345</c:v>
                </c:pt>
                <c:pt idx="22">
                  <c:v>-1.5730000000003201</c:v>
                </c:pt>
                <c:pt idx="23">
                  <c:v>-1.3400000000001455</c:v>
                </c:pt>
                <c:pt idx="24">
                  <c:v>-1.1509999999998399</c:v>
                </c:pt>
                <c:pt idx="25">
                  <c:v>-0.95700000000033469</c:v>
                </c:pt>
                <c:pt idx="26">
                  <c:v>-0.77000000000043656</c:v>
                </c:pt>
                <c:pt idx="27">
                  <c:v>-0.39000000000032742</c:v>
                </c:pt>
                <c:pt idx="28">
                  <c:v>-0.25799999999981083</c:v>
                </c:pt>
                <c:pt idx="29">
                  <c:v>-5.7999999999992724E-2</c:v>
                </c:pt>
                <c:pt idx="30">
                  <c:v>-0.10800000000017462</c:v>
                </c:pt>
                <c:pt idx="31">
                  <c:v>0</c:v>
                </c:pt>
                <c:pt idx="32">
                  <c:v>-0.40200000000004366</c:v>
                </c:pt>
                <c:pt idx="33">
                  <c:v>-0.99200000000018917</c:v>
                </c:pt>
                <c:pt idx="34">
                  <c:v>-1.2950000000000728</c:v>
                </c:pt>
                <c:pt idx="35">
                  <c:v>-1.4380000000001019</c:v>
                </c:pt>
                <c:pt idx="36">
                  <c:v>-1.6109999999998763</c:v>
                </c:pt>
                <c:pt idx="37">
                  <c:v>-1.6860000000006039</c:v>
                </c:pt>
                <c:pt idx="38">
                  <c:v>-1.5670000000000073</c:v>
                </c:pt>
                <c:pt idx="39">
                  <c:v>-1.6090000000003783</c:v>
                </c:pt>
                <c:pt idx="40">
                  <c:v>-1.5709999999999127</c:v>
                </c:pt>
                <c:pt idx="41">
                  <c:v>-1.7470000000002983</c:v>
                </c:pt>
                <c:pt idx="42">
                  <c:v>-2.2550000000001091</c:v>
                </c:pt>
                <c:pt idx="43">
                  <c:v>-2.8910000000005311</c:v>
                </c:pt>
                <c:pt idx="44">
                  <c:v>-3.3840000000000146</c:v>
                </c:pt>
                <c:pt idx="45">
                  <c:v>-3.3510000000005675</c:v>
                </c:pt>
                <c:pt idx="46">
                  <c:v>-3.2880000000004657</c:v>
                </c:pt>
                <c:pt idx="47">
                  <c:v>-3.1890000000003056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2-4A8A-A3E3-61DC0C20F099}"/>
            </c:ext>
          </c:extLst>
        </c:ser>
        <c:ser>
          <c:idx val="3"/>
          <c:order val="1"/>
          <c:xVal>
            <c:numRef>
              <c:f>KAR01_2023!$M$28:$M$52</c:f>
              <c:numCache>
                <c:formatCode>0.0</c:formatCode>
                <c:ptCount val="25"/>
                <c:pt idx="0">
                  <c:v>-5</c:v>
                </c:pt>
                <c:pt idx="1">
                  <c:v>0</c:v>
                </c:pt>
                <c:pt idx="2">
                  <c:v>4.9452356870021452</c:v>
                </c:pt>
                <c:pt idx="3">
                  <c:v>9.8949984085878491</c:v>
                </c:pt>
                <c:pt idx="4">
                  <c:v>14.876039966334627</c:v>
                </c:pt>
                <c:pt idx="5">
                  <c:v>19.865204124788384</c:v>
                </c:pt>
                <c:pt idx="6">
                  <c:v>24.861706001101457</c:v>
                </c:pt>
                <c:pt idx="7">
                  <c:v>29.859544633950662</c:v>
                </c:pt>
                <c:pt idx="8">
                  <c:v>34.859135017172079</c:v>
                </c:pt>
                <c:pt idx="9">
                  <c:v>39.857312184900323</c:v>
                </c:pt>
                <c:pt idx="10">
                  <c:v>44.851739479395661</c:v>
                </c:pt>
                <c:pt idx="11">
                  <c:v>49.848389457130743</c:v>
                </c:pt>
                <c:pt idx="12">
                  <c:v>54.831878596278138</c:v>
                </c:pt>
                <c:pt idx="13">
                  <c:v>59.781784049920645</c:v>
                </c:pt>
                <c:pt idx="14">
                  <c:v>64.75539752505118</c:v>
                </c:pt>
                <c:pt idx="15">
                  <c:v>69.747607356378353</c:v>
                </c:pt>
                <c:pt idx="16">
                  <c:v>74.7287361441131</c:v>
                </c:pt>
                <c:pt idx="17">
                  <c:v>79.691016970507434</c:v>
                </c:pt>
                <c:pt idx="18">
                  <c:v>84.677382280028951</c:v>
                </c:pt>
                <c:pt idx="19">
                  <c:v>89.669195978475642</c:v>
                </c:pt>
                <c:pt idx="20">
                  <c:v>94.660247871614004</c:v>
                </c:pt>
                <c:pt idx="21">
                  <c:v>99.654436394287131</c:v>
                </c:pt>
                <c:pt idx="22">
                  <c:v>104.64905109414137</c:v>
                </c:pt>
                <c:pt idx="23">
                  <c:v>109.64508942465888</c:v>
                </c:pt>
                <c:pt idx="24">
                  <c:v>114.63965757415889</c:v>
                </c:pt>
              </c:numCache>
            </c:numRef>
          </c:xVal>
          <c:yVal>
            <c:numRef>
              <c:f>KAR01_2023!$N$28:$N$52</c:f>
              <c:numCache>
                <c:formatCode>General</c:formatCode>
                <c:ptCount val="25"/>
                <c:pt idx="0">
                  <c:v>-9.8110000000006039</c:v>
                </c:pt>
                <c:pt idx="1">
                  <c:v>-7.9710000000004584</c:v>
                </c:pt>
                <c:pt idx="2">
                  <c:v>-7.2330000000001746</c:v>
                </c:pt>
                <c:pt idx="3">
                  <c:v>-6.5259999999998399</c:v>
                </c:pt>
                <c:pt idx="4">
                  <c:v>-6.0910000000003492</c:v>
                </c:pt>
                <c:pt idx="5">
                  <c:v>-5.7619999999997162</c:v>
                </c:pt>
                <c:pt idx="6">
                  <c:v>-5.5749999999998181</c:v>
                </c:pt>
                <c:pt idx="7">
                  <c:v>-5.4279999999998836</c:v>
                </c:pt>
                <c:pt idx="8">
                  <c:v>-5.3640000000004875</c:v>
                </c:pt>
                <c:pt idx="9">
                  <c:v>-5.2290000000002692</c:v>
                </c:pt>
                <c:pt idx="10">
                  <c:v>-4.9930000000003929</c:v>
                </c:pt>
                <c:pt idx="11">
                  <c:v>-4.8100000000004002</c:v>
                </c:pt>
                <c:pt idx="12">
                  <c:v>-4.4040000000004511</c:v>
                </c:pt>
                <c:pt idx="13">
                  <c:v>-3.6980000000003201</c:v>
                </c:pt>
                <c:pt idx="14">
                  <c:v>-3.1850000000004002</c:v>
                </c:pt>
                <c:pt idx="15">
                  <c:v>-2.9059999999999491</c:v>
                </c:pt>
                <c:pt idx="16">
                  <c:v>-2.4719999999997526</c:v>
                </c:pt>
                <c:pt idx="17">
                  <c:v>-1.8590000000003783</c:v>
                </c:pt>
                <c:pt idx="18">
                  <c:v>-1.4899999999997817</c:v>
                </c:pt>
                <c:pt idx="19">
                  <c:v>-1.2039999999997235</c:v>
                </c:pt>
                <c:pt idx="20">
                  <c:v>-0.90499999999974534</c:v>
                </c:pt>
                <c:pt idx="21">
                  <c:v>-0.66399999999975989</c:v>
                </c:pt>
                <c:pt idx="22">
                  <c:v>-0.431999999999789</c:v>
                </c:pt>
                <c:pt idx="23">
                  <c:v>-0.23300000000017462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D2-4A8A-A3E3-61DC0C20F099}"/>
            </c:ext>
          </c:extLst>
        </c:ser>
        <c:ser>
          <c:idx val="0"/>
          <c:order val="2"/>
          <c:tx>
            <c:strRef>
              <c:f>KAR01_2023!$Q$4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KAR01_2023!$P$5:$P$52</c:f>
              <c:numCache>
                <c:formatCode>0.0</c:formatCode>
                <c:ptCount val="48"/>
                <c:pt idx="0">
                  <c:v>0</c:v>
                </c:pt>
                <c:pt idx="1">
                  <c:v>4.9452356870021452</c:v>
                </c:pt>
                <c:pt idx="2">
                  <c:v>9.8949984085878491</c:v>
                </c:pt>
                <c:pt idx="3">
                  <c:v>14.876039966334627</c:v>
                </c:pt>
                <c:pt idx="4">
                  <c:v>19.865204124788384</c:v>
                </c:pt>
                <c:pt idx="5">
                  <c:v>24.861706001101457</c:v>
                </c:pt>
                <c:pt idx="6">
                  <c:v>29.859544633950662</c:v>
                </c:pt>
                <c:pt idx="7">
                  <c:v>34.859135017172079</c:v>
                </c:pt>
                <c:pt idx="8">
                  <c:v>39.857312184900323</c:v>
                </c:pt>
                <c:pt idx="9">
                  <c:v>44.851739479395661</c:v>
                </c:pt>
                <c:pt idx="10">
                  <c:v>49.848389457130743</c:v>
                </c:pt>
                <c:pt idx="11">
                  <c:v>54.831878596278138</c:v>
                </c:pt>
                <c:pt idx="12">
                  <c:v>59.781784049920645</c:v>
                </c:pt>
                <c:pt idx="13">
                  <c:v>64.75539752505118</c:v>
                </c:pt>
                <c:pt idx="14">
                  <c:v>69.747607356378353</c:v>
                </c:pt>
                <c:pt idx="15">
                  <c:v>74.7287361441131</c:v>
                </c:pt>
                <c:pt idx="16">
                  <c:v>79.691016970507434</c:v>
                </c:pt>
                <c:pt idx="17">
                  <c:v>84.677382280028951</c:v>
                </c:pt>
                <c:pt idx="18">
                  <c:v>89.669195978475642</c:v>
                </c:pt>
                <c:pt idx="19">
                  <c:v>94.660247871614004</c:v>
                </c:pt>
                <c:pt idx="20">
                  <c:v>99.654436394287131</c:v>
                </c:pt>
                <c:pt idx="21">
                  <c:v>104.64905109414137</c:v>
                </c:pt>
                <c:pt idx="22">
                  <c:v>109.64508942465888</c:v>
                </c:pt>
                <c:pt idx="23">
                  <c:v>114.63965757415889</c:v>
                </c:pt>
                <c:pt idx="24">
                  <c:v>119.63608419725662</c:v>
                </c:pt>
                <c:pt idx="25">
                  <c:v>124.63231917972094</c:v>
                </c:pt>
                <c:pt idx="26">
                  <c:v>129.62882105603401</c:v>
                </c:pt>
                <c:pt idx="27">
                  <c:v>134.614360144237</c:v>
                </c:pt>
                <c:pt idx="28">
                  <c:v>139.61261744053536</c:v>
                </c:pt>
                <c:pt idx="29">
                  <c:v>144.60861583925407</c:v>
                </c:pt>
                <c:pt idx="30">
                  <c:v>149.60836583300375</c:v>
                </c:pt>
                <c:pt idx="31">
                  <c:v>154.60719929692308</c:v>
                </c:pt>
                <c:pt idx="32">
                  <c:v>159.59101269631918</c:v>
                </c:pt>
                <c:pt idx="33">
                  <c:v>164.55608067168467</c:v>
                </c:pt>
                <c:pt idx="34">
                  <c:v>169.54689132727961</c:v>
                </c:pt>
                <c:pt idx="35">
                  <c:v>174.54484600894691</c:v>
                </c:pt>
                <c:pt idx="36">
                  <c:v>179.5418522126653</c:v>
                </c:pt>
                <c:pt idx="37">
                  <c:v>184.54128968102111</c:v>
                </c:pt>
                <c:pt idx="38">
                  <c:v>189.53987338043035</c:v>
                </c:pt>
                <c:pt idx="39">
                  <c:v>194.53969697731856</c:v>
                </c:pt>
                <c:pt idx="40">
                  <c:v>199.53955257523336</c:v>
                </c:pt>
                <c:pt idx="41">
                  <c:v>204.53645401512588</c:v>
                </c:pt>
                <c:pt idx="42">
                  <c:v>209.51058067213816</c:v>
                </c:pt>
                <c:pt idx="43">
                  <c:v>214.46996611793682</c:v>
                </c:pt>
                <c:pt idx="44">
                  <c:v>219.44560185621194</c:v>
                </c:pt>
                <c:pt idx="45">
                  <c:v>224.445492955026</c:v>
                </c:pt>
                <c:pt idx="46">
                  <c:v>229.44509603927179</c:v>
                </c:pt>
                <c:pt idx="47">
                  <c:v>234.44411584319334</c:v>
                </c:pt>
              </c:numCache>
            </c:numRef>
          </c:xVal>
          <c:yVal>
            <c:numRef>
              <c:f>KAR01_2023!$Q$5:$Q$52</c:f>
              <c:numCache>
                <c:formatCode>0.0</c:formatCode>
                <c:ptCount val="48"/>
                <c:pt idx="0">
                  <c:v>-9.3110000000006039</c:v>
                </c:pt>
                <c:pt idx="1">
                  <c:v>-8.5730000000003201</c:v>
                </c:pt>
                <c:pt idx="2">
                  <c:v>-7.8659999999999854</c:v>
                </c:pt>
                <c:pt idx="3">
                  <c:v>-7.4310000000004948</c:v>
                </c:pt>
                <c:pt idx="4">
                  <c:v>-7.1019999999998618</c:v>
                </c:pt>
                <c:pt idx="5">
                  <c:v>-6.9149999999999636</c:v>
                </c:pt>
                <c:pt idx="6">
                  <c:v>-6.7680000000000291</c:v>
                </c:pt>
                <c:pt idx="7">
                  <c:v>-6.704000000000633</c:v>
                </c:pt>
                <c:pt idx="8">
                  <c:v>-6.5690000000004147</c:v>
                </c:pt>
                <c:pt idx="9">
                  <c:v>-6.3330000000005384</c:v>
                </c:pt>
                <c:pt idx="10">
                  <c:v>-6.1500000000005457</c:v>
                </c:pt>
                <c:pt idx="11">
                  <c:v>-5.7440000000005966</c:v>
                </c:pt>
                <c:pt idx="12">
                  <c:v>-5.0380000000004657</c:v>
                </c:pt>
                <c:pt idx="13">
                  <c:v>-4.5250000000005457</c:v>
                </c:pt>
                <c:pt idx="14">
                  <c:v>-4.2460000000000946</c:v>
                </c:pt>
                <c:pt idx="15">
                  <c:v>-3.8119999999998981</c:v>
                </c:pt>
                <c:pt idx="16">
                  <c:v>-3.1990000000005239</c:v>
                </c:pt>
                <c:pt idx="17">
                  <c:v>-2.8299999999999272</c:v>
                </c:pt>
                <c:pt idx="18">
                  <c:v>-2.543999999999869</c:v>
                </c:pt>
                <c:pt idx="19">
                  <c:v>-2.2449999999998909</c:v>
                </c:pt>
                <c:pt idx="20">
                  <c:v>-2.0039999999999054</c:v>
                </c:pt>
                <c:pt idx="21">
                  <c:v>-1.7719999999999345</c:v>
                </c:pt>
                <c:pt idx="22">
                  <c:v>-1.5730000000003201</c:v>
                </c:pt>
                <c:pt idx="23">
                  <c:v>-1.3400000000001455</c:v>
                </c:pt>
                <c:pt idx="24">
                  <c:v>-1.1509999999998399</c:v>
                </c:pt>
                <c:pt idx="25">
                  <c:v>-0.95700000000033469</c:v>
                </c:pt>
                <c:pt idx="26">
                  <c:v>-0.77000000000043656</c:v>
                </c:pt>
                <c:pt idx="27">
                  <c:v>-0.39000000000032742</c:v>
                </c:pt>
                <c:pt idx="28">
                  <c:v>-0.25799999999981083</c:v>
                </c:pt>
                <c:pt idx="29">
                  <c:v>-5.7999999999992724E-2</c:v>
                </c:pt>
                <c:pt idx="30">
                  <c:v>-0.10800000000017462</c:v>
                </c:pt>
                <c:pt idx="31">
                  <c:v>0</c:v>
                </c:pt>
                <c:pt idx="32">
                  <c:v>-0.40200000000004366</c:v>
                </c:pt>
                <c:pt idx="33">
                  <c:v>-0.99200000000018917</c:v>
                </c:pt>
                <c:pt idx="34">
                  <c:v>-1.2950000000000728</c:v>
                </c:pt>
                <c:pt idx="35">
                  <c:v>-1.4380000000001019</c:v>
                </c:pt>
                <c:pt idx="36">
                  <c:v>-1.6109999999998763</c:v>
                </c:pt>
                <c:pt idx="37">
                  <c:v>-1.6860000000006039</c:v>
                </c:pt>
                <c:pt idx="38">
                  <c:v>-1.5670000000000073</c:v>
                </c:pt>
                <c:pt idx="39">
                  <c:v>-1.6090000000003783</c:v>
                </c:pt>
                <c:pt idx="40">
                  <c:v>-1.5709999999999127</c:v>
                </c:pt>
                <c:pt idx="41">
                  <c:v>-1.7470000000002983</c:v>
                </c:pt>
                <c:pt idx="42">
                  <c:v>-2.2550000000001091</c:v>
                </c:pt>
                <c:pt idx="43">
                  <c:v>-2.8910000000005311</c:v>
                </c:pt>
                <c:pt idx="44">
                  <c:v>-3.3840000000000146</c:v>
                </c:pt>
                <c:pt idx="45">
                  <c:v>-3.3510000000005675</c:v>
                </c:pt>
                <c:pt idx="46">
                  <c:v>-3.2880000000004657</c:v>
                </c:pt>
                <c:pt idx="47">
                  <c:v>-3.1890000000003056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D2-4A8A-A3E3-61DC0C20F099}"/>
            </c:ext>
          </c:extLst>
        </c:ser>
        <c:ser>
          <c:idx val="1"/>
          <c:order val="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KAR01_2023!$M$28:$M$52</c:f>
              <c:numCache>
                <c:formatCode>0.0</c:formatCode>
                <c:ptCount val="25"/>
                <c:pt idx="0">
                  <c:v>-5</c:v>
                </c:pt>
                <c:pt idx="1">
                  <c:v>0</c:v>
                </c:pt>
                <c:pt idx="2">
                  <c:v>4.9452356870021452</c:v>
                </c:pt>
                <c:pt idx="3">
                  <c:v>9.8949984085878491</c:v>
                </c:pt>
                <c:pt idx="4">
                  <c:v>14.876039966334627</c:v>
                </c:pt>
                <c:pt idx="5">
                  <c:v>19.865204124788384</c:v>
                </c:pt>
                <c:pt idx="6">
                  <c:v>24.861706001101457</c:v>
                </c:pt>
                <c:pt idx="7">
                  <c:v>29.859544633950662</c:v>
                </c:pt>
                <c:pt idx="8">
                  <c:v>34.859135017172079</c:v>
                </c:pt>
                <c:pt idx="9">
                  <c:v>39.857312184900323</c:v>
                </c:pt>
                <c:pt idx="10">
                  <c:v>44.851739479395661</c:v>
                </c:pt>
                <c:pt idx="11">
                  <c:v>49.848389457130743</c:v>
                </c:pt>
                <c:pt idx="12">
                  <c:v>54.831878596278138</c:v>
                </c:pt>
                <c:pt idx="13">
                  <c:v>59.781784049920645</c:v>
                </c:pt>
                <c:pt idx="14">
                  <c:v>64.75539752505118</c:v>
                </c:pt>
                <c:pt idx="15">
                  <c:v>69.747607356378353</c:v>
                </c:pt>
                <c:pt idx="16">
                  <c:v>74.7287361441131</c:v>
                </c:pt>
                <c:pt idx="17">
                  <c:v>79.691016970507434</c:v>
                </c:pt>
                <c:pt idx="18">
                  <c:v>84.677382280028951</c:v>
                </c:pt>
                <c:pt idx="19">
                  <c:v>89.669195978475642</c:v>
                </c:pt>
                <c:pt idx="20">
                  <c:v>94.660247871614004</c:v>
                </c:pt>
                <c:pt idx="21">
                  <c:v>99.654436394287131</c:v>
                </c:pt>
                <c:pt idx="22">
                  <c:v>104.64905109414137</c:v>
                </c:pt>
                <c:pt idx="23">
                  <c:v>109.64508942465888</c:v>
                </c:pt>
                <c:pt idx="24">
                  <c:v>114.63965757415889</c:v>
                </c:pt>
              </c:numCache>
            </c:numRef>
          </c:xVal>
          <c:yVal>
            <c:numRef>
              <c:f>KAR01_2023!$N$28:$N$52</c:f>
              <c:numCache>
                <c:formatCode>General</c:formatCode>
                <c:ptCount val="25"/>
                <c:pt idx="0">
                  <c:v>-9.8110000000006039</c:v>
                </c:pt>
                <c:pt idx="1">
                  <c:v>-7.9710000000004584</c:v>
                </c:pt>
                <c:pt idx="2">
                  <c:v>-7.2330000000001746</c:v>
                </c:pt>
                <c:pt idx="3">
                  <c:v>-6.5259999999998399</c:v>
                </c:pt>
                <c:pt idx="4">
                  <c:v>-6.0910000000003492</c:v>
                </c:pt>
                <c:pt idx="5">
                  <c:v>-5.7619999999997162</c:v>
                </c:pt>
                <c:pt idx="6">
                  <c:v>-5.5749999999998181</c:v>
                </c:pt>
                <c:pt idx="7">
                  <c:v>-5.4279999999998836</c:v>
                </c:pt>
                <c:pt idx="8">
                  <c:v>-5.3640000000004875</c:v>
                </c:pt>
                <c:pt idx="9">
                  <c:v>-5.2290000000002692</c:v>
                </c:pt>
                <c:pt idx="10">
                  <c:v>-4.9930000000003929</c:v>
                </c:pt>
                <c:pt idx="11">
                  <c:v>-4.8100000000004002</c:v>
                </c:pt>
                <c:pt idx="12">
                  <c:v>-4.4040000000004511</c:v>
                </c:pt>
                <c:pt idx="13">
                  <c:v>-3.6980000000003201</c:v>
                </c:pt>
                <c:pt idx="14">
                  <c:v>-3.1850000000004002</c:v>
                </c:pt>
                <c:pt idx="15">
                  <c:v>-2.9059999999999491</c:v>
                </c:pt>
                <c:pt idx="16">
                  <c:v>-2.4719999999997526</c:v>
                </c:pt>
                <c:pt idx="17">
                  <c:v>-1.8590000000003783</c:v>
                </c:pt>
                <c:pt idx="18">
                  <c:v>-1.4899999999997817</c:v>
                </c:pt>
                <c:pt idx="19">
                  <c:v>-1.2039999999997235</c:v>
                </c:pt>
                <c:pt idx="20">
                  <c:v>-0.90499999999974534</c:v>
                </c:pt>
                <c:pt idx="21">
                  <c:v>-0.66399999999975989</c:v>
                </c:pt>
                <c:pt idx="22">
                  <c:v>-0.431999999999789</c:v>
                </c:pt>
                <c:pt idx="23">
                  <c:v>-0.23300000000017462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D2-4A8A-A3E3-61DC0C20F099}"/>
            </c:ext>
          </c:extLst>
        </c:ser>
        <c:ser>
          <c:idx val="4"/>
          <c:order val="4"/>
          <c:xVal>
            <c:numRef>
              <c:f>KAR01_2023!$I$4:$I$28</c:f>
              <c:numCache>
                <c:formatCode>0.0</c:formatCode>
                <c:ptCount val="25"/>
                <c:pt idx="0">
                  <c:v>-5</c:v>
                </c:pt>
                <c:pt idx="1">
                  <c:v>0</c:v>
                </c:pt>
                <c:pt idx="2">
                  <c:v>4.9452356870021452</c:v>
                </c:pt>
                <c:pt idx="3">
                  <c:v>9.8949984085878491</c:v>
                </c:pt>
                <c:pt idx="4">
                  <c:v>14.876039966334627</c:v>
                </c:pt>
                <c:pt idx="5">
                  <c:v>19.865204124788384</c:v>
                </c:pt>
                <c:pt idx="6">
                  <c:v>24.861706001101457</c:v>
                </c:pt>
                <c:pt idx="7">
                  <c:v>29.859544633950662</c:v>
                </c:pt>
                <c:pt idx="8">
                  <c:v>34.859135017172079</c:v>
                </c:pt>
                <c:pt idx="9">
                  <c:v>39.857312184900323</c:v>
                </c:pt>
                <c:pt idx="10">
                  <c:v>44.851739479395661</c:v>
                </c:pt>
                <c:pt idx="11">
                  <c:v>49.848389457130743</c:v>
                </c:pt>
                <c:pt idx="12">
                  <c:v>54.831878596278138</c:v>
                </c:pt>
                <c:pt idx="13">
                  <c:v>59.781784049920645</c:v>
                </c:pt>
                <c:pt idx="14">
                  <c:v>64.75539752505118</c:v>
                </c:pt>
                <c:pt idx="15">
                  <c:v>69.747607356378353</c:v>
                </c:pt>
                <c:pt idx="16">
                  <c:v>74.7287361441131</c:v>
                </c:pt>
                <c:pt idx="17">
                  <c:v>79.691016970507434</c:v>
                </c:pt>
                <c:pt idx="18">
                  <c:v>84.677382280028951</c:v>
                </c:pt>
                <c:pt idx="19">
                  <c:v>89.669195978475642</c:v>
                </c:pt>
                <c:pt idx="20">
                  <c:v>94.660247871614004</c:v>
                </c:pt>
                <c:pt idx="21">
                  <c:v>99.654436394287131</c:v>
                </c:pt>
                <c:pt idx="22">
                  <c:v>104.64905109414137</c:v>
                </c:pt>
                <c:pt idx="23">
                  <c:v>109.64508942465888</c:v>
                </c:pt>
                <c:pt idx="24">
                  <c:v>114.63965757415889</c:v>
                </c:pt>
              </c:numCache>
            </c:numRef>
          </c:xVal>
          <c:yVal>
            <c:numRef>
              <c:f>KAR01_2023!$J$4:$J$28</c:f>
              <c:numCache>
                <c:formatCode>General</c:formatCode>
                <c:ptCount val="25"/>
                <c:pt idx="0">
                  <c:v>-9.8110000000006039</c:v>
                </c:pt>
                <c:pt idx="1">
                  <c:v>-9.3110000000006039</c:v>
                </c:pt>
                <c:pt idx="2">
                  <c:v>-8.5730000000003201</c:v>
                </c:pt>
                <c:pt idx="3">
                  <c:v>-7.8659999999999854</c:v>
                </c:pt>
                <c:pt idx="4">
                  <c:v>-7.4310000000004948</c:v>
                </c:pt>
                <c:pt idx="5">
                  <c:v>-7.1019999999998618</c:v>
                </c:pt>
                <c:pt idx="6">
                  <c:v>-6.9149999999999636</c:v>
                </c:pt>
                <c:pt idx="7">
                  <c:v>-6.7680000000000291</c:v>
                </c:pt>
                <c:pt idx="8">
                  <c:v>-6.704000000000633</c:v>
                </c:pt>
                <c:pt idx="9">
                  <c:v>-6.5690000000004147</c:v>
                </c:pt>
                <c:pt idx="10">
                  <c:v>-6.3330000000005384</c:v>
                </c:pt>
                <c:pt idx="11">
                  <c:v>-6.1500000000005457</c:v>
                </c:pt>
                <c:pt idx="12">
                  <c:v>-5.7440000000005966</c:v>
                </c:pt>
                <c:pt idx="13">
                  <c:v>-5.0380000000004657</c:v>
                </c:pt>
                <c:pt idx="14">
                  <c:v>-4.5250000000005457</c:v>
                </c:pt>
                <c:pt idx="15">
                  <c:v>-4.2460000000000946</c:v>
                </c:pt>
                <c:pt idx="16">
                  <c:v>-3.8119999999998981</c:v>
                </c:pt>
                <c:pt idx="17">
                  <c:v>-3.1990000000005239</c:v>
                </c:pt>
                <c:pt idx="18">
                  <c:v>-2.8299999999999272</c:v>
                </c:pt>
                <c:pt idx="19">
                  <c:v>-2.543999999999869</c:v>
                </c:pt>
                <c:pt idx="20">
                  <c:v>-2.2449999999998909</c:v>
                </c:pt>
                <c:pt idx="21">
                  <c:v>-2.0039999999999054</c:v>
                </c:pt>
                <c:pt idx="22">
                  <c:v>-1.7719999999999345</c:v>
                </c:pt>
                <c:pt idx="23">
                  <c:v>-1.5730000000003201</c:v>
                </c:pt>
                <c:pt idx="24">
                  <c:v>-1.3400000000001455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D2-4A8A-A3E3-61DC0C20F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823615"/>
        <c:axId val="1131826975"/>
      </c:scatterChart>
      <c:valAx>
        <c:axId val="113182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6975"/>
        <c:crosses val="autoZero"/>
        <c:crossBetween val="midCat"/>
      </c:valAx>
      <c:valAx>
        <c:axId val="113182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361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122703412073497E-2"/>
          <c:y val="0.19721055701370663"/>
          <c:w val="0.86672462817147855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ZUL01_2023!$P$5:$P$76</c:f>
              <c:numCache>
                <c:formatCode>0.0</c:formatCode>
                <c:ptCount val="72"/>
                <c:pt idx="0">
                  <c:v>0</c:v>
                </c:pt>
                <c:pt idx="1">
                  <c:v>4.9957132623880884</c:v>
                </c:pt>
                <c:pt idx="2">
                  <c:v>9.9857808972002342</c:v>
                </c:pt>
                <c:pt idx="3">
                  <c:v>14.940416706217945</c:v>
                </c:pt>
                <c:pt idx="4">
                  <c:v>19.92610783182927</c:v>
                </c:pt>
                <c:pt idx="5">
                  <c:v>24.868317459111413</c:v>
                </c:pt>
                <c:pt idx="6">
                  <c:v>29.827702904910179</c:v>
                </c:pt>
                <c:pt idx="7">
                  <c:v>34.811354578131294</c:v>
                </c:pt>
                <c:pt idx="8">
                  <c:v>39.797940985685059</c:v>
                </c:pt>
                <c:pt idx="9">
                  <c:v>44.788690829145452</c:v>
                </c:pt>
                <c:pt idx="10">
                  <c:v>49.757344469720508</c:v>
                </c:pt>
                <c:pt idx="11">
                  <c:v>54.737143562053483</c:v>
                </c:pt>
                <c:pt idx="12">
                  <c:v>59.73713866205108</c:v>
                </c:pt>
                <c:pt idx="13">
                  <c:v>64.707456961717526</c:v>
                </c:pt>
                <c:pt idx="14">
                  <c:v>69.699666793044756</c:v>
                </c:pt>
                <c:pt idx="15">
                  <c:v>74.679103608589216</c:v>
                </c:pt>
                <c:pt idx="16">
                  <c:v>79.669731224430762</c:v>
                </c:pt>
                <c:pt idx="17">
                  <c:v>84.649620379823659</c:v>
                </c:pt>
                <c:pt idx="18">
                  <c:v>89.627481366231436</c:v>
                </c:pt>
                <c:pt idx="19">
                  <c:v>94.552090487775885</c:v>
                </c:pt>
                <c:pt idx="20">
                  <c:v>99.475818749977222</c:v>
                </c:pt>
                <c:pt idx="21">
                  <c:v>104.42060580302612</c:v>
                </c:pt>
                <c:pt idx="22">
                  <c:v>109.33783713783234</c:v>
                </c:pt>
                <c:pt idx="23">
                  <c:v>114.30782617202551</c:v>
                </c:pt>
                <c:pt idx="24">
                  <c:v>119.20741707331507</c:v>
                </c:pt>
                <c:pt idx="25">
                  <c:v>124.13988491406165</c:v>
                </c:pt>
                <c:pt idx="26">
                  <c:v>129.11746173416196</c:v>
                </c:pt>
                <c:pt idx="27">
                  <c:v>134.08950517725464</c:v>
                </c:pt>
                <c:pt idx="28">
                  <c:v>138.98725608966325</c:v>
                </c:pt>
                <c:pt idx="29">
                  <c:v>143.96318816315463</c:v>
                </c:pt>
                <c:pt idx="30">
                  <c:v>148.94038325677917</c:v>
                </c:pt>
                <c:pt idx="31">
                  <c:v>153.88710095642608</c:v>
                </c:pt>
                <c:pt idx="32">
                  <c:v>158.87026260341287</c:v>
                </c:pt>
                <c:pt idx="33">
                  <c:v>163.84509918364341</c:v>
                </c:pt>
                <c:pt idx="34">
                  <c:v>168.83714044949849</c:v>
                </c:pt>
                <c:pt idx="35">
                  <c:v>173.83032370269478</c:v>
                </c:pt>
                <c:pt idx="36">
                  <c:v>178.82318971331435</c:v>
                </c:pt>
                <c:pt idx="37">
                  <c:v>183.82287610347925</c:v>
                </c:pt>
                <c:pt idx="38">
                  <c:v>188.82041059560635</c:v>
                </c:pt>
                <c:pt idx="39">
                  <c:v>193.8151177942317</c:v>
                </c:pt>
                <c:pt idx="40">
                  <c:v>198.81201923412425</c:v>
                </c:pt>
                <c:pt idx="41">
                  <c:v>203.80988717955859</c:v>
                </c:pt>
                <c:pt idx="42">
                  <c:v>208.80896549460826</c:v>
                </c:pt>
                <c:pt idx="43">
                  <c:v>213.80889259407681</c:v>
                </c:pt>
                <c:pt idx="44">
                  <c:v>218.80706976180505</c:v>
                </c:pt>
                <c:pt idx="45">
                  <c:v>223.80030518585627</c:v>
                </c:pt>
                <c:pt idx="46">
                  <c:v>228.7949198857105</c:v>
                </c:pt>
                <c:pt idx="47">
                  <c:v>233.79142176202356</c:v>
                </c:pt>
                <c:pt idx="48">
                  <c:v>238.70809940042946</c:v>
                </c:pt>
                <c:pt idx="49">
                  <c:v>243.68642994389481</c:v>
                </c:pt>
                <c:pt idx="50">
                  <c:v>248.6663190992877</c:v>
                </c:pt>
                <c:pt idx="51">
                  <c:v>253.58826993203698</c:v>
                </c:pt>
                <c:pt idx="52">
                  <c:v>258.43990048268677</c:v>
                </c:pt>
                <c:pt idx="53">
                  <c:v>263.22473057371406</c:v>
                </c:pt>
                <c:pt idx="54">
                  <c:v>268.15195088541122</c:v>
                </c:pt>
                <c:pt idx="55">
                  <c:v>273.119583722085</c:v>
                </c:pt>
                <c:pt idx="56">
                  <c:v>278.11892757903263</c:v>
                </c:pt>
                <c:pt idx="57">
                  <c:v>283.07805613151038</c:v>
                </c:pt>
                <c:pt idx="58">
                  <c:v>287.85769795909539</c:v>
                </c:pt>
                <c:pt idx="59">
                  <c:v>292.83621490694242</c:v>
                </c:pt>
                <c:pt idx="60">
                  <c:v>296.43897926226686</c:v>
                </c:pt>
                <c:pt idx="61">
                  <c:v>301.39266062061034</c:v>
                </c:pt>
                <c:pt idx="62">
                  <c:v>306.36617084981464</c:v>
                </c:pt>
                <c:pt idx="63">
                  <c:v>310.40974834999946</c:v>
                </c:pt>
                <c:pt idx="64">
                  <c:v>314.72300222613495</c:v>
                </c:pt>
                <c:pt idx="65">
                  <c:v>319.18309191133176</c:v>
                </c:pt>
                <c:pt idx="66">
                  <c:v>323.74934102849551</c:v>
                </c:pt>
                <c:pt idx="67">
                  <c:v>328.63827710907589</c:v>
                </c:pt>
                <c:pt idx="68">
                  <c:v>333.52742744425672</c:v>
                </c:pt>
                <c:pt idx="69">
                  <c:v>338.52739134412639</c:v>
                </c:pt>
                <c:pt idx="70">
                  <c:v>343.43708420621056</c:v>
                </c:pt>
                <c:pt idx="71">
                  <c:v>348.22643739844835</c:v>
                </c:pt>
              </c:numCache>
            </c:numRef>
          </c:xVal>
          <c:yVal>
            <c:numRef>
              <c:f>ZUL01_2023!$Q$5:$Q$76</c:f>
              <c:numCache>
                <c:formatCode>General</c:formatCode>
                <c:ptCount val="72"/>
                <c:pt idx="0">
                  <c:v>5.0549999999993815</c:v>
                </c:pt>
                <c:pt idx="1">
                  <c:v>4.8479999999999563</c:v>
                </c:pt>
                <c:pt idx="2">
                  <c:v>4.532999999999447</c:v>
                </c:pt>
                <c:pt idx="3">
                  <c:v>3.8609999999998763</c:v>
                </c:pt>
                <c:pt idx="4">
                  <c:v>3.4829999999992651</c:v>
                </c:pt>
                <c:pt idx="5">
                  <c:v>2.7249999999994543</c:v>
                </c:pt>
                <c:pt idx="6">
                  <c:v>2.0889999999999418</c:v>
                </c:pt>
                <c:pt idx="7">
                  <c:v>1.6849999999994907</c:v>
                </c:pt>
                <c:pt idx="8">
                  <c:v>1.3189999999995052</c:v>
                </c:pt>
                <c:pt idx="9">
                  <c:v>1.0149999999994179</c:v>
                </c:pt>
                <c:pt idx="10">
                  <c:v>0.45599999999922147</c:v>
                </c:pt>
                <c:pt idx="11">
                  <c:v>6.9999999996070983E-3</c:v>
                </c:pt>
                <c:pt idx="12">
                  <c:v>0</c:v>
                </c:pt>
                <c:pt idx="13">
                  <c:v>-0.54400000000077853</c:v>
                </c:pt>
                <c:pt idx="14">
                  <c:v>-0.82300000000032014</c:v>
                </c:pt>
                <c:pt idx="15">
                  <c:v>-1.2760000000007494</c:v>
                </c:pt>
                <c:pt idx="16">
                  <c:v>-1.5820000000003347</c:v>
                </c:pt>
                <c:pt idx="17">
                  <c:v>-2.0300000000006548</c:v>
                </c:pt>
                <c:pt idx="18">
                  <c:v>-2.5</c:v>
                </c:pt>
                <c:pt idx="19">
                  <c:v>-3.3650000000006912</c:v>
                </c:pt>
                <c:pt idx="20">
                  <c:v>-4.2350000000005821</c:v>
                </c:pt>
                <c:pt idx="21">
                  <c:v>-4.9760000000005675</c:v>
                </c:pt>
                <c:pt idx="22">
                  <c:v>-5.8820000000005166</c:v>
                </c:pt>
                <c:pt idx="23">
                  <c:v>-6.4290000000000873</c:v>
                </c:pt>
                <c:pt idx="24">
                  <c:v>-7.4260000000003856</c:v>
                </c:pt>
                <c:pt idx="25">
                  <c:v>-8.2450000000008004</c:v>
                </c:pt>
                <c:pt idx="26">
                  <c:v>-8.7180000000007567</c:v>
                </c:pt>
                <c:pt idx="27">
                  <c:v>-9.2460000000000946</c:v>
                </c:pt>
                <c:pt idx="28">
                  <c:v>-10.252000000000407</c:v>
                </c:pt>
                <c:pt idx="29">
                  <c:v>-10.742000000000189</c:v>
                </c:pt>
                <c:pt idx="30">
                  <c:v>-11.219000000000051</c:v>
                </c:pt>
                <c:pt idx="31">
                  <c:v>-11.947000000000116</c:v>
                </c:pt>
                <c:pt idx="32">
                  <c:v>-12.356999999999971</c:v>
                </c:pt>
                <c:pt idx="33">
                  <c:v>-12.858000000000175</c:v>
                </c:pt>
                <c:pt idx="34">
                  <c:v>-13.140000000000327</c:v>
                </c:pt>
                <c:pt idx="35">
                  <c:v>-13.401000000000749</c:v>
                </c:pt>
                <c:pt idx="36">
                  <c:v>-13.668000000000575</c:v>
                </c:pt>
                <c:pt idx="37">
                  <c:v>-13.72400000000016</c:v>
                </c:pt>
                <c:pt idx="38">
                  <c:v>-13.881000000000313</c:v>
                </c:pt>
                <c:pt idx="39">
                  <c:v>-14.111000000000786</c:v>
                </c:pt>
                <c:pt idx="40">
                  <c:v>-14.287000000000262</c:v>
                </c:pt>
                <c:pt idx="41">
                  <c:v>-14.432999999999993</c:v>
                </c:pt>
                <c:pt idx="42">
                  <c:v>-14.529000000000451</c:v>
                </c:pt>
                <c:pt idx="43">
                  <c:v>-14.502000000000407</c:v>
                </c:pt>
                <c:pt idx="44">
                  <c:v>-14.367000000000189</c:v>
                </c:pt>
                <c:pt idx="45">
                  <c:v>-14.106999999999971</c:v>
                </c:pt>
                <c:pt idx="46">
                  <c:v>-13.875</c:v>
                </c:pt>
                <c:pt idx="47">
                  <c:v>-13.688000000000102</c:v>
                </c:pt>
                <c:pt idx="48">
                  <c:v>-12.779000000000451</c:v>
                </c:pt>
                <c:pt idx="49">
                  <c:v>-12.314000000000306</c:v>
                </c:pt>
                <c:pt idx="50">
                  <c:v>-11.865999999999985</c:v>
                </c:pt>
                <c:pt idx="51">
                  <c:v>-10.986000000000786</c:v>
                </c:pt>
                <c:pt idx="52">
                  <c:v>-9.7770000000000437</c:v>
                </c:pt>
                <c:pt idx="53">
                  <c:v>-8.3260000000000218</c:v>
                </c:pt>
                <c:pt idx="54">
                  <c:v>-7.4760000000005675</c:v>
                </c:pt>
                <c:pt idx="55">
                  <c:v>-6.9080000000003565</c:v>
                </c:pt>
                <c:pt idx="56">
                  <c:v>-6.9890000000004875</c:v>
                </c:pt>
                <c:pt idx="57">
                  <c:v>-7.6270000000004075</c:v>
                </c:pt>
                <c:pt idx="58">
                  <c:v>-6.1590000000005602</c:v>
                </c:pt>
                <c:pt idx="59">
                  <c:v>-5.6960000000008222</c:v>
                </c:pt>
                <c:pt idx="60">
                  <c:v>-2.2290000000002692</c:v>
                </c:pt>
                <c:pt idx="61">
                  <c:v>-1.5500000000001819</c:v>
                </c:pt>
                <c:pt idx="62">
                  <c:v>-2.0640000000003056</c:v>
                </c:pt>
                <c:pt idx="63">
                  <c:v>0.87699999999949796</c:v>
                </c:pt>
                <c:pt idx="64">
                  <c:v>3.4059999999999491</c:v>
                </c:pt>
                <c:pt idx="65">
                  <c:v>1.1459999999997308</c:v>
                </c:pt>
                <c:pt idx="66">
                  <c:v>3.1829999999999927</c:v>
                </c:pt>
                <c:pt idx="67">
                  <c:v>4.2309999999997672</c:v>
                </c:pt>
                <c:pt idx="68">
                  <c:v>3.183999999999287</c:v>
                </c:pt>
                <c:pt idx="69">
                  <c:v>3.2029999999995198</c:v>
                </c:pt>
                <c:pt idx="70">
                  <c:v>4.1489999999994325</c:v>
                </c:pt>
                <c:pt idx="71">
                  <c:v>5.5850000000000364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31-418E-B591-8ADEF81A186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ZUL01_2023!$M$52:$M$76</c:f>
              <c:numCache>
                <c:formatCode>0.0</c:formatCode>
                <c:ptCount val="25"/>
                <c:pt idx="0">
                  <c:v>233.70809940042946</c:v>
                </c:pt>
                <c:pt idx="1">
                  <c:v>238.70809940042946</c:v>
                </c:pt>
                <c:pt idx="2">
                  <c:v>243.68642994389481</c:v>
                </c:pt>
                <c:pt idx="3">
                  <c:v>248.6663190992877</c:v>
                </c:pt>
                <c:pt idx="4">
                  <c:v>253.58826993203698</c:v>
                </c:pt>
                <c:pt idx="5">
                  <c:v>258.43990048268677</c:v>
                </c:pt>
                <c:pt idx="6">
                  <c:v>263.22473057371406</c:v>
                </c:pt>
                <c:pt idx="7">
                  <c:v>268.15195088541122</c:v>
                </c:pt>
                <c:pt idx="8">
                  <c:v>273.119583722085</c:v>
                </c:pt>
                <c:pt idx="9">
                  <c:v>278.11892757903263</c:v>
                </c:pt>
                <c:pt idx="10">
                  <c:v>283.07805613151038</c:v>
                </c:pt>
                <c:pt idx="11">
                  <c:v>287.85769795909539</c:v>
                </c:pt>
                <c:pt idx="12">
                  <c:v>292.83621490694242</c:v>
                </c:pt>
                <c:pt idx="13">
                  <c:v>296.43897926226686</c:v>
                </c:pt>
                <c:pt idx="14">
                  <c:v>301.39266062061034</c:v>
                </c:pt>
                <c:pt idx="15">
                  <c:v>306.36617084981464</c:v>
                </c:pt>
                <c:pt idx="16">
                  <c:v>310.40974834999946</c:v>
                </c:pt>
                <c:pt idx="17">
                  <c:v>314.72300222613495</c:v>
                </c:pt>
                <c:pt idx="18">
                  <c:v>319.18309191133176</c:v>
                </c:pt>
                <c:pt idx="19">
                  <c:v>323.74934102849551</c:v>
                </c:pt>
                <c:pt idx="20">
                  <c:v>328.63827710907589</c:v>
                </c:pt>
                <c:pt idx="21">
                  <c:v>333.52742744425672</c:v>
                </c:pt>
                <c:pt idx="22">
                  <c:v>338.52739134412639</c:v>
                </c:pt>
                <c:pt idx="23">
                  <c:v>343.43708420621056</c:v>
                </c:pt>
                <c:pt idx="24">
                  <c:v>348.22643739844835</c:v>
                </c:pt>
              </c:numCache>
            </c:numRef>
          </c:xVal>
          <c:yVal>
            <c:numRef>
              <c:f>ZUL01_2023!$N$52:$N$76</c:f>
              <c:numCache>
                <c:formatCode>General</c:formatCode>
                <c:ptCount val="25"/>
                <c:pt idx="0">
                  <c:v>-13.688000000000102</c:v>
                </c:pt>
                <c:pt idx="1">
                  <c:v>-12.779000000000451</c:v>
                </c:pt>
                <c:pt idx="2">
                  <c:v>-12.314000000000306</c:v>
                </c:pt>
                <c:pt idx="3">
                  <c:v>-11.865999999999985</c:v>
                </c:pt>
                <c:pt idx="4">
                  <c:v>-10.986000000000786</c:v>
                </c:pt>
                <c:pt idx="5">
                  <c:v>-9.7770000000000437</c:v>
                </c:pt>
                <c:pt idx="6">
                  <c:v>-8.3260000000000218</c:v>
                </c:pt>
                <c:pt idx="7">
                  <c:v>-7.4760000000005675</c:v>
                </c:pt>
                <c:pt idx="8">
                  <c:v>-6.9080000000003565</c:v>
                </c:pt>
                <c:pt idx="9">
                  <c:v>-6.9890000000004875</c:v>
                </c:pt>
                <c:pt idx="10">
                  <c:v>-7.6270000000004075</c:v>
                </c:pt>
                <c:pt idx="11">
                  <c:v>-6.1590000000005602</c:v>
                </c:pt>
                <c:pt idx="12">
                  <c:v>-5.6960000000008222</c:v>
                </c:pt>
                <c:pt idx="13">
                  <c:v>-2.2290000000002692</c:v>
                </c:pt>
                <c:pt idx="14">
                  <c:v>-1.5500000000001819</c:v>
                </c:pt>
                <c:pt idx="15">
                  <c:v>-2.0640000000003056</c:v>
                </c:pt>
                <c:pt idx="16">
                  <c:v>0.87699999999949796</c:v>
                </c:pt>
                <c:pt idx="17">
                  <c:v>3.4059999999999491</c:v>
                </c:pt>
                <c:pt idx="18">
                  <c:v>1.1459999999997308</c:v>
                </c:pt>
                <c:pt idx="19">
                  <c:v>3.1829999999999927</c:v>
                </c:pt>
                <c:pt idx="20">
                  <c:v>4.2309999999997672</c:v>
                </c:pt>
                <c:pt idx="21">
                  <c:v>3.183999999999287</c:v>
                </c:pt>
                <c:pt idx="22">
                  <c:v>3.2029999999995198</c:v>
                </c:pt>
                <c:pt idx="23">
                  <c:v>4.1489999999994325</c:v>
                </c:pt>
                <c:pt idx="24">
                  <c:v>5.5850000000000364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31-418E-B591-8ADEF81A1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112671"/>
        <c:axId val="1183115551"/>
      </c:scatterChart>
      <c:valAx>
        <c:axId val="118311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15551"/>
        <c:crosses val="autoZero"/>
        <c:crossBetween val="midCat"/>
      </c:valAx>
      <c:valAx>
        <c:axId val="118311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12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no457_01_2023!$P$5:$P$52</c:f>
              <c:numCache>
                <c:formatCode>0.0</c:formatCode>
                <c:ptCount val="48"/>
                <c:pt idx="0">
                  <c:v>0</c:v>
                </c:pt>
                <c:pt idx="1">
                  <c:v>4.9077554951321432</c:v>
                </c:pt>
                <c:pt idx="2">
                  <c:v>9.9036734288055843</c:v>
                </c:pt>
                <c:pt idx="3">
                  <c:v>14.8990056499897</c:v>
                </c:pt>
                <c:pt idx="4">
                  <c:v>19.892083959009099</c:v>
                </c:pt>
                <c:pt idx="5">
                  <c:v>24.888585835322171</c:v>
                </c:pt>
                <c:pt idx="6">
                  <c:v>29.88176908851845</c:v>
                </c:pt>
                <c:pt idx="7">
                  <c:v>34.866221315192895</c:v>
                </c:pt>
                <c:pt idx="8">
                  <c:v>39.858486933126336</c:v>
                </c:pt>
                <c:pt idx="9">
                  <c:v>44.841566202012189</c:v>
                </c:pt>
                <c:pt idx="10">
                  <c:v>49.823128105672517</c:v>
                </c:pt>
                <c:pt idx="11">
                  <c:v>54.8090457744673</c:v>
                </c:pt>
                <c:pt idx="12">
                  <c:v>59.801366978075897</c:v>
                </c:pt>
                <c:pt idx="13">
                  <c:v>64.786982185851173</c:v>
                </c:pt>
                <c:pt idx="14">
                  <c:v>69.777300712759015</c:v>
                </c:pt>
                <c:pt idx="15">
                  <c:v>74.738711802358438</c:v>
                </c:pt>
                <c:pt idx="16">
                  <c:v>79.709899185670395</c:v>
                </c:pt>
                <c:pt idx="17">
                  <c:v>84.699840167285302</c:v>
                </c:pt>
                <c:pt idx="18">
                  <c:v>89.678170710750635</c:v>
                </c:pt>
                <c:pt idx="19">
                  <c:v>94.593549027828715</c:v>
                </c:pt>
                <c:pt idx="20">
                  <c:v>99.577200701049833</c:v>
                </c:pt>
                <c:pt idx="21">
                  <c:v>104.54309548447009</c:v>
                </c:pt>
                <c:pt idx="22">
                  <c:v>109.50438150726698</c:v>
                </c:pt>
                <c:pt idx="23">
                  <c:v>114.40978424302685</c:v>
                </c:pt>
                <c:pt idx="24">
                  <c:v>119.37107026582375</c:v>
                </c:pt>
                <c:pt idx="25">
                  <c:v>124.31793503050048</c:v>
                </c:pt>
                <c:pt idx="26">
                  <c:v>129.30270182544683</c:v>
                </c:pt>
                <c:pt idx="27">
                  <c:v>134.27548364249856</c:v>
                </c:pt>
                <c:pt idx="28">
                  <c:v>139.23801112353078</c:v>
                </c:pt>
                <c:pt idx="29">
                  <c:v>144.21121039562911</c:v>
                </c:pt>
                <c:pt idx="30">
                  <c:v>149.16378861308314</c:v>
                </c:pt>
                <c:pt idx="31">
                  <c:v>154.140015195545</c:v>
                </c:pt>
                <c:pt idx="32">
                  <c:v>159.10590997896526</c:v>
                </c:pt>
                <c:pt idx="33">
                  <c:v>164.07622827863182</c:v>
                </c:pt>
                <c:pt idx="34">
                  <c:v>169.04259103219698</c:v>
                </c:pt>
                <c:pt idx="35">
                  <c:v>174.00548696098704</c:v>
                </c:pt>
                <c:pt idx="36">
                  <c:v>178.9648724067857</c:v>
                </c:pt>
                <c:pt idx="37">
                  <c:v>183.91800384053548</c:v>
                </c:pt>
                <c:pt idx="38">
                  <c:v>188.88366341404634</c:v>
                </c:pt>
                <c:pt idx="39">
                  <c:v>193.83242123798561</c:v>
                </c:pt>
                <c:pt idx="40">
                  <c:v>198.78218395957131</c:v>
                </c:pt>
                <c:pt idx="41">
                  <c:v>203.73762985272774</c:v>
                </c:pt>
                <c:pt idx="42">
                  <c:v>208.67751558015098</c:v>
                </c:pt>
                <c:pt idx="43">
                  <c:v>213.62841438743834</c:v>
                </c:pt>
                <c:pt idx="44">
                  <c:v>218.54946864440413</c:v>
                </c:pt>
                <c:pt idx="45">
                  <c:v>223.47106147599828</c:v>
                </c:pt>
                <c:pt idx="46">
                  <c:v>228.42876245528302</c:v>
                </c:pt>
                <c:pt idx="47">
                  <c:v>233.38698542324235</c:v>
                </c:pt>
              </c:numCache>
            </c:numRef>
          </c:xVal>
          <c:yVal>
            <c:numRef>
              <c:f>no457_01_2023!$Q$5:$Q$52</c:f>
              <c:numCache>
                <c:formatCode>General</c:formatCode>
                <c:ptCount val="48"/>
                <c:pt idx="0">
                  <c:v>-17.243999999999687</c:v>
                </c:pt>
                <c:pt idx="1">
                  <c:v>-16.287999999999556</c:v>
                </c:pt>
                <c:pt idx="2">
                  <c:v>-16.085999999999331</c:v>
                </c:pt>
                <c:pt idx="3">
                  <c:v>-15.869999999999891</c:v>
                </c:pt>
                <c:pt idx="4">
                  <c:v>-15.606999999999971</c:v>
                </c:pt>
                <c:pt idx="5">
                  <c:v>-15.420000000000073</c:v>
                </c:pt>
                <c:pt idx="6">
                  <c:v>-15.158999999999651</c:v>
                </c:pt>
                <c:pt idx="7">
                  <c:v>-14.764999999999418</c:v>
                </c:pt>
                <c:pt idx="8">
                  <c:v>-14.48700000000008</c:v>
                </c:pt>
                <c:pt idx="9">
                  <c:v>-14.076000000000022</c:v>
                </c:pt>
                <c:pt idx="10">
                  <c:v>-13.646999999999935</c:v>
                </c:pt>
                <c:pt idx="11">
                  <c:v>-13.271999999999935</c:v>
                </c:pt>
                <c:pt idx="12">
                  <c:v>-12.994999999999891</c:v>
                </c:pt>
                <c:pt idx="13">
                  <c:v>-12.615999999999985</c:v>
                </c:pt>
                <c:pt idx="14">
                  <c:v>-12.304999999999382</c:v>
                </c:pt>
                <c:pt idx="15">
                  <c:v>-11.684999999999491</c:v>
                </c:pt>
                <c:pt idx="16">
                  <c:v>-11.148999999999432</c:v>
                </c:pt>
                <c:pt idx="17">
                  <c:v>-10.831999999999425</c:v>
                </c:pt>
                <c:pt idx="18">
                  <c:v>-10.36699999999928</c:v>
                </c:pt>
                <c:pt idx="19">
                  <c:v>-9.4510000000000218</c:v>
                </c:pt>
                <c:pt idx="20">
                  <c:v>-9.0469999999995707</c:v>
                </c:pt>
                <c:pt idx="21">
                  <c:v>-8.4639999999999418</c:v>
                </c:pt>
                <c:pt idx="22">
                  <c:v>-7.8429999999998472</c:v>
                </c:pt>
                <c:pt idx="23">
                  <c:v>-6.875</c:v>
                </c:pt>
                <c:pt idx="24">
                  <c:v>-6.2539999999999054</c:v>
                </c:pt>
                <c:pt idx="25">
                  <c:v>-5.5270000000000437</c:v>
                </c:pt>
                <c:pt idx="26">
                  <c:v>-5.1369999999997162</c:v>
                </c:pt>
                <c:pt idx="27">
                  <c:v>-4.6159999999999854</c:v>
                </c:pt>
                <c:pt idx="28">
                  <c:v>-4.0050000000001091</c:v>
                </c:pt>
                <c:pt idx="29">
                  <c:v>-3.4879999999993743</c:v>
                </c:pt>
                <c:pt idx="30">
                  <c:v>-2.8009999999994761</c:v>
                </c:pt>
                <c:pt idx="31">
                  <c:v>-2.3139999999993961</c:v>
                </c:pt>
                <c:pt idx="32">
                  <c:v>-1.7309999999997672</c:v>
                </c:pt>
                <c:pt idx="33">
                  <c:v>-1.1869999999998981</c:v>
                </c:pt>
                <c:pt idx="34">
                  <c:v>-0.60799999999926513</c:v>
                </c:pt>
                <c:pt idx="35">
                  <c:v>0</c:v>
                </c:pt>
                <c:pt idx="36">
                  <c:v>0.63600000000042201</c:v>
                </c:pt>
                <c:pt idx="37">
                  <c:v>1.3190000000004147</c:v>
                </c:pt>
                <c:pt idx="38">
                  <c:v>1.9040000000004511</c:v>
                </c:pt>
                <c:pt idx="39">
                  <c:v>2.6180000000003929</c:v>
                </c:pt>
                <c:pt idx="40">
                  <c:v>3.3250000000007276</c:v>
                </c:pt>
                <c:pt idx="41">
                  <c:v>3.9909999999999854</c:v>
                </c:pt>
                <c:pt idx="42">
                  <c:v>4.7640000000001237</c:v>
                </c:pt>
                <c:pt idx="43">
                  <c:v>5.4630000000006476</c:v>
                </c:pt>
                <c:pt idx="44">
                  <c:v>6.3479999999999563</c:v>
                </c:pt>
                <c:pt idx="45">
                  <c:v>7.2300000000004729</c:v>
                </c:pt>
                <c:pt idx="46">
                  <c:v>7.8789999999999054</c:v>
                </c:pt>
                <c:pt idx="47">
                  <c:v>8.524000000000342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D8-4EAF-8A5A-C2F9F697997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D8-4EAF-8A5A-C2F9F69799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no457_01_2023!$M$16:$M$40</c:f>
              <c:numCache>
                <c:formatCode>0.0</c:formatCode>
                <c:ptCount val="25"/>
                <c:pt idx="0">
                  <c:v>54.801366978075897</c:v>
                </c:pt>
                <c:pt idx="1">
                  <c:v>59.801366978075897</c:v>
                </c:pt>
                <c:pt idx="2">
                  <c:v>64.786982185851173</c:v>
                </c:pt>
                <c:pt idx="3">
                  <c:v>69.777300712759015</c:v>
                </c:pt>
                <c:pt idx="4">
                  <c:v>74.738711802358438</c:v>
                </c:pt>
                <c:pt idx="5">
                  <c:v>79.709899185670395</c:v>
                </c:pt>
                <c:pt idx="6">
                  <c:v>84.699840167285302</c:v>
                </c:pt>
                <c:pt idx="7">
                  <c:v>89.678170710750635</c:v>
                </c:pt>
                <c:pt idx="8">
                  <c:v>94.593549027828715</c:v>
                </c:pt>
                <c:pt idx="9">
                  <c:v>99.577200701049833</c:v>
                </c:pt>
                <c:pt idx="10">
                  <c:v>104.54309548447009</c:v>
                </c:pt>
                <c:pt idx="11">
                  <c:v>109.50438150726698</c:v>
                </c:pt>
                <c:pt idx="12">
                  <c:v>114.40978424302685</c:v>
                </c:pt>
                <c:pt idx="13">
                  <c:v>119.37107026582375</c:v>
                </c:pt>
                <c:pt idx="14">
                  <c:v>124.31793503050048</c:v>
                </c:pt>
                <c:pt idx="15">
                  <c:v>129.30270182544683</c:v>
                </c:pt>
                <c:pt idx="16">
                  <c:v>134.27548364249856</c:v>
                </c:pt>
                <c:pt idx="17">
                  <c:v>139.23801112353078</c:v>
                </c:pt>
                <c:pt idx="18">
                  <c:v>144.21121039562911</c:v>
                </c:pt>
                <c:pt idx="19">
                  <c:v>149.16378861308314</c:v>
                </c:pt>
                <c:pt idx="20">
                  <c:v>154.140015195545</c:v>
                </c:pt>
                <c:pt idx="21">
                  <c:v>159.10590997896526</c:v>
                </c:pt>
                <c:pt idx="22">
                  <c:v>164.07622827863182</c:v>
                </c:pt>
                <c:pt idx="23">
                  <c:v>169.04259103219698</c:v>
                </c:pt>
                <c:pt idx="24">
                  <c:v>174.00548696098704</c:v>
                </c:pt>
              </c:numCache>
            </c:numRef>
          </c:xVal>
          <c:yVal>
            <c:numRef>
              <c:f>no457_01_2023!$N$16:$N$40</c:f>
              <c:numCache>
                <c:formatCode>General</c:formatCode>
                <c:ptCount val="25"/>
                <c:pt idx="0">
                  <c:v>-13.494999999999891</c:v>
                </c:pt>
                <c:pt idx="1">
                  <c:v>-12.994999999999891</c:v>
                </c:pt>
                <c:pt idx="2">
                  <c:v>-12.615999999999985</c:v>
                </c:pt>
                <c:pt idx="3">
                  <c:v>-12.304999999999382</c:v>
                </c:pt>
                <c:pt idx="4">
                  <c:v>-11.684999999999491</c:v>
                </c:pt>
                <c:pt idx="5">
                  <c:v>-11.148999999999432</c:v>
                </c:pt>
                <c:pt idx="6">
                  <c:v>-10.831999999999425</c:v>
                </c:pt>
                <c:pt idx="7">
                  <c:v>-10.36699999999928</c:v>
                </c:pt>
                <c:pt idx="8">
                  <c:v>-9.4510000000000218</c:v>
                </c:pt>
                <c:pt idx="9">
                  <c:v>-9.0469999999995707</c:v>
                </c:pt>
                <c:pt idx="10">
                  <c:v>-8.4639999999999418</c:v>
                </c:pt>
                <c:pt idx="11">
                  <c:v>-7.8429999999998472</c:v>
                </c:pt>
                <c:pt idx="12">
                  <c:v>-6.875</c:v>
                </c:pt>
                <c:pt idx="13">
                  <c:v>-6.2539999999999054</c:v>
                </c:pt>
                <c:pt idx="14">
                  <c:v>-5.5270000000000437</c:v>
                </c:pt>
                <c:pt idx="15">
                  <c:v>-5.1369999999997162</c:v>
                </c:pt>
                <c:pt idx="16">
                  <c:v>-4.6159999999999854</c:v>
                </c:pt>
                <c:pt idx="17">
                  <c:v>-4.0050000000001091</c:v>
                </c:pt>
                <c:pt idx="18">
                  <c:v>-3.4879999999993743</c:v>
                </c:pt>
                <c:pt idx="19">
                  <c:v>-2.8009999999994761</c:v>
                </c:pt>
                <c:pt idx="20">
                  <c:v>-2.3139999999993961</c:v>
                </c:pt>
                <c:pt idx="21">
                  <c:v>-1.7309999999997672</c:v>
                </c:pt>
                <c:pt idx="22">
                  <c:v>-1.1869999999998981</c:v>
                </c:pt>
                <c:pt idx="23">
                  <c:v>-0.60799999999926513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D8-4EAF-8A5A-C2F9F6979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826015"/>
        <c:axId val="1131832255"/>
      </c:scatterChart>
      <c:valAx>
        <c:axId val="113182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32255"/>
        <c:crosses val="autoZero"/>
        <c:crossBetween val="midCat"/>
      </c:valAx>
      <c:valAx>
        <c:axId val="113183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2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315912</xdr:colOff>
      <xdr:row>5</xdr:row>
      <xdr:rowOff>134937</xdr:rowOff>
    </xdr:from>
    <xdr:to>
      <xdr:col>9</xdr:col>
      <xdr:colOff>11112</xdr:colOff>
      <xdr:row>20</xdr:row>
      <xdr:rowOff>20637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B88F3E-9C84-4277-A684-C0A4D9907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576262</xdr:colOff>
      <xdr:row>3</xdr:row>
      <xdr:rowOff>4762</xdr:rowOff>
    </xdr:from>
    <xdr:to>
      <xdr:col>19</xdr:col>
      <xdr:colOff>271462</xdr:colOff>
      <xdr:row>17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7503F1-81EA-4245-8D04-FE4E3183A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581024</xdr:colOff>
      <xdr:row>1</xdr:row>
      <xdr:rowOff>85726</xdr:rowOff>
    </xdr:from>
    <xdr:to>
      <xdr:col>29</xdr:col>
      <xdr:colOff>371475</xdr:colOff>
      <xdr:row>27</xdr:row>
      <xdr:rowOff>142876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7CCB4-3B8E-4471-9EE1-DD89163B1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396875</xdr:colOff>
      <xdr:row>1</xdr:row>
      <xdr:rowOff>112712</xdr:rowOff>
    </xdr:from>
    <xdr:to>
      <xdr:col>20</xdr:col>
      <xdr:colOff>53975</xdr:colOff>
      <xdr:row>24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AAF991-20C7-4F7E-8697-A278BB179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3</xdr:row>
      <xdr:rowOff>176212</xdr:rowOff>
    </xdr:from>
    <xdr:to>
      <xdr:col>24</xdr:col>
      <xdr:colOff>38100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39DF0-9761-4286-B19D-0C08F5E7C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504825</xdr:colOff>
      <xdr:row>4</xdr:row>
      <xdr:rowOff>90487</xdr:rowOff>
    </xdr:from>
    <xdr:to>
      <xdr:col>20</xdr:col>
      <xdr:colOff>200025</xdr:colOff>
      <xdr:row>18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B6E57-FCD4-427F-998B-3CDE78F96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195262</xdr:colOff>
      <xdr:row>5</xdr:row>
      <xdr:rowOff>90487</xdr:rowOff>
    </xdr:from>
    <xdr:to>
      <xdr:col>7</xdr:col>
      <xdr:colOff>500062</xdr:colOff>
      <xdr:row>19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4090BF-B4F9-406B-B178-EADE6964D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238125</xdr:colOff>
      <xdr:row>4</xdr:row>
      <xdr:rowOff>76200</xdr:rowOff>
    </xdr:from>
    <xdr:to>
      <xdr:col>27</xdr:col>
      <xdr:colOff>542924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BA507-4F8E-4D28-8CC2-82A631F3E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95250</xdr:colOff>
      <xdr:row>19</xdr:row>
      <xdr:rowOff>4762</xdr:rowOff>
    </xdr:from>
    <xdr:to>
      <xdr:col>25</xdr:col>
      <xdr:colOff>400050</xdr:colOff>
      <xdr:row>33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BF1966-C51C-631A-0121-522666054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12</xdr:row>
      <xdr:rowOff>128586</xdr:rowOff>
    </xdr:from>
    <xdr:to>
      <xdr:col>14</xdr:col>
      <xdr:colOff>219075</xdr:colOff>
      <xdr:row>35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E146DF-06E4-45BD-A8B3-A465DEC88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528637</xdr:colOff>
      <xdr:row>23</xdr:row>
      <xdr:rowOff>119062</xdr:rowOff>
    </xdr:from>
    <xdr:to>
      <xdr:col>14</xdr:col>
      <xdr:colOff>223837</xdr:colOff>
      <xdr:row>38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320C67-6B2A-484D-8665-C888ED7FF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290512</xdr:colOff>
      <xdr:row>54</xdr:row>
      <xdr:rowOff>176212</xdr:rowOff>
    </xdr:from>
    <xdr:to>
      <xdr:col>11</xdr:col>
      <xdr:colOff>595312</xdr:colOff>
      <xdr:row>69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FBE298-03D7-4BD5-B646-D3CD0EEB1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600075</xdr:colOff>
      <xdr:row>29</xdr:row>
      <xdr:rowOff>114300</xdr:rowOff>
    </xdr:from>
    <xdr:to>
      <xdr:col>32</xdr:col>
      <xdr:colOff>104775</xdr:colOff>
      <xdr:row>39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8129C3-2FD7-41EC-BCD8-5FBC572E0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6</xdr:row>
      <xdr:rowOff>138112</xdr:rowOff>
    </xdr:from>
    <xdr:to>
      <xdr:col>11</xdr:col>
      <xdr:colOff>428625</xdr:colOff>
      <xdr:row>21</xdr:row>
      <xdr:rowOff>23812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F550C4-72E9-4E1E-B178-965BFAA71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141</xdr:row>
      <xdr:rowOff>4762</xdr:rowOff>
    </xdr:from>
    <xdr:to>
      <xdr:col>13</xdr:col>
      <xdr:colOff>9525</xdr:colOff>
      <xdr:row>155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2C214F-26E9-40BB-91E2-2E3CBFF5C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447675</xdr:colOff>
      <xdr:row>99</xdr:row>
      <xdr:rowOff>119062</xdr:rowOff>
    </xdr:from>
    <xdr:to>
      <xdr:col>25</xdr:col>
      <xdr:colOff>457200</xdr:colOff>
      <xdr:row>119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4B3959-65E3-4B7B-9C59-7008CB16F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457200</xdr:colOff>
      <xdr:row>5</xdr:row>
      <xdr:rowOff>133350</xdr:rowOff>
    </xdr:from>
    <xdr:to>
      <xdr:col>26</xdr:col>
      <xdr:colOff>152400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460D0-BE2B-48AB-BAFE-CB1D8309E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3</xdr:row>
      <xdr:rowOff>160337</xdr:rowOff>
    </xdr:from>
    <xdr:to>
      <xdr:col>15</xdr:col>
      <xdr:colOff>20638</xdr:colOff>
      <xdr:row>10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5589EC-997E-23DB-3673-62B59F084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92075</xdr:colOff>
      <xdr:row>4</xdr:row>
      <xdr:rowOff>160336</xdr:rowOff>
    </xdr:from>
    <xdr:to>
      <xdr:col>9</xdr:col>
      <xdr:colOff>723900</xdr:colOff>
      <xdr:row>12</xdr:row>
      <xdr:rowOff>146049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ADFDBB-0050-5AFE-5D8A-4DD9ABB04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4</xdr:row>
      <xdr:rowOff>93662</xdr:rowOff>
    </xdr:from>
    <xdr:to>
      <xdr:col>17</xdr:col>
      <xdr:colOff>549275</xdr:colOff>
      <xdr:row>19</xdr:row>
      <xdr:rowOff>134937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531D03-0B93-7AEC-DA92-7F4522339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485775</xdr:colOff>
      <xdr:row>13</xdr:row>
      <xdr:rowOff>57150</xdr:rowOff>
    </xdr:from>
    <xdr:to>
      <xdr:col>19</xdr:col>
      <xdr:colOff>187325</xdr:colOff>
      <xdr:row>28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B178B1-D5E0-1414-1B90-EA426A2EF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7</xdr:row>
      <xdr:rowOff>144462</xdr:rowOff>
    </xdr:from>
    <xdr:to>
      <xdr:col>10</xdr:col>
      <xdr:colOff>244475</xdr:colOff>
      <xdr:row>14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500584-3C36-AECC-B372-6DBE3E299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29</xdr:row>
      <xdr:rowOff>171450</xdr:rowOff>
    </xdr:from>
    <xdr:to>
      <xdr:col>11</xdr:col>
      <xdr:colOff>386110</xdr:colOff>
      <xdr:row>36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58078-DC17-CF35-A911-0A99B61A1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6</xdr:row>
      <xdr:rowOff>119062</xdr:rowOff>
    </xdr:from>
    <xdr:to>
      <xdr:col>9</xdr:col>
      <xdr:colOff>619125</xdr:colOff>
      <xdr:row>21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712DD-25C2-8D3A-2BDC-FA434367E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187325</xdr:colOff>
      <xdr:row>21</xdr:row>
      <xdr:rowOff>30162</xdr:rowOff>
    </xdr:from>
    <xdr:to>
      <xdr:col>10</xdr:col>
      <xdr:colOff>25400</xdr:colOff>
      <xdr:row>36</xdr:row>
      <xdr:rowOff>68262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17C61-2929-54CB-92A5-F21688AC6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9-19T13:05:40.77" personId="{00000000-0000-0000-0000-000000000000}" id="{7FA4FC18-1022-4316-9C01-D44D5C43C918}">
    <text>Attention: G1 = E24 , G2 = E23, G3 = E22 and so on!! Switch ERT profile</text>
  </threadedComment>
  <threadedComment ref="A1" dT="2023-09-19T13:18:14.53" personId="{00000000-0000-0000-0000-000000000000}" id="{A5387982-E211-4809-AC44-2D8CC87BBBD3}" parentId="{7FA4FC18-1022-4316-9C01-D44D5C43C918}">
    <text xml:space="preserve">This means, that if ERT is switched, E25 becomes G1, E26 = G2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4"/>
  <sheetViews>
    <sheetView workbookViewId="0">
      <selection activeCell="D29" sqref="D29"/>
    </sheetView>
  </sheetViews>
  <sheetFormatPr defaultRowHeight="15" x14ac:dyDescent="0.25"/>
  <sheetData>
    <row r="1" spans="1:29" x14ac:dyDescent="0.25">
      <c r="A1" s="1" t="s">
        <v>0</v>
      </c>
      <c r="B1" s="1"/>
      <c r="C1" s="1" t="s">
        <v>1</v>
      </c>
      <c r="D1" t="s">
        <v>180</v>
      </c>
      <c r="S1">
        <v>0</v>
      </c>
      <c r="T1">
        <v>-61</v>
      </c>
      <c r="V1">
        <v>0</v>
      </c>
      <c r="W1">
        <v>3854.89</v>
      </c>
      <c r="Y1">
        <f>W1-MAX(W:W)</f>
        <v>-28.548999999999978</v>
      </c>
      <c r="AB1">
        <f>V1</f>
        <v>0</v>
      </c>
      <c r="AC1">
        <f>Y1</f>
        <v>-28.548999999999978</v>
      </c>
    </row>
    <row r="2" spans="1:29" ht="15.75" thickBot="1" x14ac:dyDescent="0.3">
      <c r="S2">
        <v>4.9000000000000004</v>
      </c>
      <c r="T2">
        <v>-60.5</v>
      </c>
      <c r="V2">
        <v>4.9000000000000004</v>
      </c>
      <c r="W2">
        <v>3854.8820000000001</v>
      </c>
      <c r="Y2">
        <f t="shared" ref="Y2:Y65" si="0">W2-MAX(W:W)</f>
        <v>-28.556999999999789</v>
      </c>
      <c r="AB2">
        <f t="shared" ref="AB2:AB65" si="1">V2</f>
        <v>4.9000000000000004</v>
      </c>
      <c r="AC2">
        <f t="shared" ref="AC2:AC65" si="2">Y2</f>
        <v>-28.556999999999789</v>
      </c>
    </row>
    <row r="3" spans="1:29" s="1" customFormat="1" x14ac:dyDescent="0.25">
      <c r="C3" s="146" t="s">
        <v>178</v>
      </c>
      <c r="D3" s="146"/>
      <c r="E3" s="146" t="s">
        <v>4</v>
      </c>
      <c r="F3" s="146"/>
      <c r="G3" s="146"/>
      <c r="H3" s="147" t="s">
        <v>179</v>
      </c>
      <c r="I3" s="148"/>
      <c r="S3" s="1">
        <v>9.8000000000000007</v>
      </c>
      <c r="T3" s="1">
        <v>-60.1</v>
      </c>
      <c r="V3">
        <v>9.8000000000000007</v>
      </c>
      <c r="W3" s="1">
        <v>3854.8389999999999</v>
      </c>
      <c r="X3"/>
      <c r="Y3">
        <f t="shared" si="0"/>
        <v>-28.599999999999909</v>
      </c>
      <c r="AB3">
        <f t="shared" si="1"/>
        <v>9.8000000000000007</v>
      </c>
      <c r="AC3">
        <f t="shared" si="2"/>
        <v>-28.599999999999909</v>
      </c>
    </row>
    <row r="4" spans="1:29" s="1" customFormat="1" x14ac:dyDescent="0.25">
      <c r="A4" s="1" t="s">
        <v>101</v>
      </c>
      <c r="B4" s="1" t="s">
        <v>102</v>
      </c>
      <c r="C4" s="1" t="s">
        <v>2</v>
      </c>
      <c r="D4" s="1" t="s">
        <v>3</v>
      </c>
      <c r="E4" s="1" t="s">
        <v>2</v>
      </c>
      <c r="F4" s="1" t="s">
        <v>176</v>
      </c>
      <c r="G4" s="1" t="s">
        <v>177</v>
      </c>
      <c r="H4" s="6" t="s">
        <v>2</v>
      </c>
      <c r="I4" s="7" t="s">
        <v>3</v>
      </c>
      <c r="S4" s="1">
        <v>14.8</v>
      </c>
      <c r="T4" s="1">
        <v>-59.7</v>
      </c>
      <c r="V4">
        <v>14.8</v>
      </c>
      <c r="W4" s="1">
        <v>3854.8180000000002</v>
      </c>
      <c r="X4"/>
      <c r="Y4">
        <f t="shared" si="0"/>
        <v>-28.62099999999964</v>
      </c>
      <c r="AB4">
        <f t="shared" si="1"/>
        <v>14.8</v>
      </c>
      <c r="AC4">
        <f t="shared" si="2"/>
        <v>-28.62099999999964</v>
      </c>
    </row>
    <row r="5" spans="1:29" x14ac:dyDescent="0.25">
      <c r="A5" t="s">
        <v>5</v>
      </c>
      <c r="C5">
        <v>0</v>
      </c>
      <c r="D5">
        <v>-61</v>
      </c>
      <c r="H5" s="8"/>
      <c r="I5" s="9"/>
      <c r="L5">
        <v>0</v>
      </c>
      <c r="M5">
        <v>3854.89</v>
      </c>
      <c r="O5">
        <v>96</v>
      </c>
      <c r="P5">
        <v>0</v>
      </c>
      <c r="S5">
        <v>19.7</v>
      </c>
      <c r="T5">
        <v>-59.2</v>
      </c>
      <c r="V5">
        <v>19.7</v>
      </c>
      <c r="W5">
        <v>3854.8090000000002</v>
      </c>
      <c r="Y5">
        <f t="shared" si="0"/>
        <v>-28.629999999999654</v>
      </c>
      <c r="AB5">
        <f t="shared" si="1"/>
        <v>19.7</v>
      </c>
      <c r="AC5">
        <f t="shared" si="2"/>
        <v>-28.629999999999654</v>
      </c>
    </row>
    <row r="6" spans="1:29" x14ac:dyDescent="0.25">
      <c r="A6" t="s">
        <v>6</v>
      </c>
      <c r="C6">
        <v>4.9000000000000004</v>
      </c>
      <c r="D6">
        <v>-60.5</v>
      </c>
      <c r="H6" s="8"/>
      <c r="I6" s="9"/>
      <c r="L6">
        <v>5</v>
      </c>
      <c r="M6">
        <v>3854.8820000000001</v>
      </c>
      <c r="O6">
        <v>1</v>
      </c>
      <c r="P6">
        <v>-61</v>
      </c>
      <c r="S6">
        <v>24.6</v>
      </c>
      <c r="T6">
        <v>-58.8</v>
      </c>
      <c r="V6">
        <v>24.6</v>
      </c>
      <c r="W6">
        <v>3854.817</v>
      </c>
      <c r="Y6">
        <f t="shared" si="0"/>
        <v>-28.621999999999844</v>
      </c>
      <c r="AB6">
        <f t="shared" si="1"/>
        <v>24.6</v>
      </c>
      <c r="AC6">
        <f t="shared" si="2"/>
        <v>-28.621999999999844</v>
      </c>
    </row>
    <row r="7" spans="1:29" x14ac:dyDescent="0.25">
      <c r="A7" t="s">
        <v>7</v>
      </c>
      <c r="C7">
        <v>9.8000000000000007</v>
      </c>
      <c r="D7">
        <v>-60.1</v>
      </c>
      <c r="H7" s="8"/>
      <c r="I7" s="9"/>
      <c r="L7">
        <v>10</v>
      </c>
      <c r="M7">
        <v>3854.8389999999999</v>
      </c>
      <c r="O7">
        <v>2</v>
      </c>
      <c r="P7">
        <v>-60.5</v>
      </c>
      <c r="S7">
        <v>29.5</v>
      </c>
      <c r="T7">
        <v>-58.4</v>
      </c>
      <c r="V7">
        <v>29.5</v>
      </c>
      <c r="W7">
        <v>3854.806</v>
      </c>
      <c r="Y7">
        <f t="shared" si="0"/>
        <v>-28.632999999999811</v>
      </c>
      <c r="AB7">
        <f t="shared" si="1"/>
        <v>29.5</v>
      </c>
      <c r="AC7">
        <f t="shared" si="2"/>
        <v>-28.632999999999811</v>
      </c>
    </row>
    <row r="8" spans="1:29" x14ac:dyDescent="0.25">
      <c r="A8" t="s">
        <v>8</v>
      </c>
      <c r="C8">
        <v>14.8</v>
      </c>
      <c r="D8">
        <v>-59.7</v>
      </c>
      <c r="H8" s="8"/>
      <c r="I8" s="9"/>
      <c r="L8">
        <v>15</v>
      </c>
      <c r="M8">
        <v>3854.8180000000002</v>
      </c>
      <c r="O8">
        <v>3</v>
      </c>
      <c r="P8">
        <v>-60.1</v>
      </c>
      <c r="S8">
        <v>34.5</v>
      </c>
      <c r="T8">
        <v>-58.1</v>
      </c>
      <c r="V8">
        <v>34.5</v>
      </c>
      <c r="W8">
        <v>3854.8530000000001</v>
      </c>
      <c r="Y8">
        <f t="shared" si="0"/>
        <v>-28.585999999999785</v>
      </c>
      <c r="AB8">
        <f t="shared" si="1"/>
        <v>34.5</v>
      </c>
      <c r="AC8">
        <f t="shared" si="2"/>
        <v>-28.585999999999785</v>
      </c>
    </row>
    <row r="9" spans="1:29" x14ac:dyDescent="0.25">
      <c r="A9" t="s">
        <v>9</v>
      </c>
      <c r="C9">
        <v>19.7</v>
      </c>
      <c r="D9">
        <v>-59.2</v>
      </c>
      <c r="H9" s="8"/>
      <c r="I9" s="9"/>
      <c r="L9">
        <v>20</v>
      </c>
      <c r="M9">
        <v>3854.8090000000002</v>
      </c>
      <c r="O9">
        <v>4</v>
      </c>
      <c r="P9">
        <v>-59.7</v>
      </c>
      <c r="S9">
        <v>39.4</v>
      </c>
      <c r="T9">
        <v>-57.6</v>
      </c>
      <c r="V9">
        <v>39.4</v>
      </c>
      <c r="W9">
        <v>3854.8560000000002</v>
      </c>
      <c r="Y9">
        <f t="shared" si="0"/>
        <v>-28.582999999999629</v>
      </c>
      <c r="AB9">
        <f t="shared" si="1"/>
        <v>39.4</v>
      </c>
      <c r="AC9">
        <f t="shared" si="2"/>
        <v>-28.582999999999629</v>
      </c>
    </row>
    <row r="10" spans="1:29" x14ac:dyDescent="0.25">
      <c r="A10" t="s">
        <v>10</v>
      </c>
      <c r="C10">
        <v>24.6</v>
      </c>
      <c r="D10">
        <v>-58.8</v>
      </c>
      <c r="H10" s="8"/>
      <c r="I10" s="9"/>
      <c r="L10">
        <v>25</v>
      </c>
      <c r="M10">
        <v>3854.817</v>
      </c>
      <c r="O10">
        <v>5</v>
      </c>
      <c r="P10">
        <v>-59.2</v>
      </c>
      <c r="S10">
        <v>44.3</v>
      </c>
      <c r="T10">
        <v>-57.1</v>
      </c>
      <c r="V10">
        <v>44.3</v>
      </c>
      <c r="W10">
        <v>3854.9050000000002</v>
      </c>
      <c r="Y10">
        <f t="shared" si="0"/>
        <v>-28.533999999999651</v>
      </c>
      <c r="AB10">
        <f t="shared" si="1"/>
        <v>44.3</v>
      </c>
      <c r="AC10">
        <f t="shared" si="2"/>
        <v>-28.533999999999651</v>
      </c>
    </row>
    <row r="11" spans="1:29" x14ac:dyDescent="0.25">
      <c r="A11" t="s">
        <v>11</v>
      </c>
      <c r="C11">
        <v>29.5</v>
      </c>
      <c r="D11">
        <v>-58.4</v>
      </c>
      <c r="H11" s="8"/>
      <c r="I11" s="9"/>
      <c r="L11">
        <v>30</v>
      </c>
      <c r="M11">
        <v>3854.806</v>
      </c>
      <c r="O11">
        <v>6</v>
      </c>
      <c r="P11">
        <v>-58.8</v>
      </c>
      <c r="S11">
        <v>49.2</v>
      </c>
      <c r="T11">
        <v>-56.5</v>
      </c>
      <c r="V11">
        <v>49.2</v>
      </c>
      <c r="W11">
        <v>3854.9839999999999</v>
      </c>
      <c r="Y11">
        <f t="shared" si="0"/>
        <v>-28.454999999999927</v>
      </c>
      <c r="AB11">
        <f t="shared" si="1"/>
        <v>49.2</v>
      </c>
      <c r="AC11">
        <f t="shared" si="2"/>
        <v>-28.454999999999927</v>
      </c>
    </row>
    <row r="12" spans="1:29" x14ac:dyDescent="0.25">
      <c r="A12" t="s">
        <v>12</v>
      </c>
      <c r="C12">
        <v>34.5</v>
      </c>
      <c r="D12">
        <v>-58.1</v>
      </c>
      <c r="H12" s="8"/>
      <c r="I12" s="9"/>
      <c r="L12">
        <v>35</v>
      </c>
      <c r="M12">
        <v>3854.8530000000001</v>
      </c>
      <c r="O12">
        <v>7</v>
      </c>
      <c r="P12">
        <v>-58.4</v>
      </c>
      <c r="S12">
        <v>54.2</v>
      </c>
      <c r="T12">
        <v>-55.6</v>
      </c>
      <c r="V12">
        <v>54.2</v>
      </c>
      <c r="W12">
        <v>3854.9960000000001</v>
      </c>
      <c r="Y12">
        <f t="shared" si="0"/>
        <v>-28.442999999999756</v>
      </c>
      <c r="AB12">
        <f t="shared" si="1"/>
        <v>54.2</v>
      </c>
      <c r="AC12">
        <f t="shared" si="2"/>
        <v>-28.442999999999756</v>
      </c>
    </row>
    <row r="13" spans="1:29" x14ac:dyDescent="0.25">
      <c r="A13" t="s">
        <v>13</v>
      </c>
      <c r="C13">
        <v>39.4</v>
      </c>
      <c r="D13">
        <v>-57.6</v>
      </c>
      <c r="H13" s="8"/>
      <c r="I13" s="9"/>
      <c r="L13">
        <v>40</v>
      </c>
      <c r="M13">
        <v>3854.8560000000002</v>
      </c>
      <c r="O13">
        <v>8</v>
      </c>
      <c r="P13">
        <v>-58.1</v>
      </c>
      <c r="S13">
        <v>59.2</v>
      </c>
      <c r="T13">
        <v>-54.5</v>
      </c>
      <c r="V13">
        <v>59.2</v>
      </c>
      <c r="W13">
        <v>3855.0549999999998</v>
      </c>
      <c r="Y13">
        <f t="shared" si="0"/>
        <v>-28.384000000000015</v>
      </c>
      <c r="AB13">
        <f t="shared" si="1"/>
        <v>59.2</v>
      </c>
      <c r="AC13">
        <f t="shared" si="2"/>
        <v>-28.384000000000015</v>
      </c>
    </row>
    <row r="14" spans="1:29" x14ac:dyDescent="0.25">
      <c r="A14" t="s">
        <v>14</v>
      </c>
      <c r="C14">
        <v>44.3</v>
      </c>
      <c r="D14">
        <v>-57.1</v>
      </c>
      <c r="H14" s="8"/>
      <c r="I14" s="9"/>
      <c r="L14">
        <v>45</v>
      </c>
      <c r="M14">
        <v>3854.9050000000002</v>
      </c>
      <c r="O14">
        <v>9</v>
      </c>
      <c r="P14">
        <v>-57.6</v>
      </c>
      <c r="S14">
        <v>64</v>
      </c>
      <c r="T14">
        <v>-53.7</v>
      </c>
      <c r="V14">
        <v>64</v>
      </c>
      <c r="W14">
        <v>3855.1759999999999</v>
      </c>
      <c r="Y14">
        <f t="shared" si="0"/>
        <v>-28.26299999999992</v>
      </c>
      <c r="AB14">
        <f t="shared" si="1"/>
        <v>64</v>
      </c>
      <c r="AC14">
        <f t="shared" si="2"/>
        <v>-28.26299999999992</v>
      </c>
    </row>
    <row r="15" spans="1:29" x14ac:dyDescent="0.25">
      <c r="A15" t="s">
        <v>15</v>
      </c>
      <c r="C15">
        <v>49.2</v>
      </c>
      <c r="D15">
        <v>-56.5</v>
      </c>
      <c r="H15" s="8"/>
      <c r="I15" s="9"/>
      <c r="L15">
        <v>50</v>
      </c>
      <c r="M15">
        <v>3854.9839999999999</v>
      </c>
      <c r="O15">
        <v>10</v>
      </c>
      <c r="P15">
        <v>-57.1</v>
      </c>
      <c r="S15">
        <v>68.900000000000006</v>
      </c>
      <c r="T15">
        <v>-52.9</v>
      </c>
      <c r="V15">
        <v>68.900000000000006</v>
      </c>
      <c r="W15">
        <v>3855.1930000000002</v>
      </c>
      <c r="Y15">
        <f t="shared" si="0"/>
        <v>-28.24599999999964</v>
      </c>
      <c r="AB15">
        <f t="shared" si="1"/>
        <v>68.900000000000006</v>
      </c>
      <c r="AC15">
        <f t="shared" si="2"/>
        <v>-28.24599999999964</v>
      </c>
    </row>
    <row r="16" spans="1:29" x14ac:dyDescent="0.25">
      <c r="A16" t="s">
        <v>16</v>
      </c>
      <c r="C16">
        <v>54.2</v>
      </c>
      <c r="D16">
        <v>-55.6</v>
      </c>
      <c r="H16" s="8"/>
      <c r="I16" s="9"/>
      <c r="L16">
        <v>55</v>
      </c>
      <c r="M16">
        <v>3854.9960000000001</v>
      </c>
      <c r="O16">
        <v>11</v>
      </c>
      <c r="P16">
        <v>-56.5</v>
      </c>
      <c r="S16">
        <v>73.8</v>
      </c>
      <c r="T16">
        <v>-51.9</v>
      </c>
      <c r="V16">
        <v>73.8</v>
      </c>
      <c r="W16">
        <v>3855.5250000000001</v>
      </c>
      <c r="Y16">
        <f t="shared" si="0"/>
        <v>-27.91399999999976</v>
      </c>
      <c r="AB16">
        <f t="shared" si="1"/>
        <v>73.8</v>
      </c>
      <c r="AC16">
        <f t="shared" si="2"/>
        <v>-27.91399999999976</v>
      </c>
    </row>
    <row r="17" spans="1:29" x14ac:dyDescent="0.25">
      <c r="A17" t="s">
        <v>17</v>
      </c>
      <c r="C17">
        <v>59.2</v>
      </c>
      <c r="D17">
        <v>-54.5</v>
      </c>
      <c r="H17" s="8"/>
      <c r="I17" s="9"/>
      <c r="L17">
        <v>60</v>
      </c>
      <c r="M17">
        <v>3855.0549999999998</v>
      </c>
      <c r="O17">
        <v>12</v>
      </c>
      <c r="P17">
        <v>-55.6</v>
      </c>
      <c r="S17">
        <v>78.8</v>
      </c>
      <c r="T17">
        <v>-51.1</v>
      </c>
      <c r="V17">
        <v>78.8</v>
      </c>
      <c r="W17">
        <v>3855.3829999999998</v>
      </c>
      <c r="Y17">
        <f t="shared" si="0"/>
        <v>-28.05600000000004</v>
      </c>
      <c r="AB17">
        <f t="shared" si="1"/>
        <v>78.8</v>
      </c>
      <c r="AC17">
        <f t="shared" si="2"/>
        <v>-28.05600000000004</v>
      </c>
    </row>
    <row r="18" spans="1:29" x14ac:dyDescent="0.25">
      <c r="A18" t="s">
        <v>18</v>
      </c>
      <c r="C18">
        <v>64</v>
      </c>
      <c r="D18">
        <v>-53.7</v>
      </c>
      <c r="H18" s="8"/>
      <c r="I18" s="9"/>
      <c r="L18">
        <v>65</v>
      </c>
      <c r="M18">
        <v>3855.1759999999999</v>
      </c>
      <c r="O18">
        <v>13</v>
      </c>
      <c r="P18">
        <v>-54.5</v>
      </c>
      <c r="S18">
        <v>83.7</v>
      </c>
      <c r="T18">
        <v>-50.4</v>
      </c>
      <c r="V18">
        <v>83.7</v>
      </c>
      <c r="W18">
        <v>3855.221</v>
      </c>
      <c r="Y18">
        <f t="shared" si="0"/>
        <v>-28.217999999999847</v>
      </c>
      <c r="AB18">
        <f t="shared" si="1"/>
        <v>83.7</v>
      </c>
      <c r="AC18">
        <f t="shared" si="2"/>
        <v>-28.217999999999847</v>
      </c>
    </row>
    <row r="19" spans="1:29" x14ac:dyDescent="0.25">
      <c r="A19" t="s">
        <v>19</v>
      </c>
      <c r="C19">
        <v>68.900000000000006</v>
      </c>
      <c r="D19">
        <v>-52.9</v>
      </c>
      <c r="H19" s="8"/>
      <c r="I19" s="9"/>
      <c r="L19">
        <v>70</v>
      </c>
      <c r="M19">
        <v>3855.1930000000002</v>
      </c>
      <c r="O19">
        <v>14</v>
      </c>
      <c r="P19">
        <v>-53.7</v>
      </c>
      <c r="S19">
        <v>88.7</v>
      </c>
      <c r="T19">
        <v>-50.4</v>
      </c>
      <c r="V19">
        <v>88.7</v>
      </c>
      <c r="W19">
        <v>3855.328</v>
      </c>
      <c r="Y19">
        <f t="shared" si="0"/>
        <v>-28.110999999999876</v>
      </c>
      <c r="AB19">
        <f t="shared" si="1"/>
        <v>88.7</v>
      </c>
      <c r="AC19">
        <f t="shared" si="2"/>
        <v>-28.110999999999876</v>
      </c>
    </row>
    <row r="20" spans="1:29" x14ac:dyDescent="0.25">
      <c r="A20" t="s">
        <v>20</v>
      </c>
      <c r="C20">
        <v>73.8</v>
      </c>
      <c r="D20">
        <v>-51.9</v>
      </c>
      <c r="H20" s="8"/>
      <c r="I20" s="9"/>
      <c r="L20">
        <v>75</v>
      </c>
      <c r="M20">
        <v>3855.5250000000001</v>
      </c>
      <c r="O20">
        <v>15</v>
      </c>
      <c r="P20">
        <v>-52.9</v>
      </c>
      <c r="S20">
        <v>93.6</v>
      </c>
      <c r="T20">
        <v>-50.3</v>
      </c>
      <c r="V20">
        <v>93.6</v>
      </c>
      <c r="W20">
        <v>3856.578</v>
      </c>
      <c r="Y20">
        <f t="shared" si="0"/>
        <v>-26.860999999999876</v>
      </c>
      <c r="AB20">
        <f t="shared" si="1"/>
        <v>93.6</v>
      </c>
      <c r="AC20">
        <f t="shared" si="2"/>
        <v>-26.860999999999876</v>
      </c>
    </row>
    <row r="21" spans="1:29" x14ac:dyDescent="0.25">
      <c r="A21" t="s">
        <v>21</v>
      </c>
      <c r="C21">
        <v>78.8</v>
      </c>
      <c r="D21">
        <v>-51.1</v>
      </c>
      <c r="H21" s="8"/>
      <c r="I21" s="9"/>
      <c r="L21">
        <v>80</v>
      </c>
      <c r="M21">
        <v>3855.3829999999998</v>
      </c>
      <c r="O21">
        <v>16</v>
      </c>
      <c r="P21">
        <v>-51.9</v>
      </c>
      <c r="S21">
        <v>98.6</v>
      </c>
      <c r="T21">
        <v>-50.3</v>
      </c>
      <c r="V21">
        <v>98.6</v>
      </c>
      <c r="W21">
        <v>3857.462</v>
      </c>
      <c r="Y21">
        <f t="shared" si="0"/>
        <v>-25.976999999999862</v>
      </c>
      <c r="AB21">
        <f t="shared" si="1"/>
        <v>98.6</v>
      </c>
      <c r="AC21">
        <f t="shared" si="2"/>
        <v>-25.976999999999862</v>
      </c>
    </row>
    <row r="22" spans="1:29" x14ac:dyDescent="0.25">
      <c r="A22" t="s">
        <v>22</v>
      </c>
      <c r="C22">
        <v>83.7</v>
      </c>
      <c r="D22">
        <v>-50.4</v>
      </c>
      <c r="H22" s="8"/>
      <c r="I22" s="9"/>
      <c r="L22">
        <v>85</v>
      </c>
      <c r="M22">
        <v>3855.221</v>
      </c>
      <c r="O22">
        <v>17</v>
      </c>
      <c r="P22">
        <v>-51.1</v>
      </c>
      <c r="S22">
        <v>103.5</v>
      </c>
      <c r="T22">
        <v>-50.3</v>
      </c>
      <c r="V22">
        <v>103.5</v>
      </c>
      <c r="W22">
        <v>3858.5239999999999</v>
      </c>
      <c r="Y22">
        <f t="shared" si="0"/>
        <v>-24.914999999999964</v>
      </c>
      <c r="AB22">
        <f t="shared" si="1"/>
        <v>103.5</v>
      </c>
      <c r="AC22">
        <f t="shared" si="2"/>
        <v>-24.914999999999964</v>
      </c>
    </row>
    <row r="23" spans="1:29" x14ac:dyDescent="0.25">
      <c r="A23" t="s">
        <v>23</v>
      </c>
      <c r="C23">
        <v>88.7</v>
      </c>
      <c r="D23">
        <v>-50.4</v>
      </c>
      <c r="H23" s="8"/>
      <c r="I23" s="9"/>
      <c r="L23">
        <v>90</v>
      </c>
      <c r="M23">
        <v>3855.328</v>
      </c>
      <c r="O23">
        <v>18</v>
      </c>
      <c r="P23">
        <v>-50.4</v>
      </c>
      <c r="S23">
        <v>108.4</v>
      </c>
      <c r="T23">
        <v>-50.7</v>
      </c>
      <c r="V23">
        <v>108.4</v>
      </c>
      <c r="W23">
        <v>3859.652</v>
      </c>
      <c r="Y23">
        <f t="shared" si="0"/>
        <v>-23.786999999999807</v>
      </c>
      <c r="AB23">
        <f t="shared" si="1"/>
        <v>108.4</v>
      </c>
      <c r="AC23">
        <f t="shared" si="2"/>
        <v>-23.786999999999807</v>
      </c>
    </row>
    <row r="24" spans="1:29" x14ac:dyDescent="0.25">
      <c r="A24" t="s">
        <v>24</v>
      </c>
      <c r="C24">
        <v>93.6</v>
      </c>
      <c r="D24">
        <v>-50.3</v>
      </c>
      <c r="H24" s="8"/>
      <c r="I24" s="9"/>
      <c r="L24">
        <v>95</v>
      </c>
      <c r="M24">
        <v>3856.578</v>
      </c>
      <c r="O24">
        <v>19</v>
      </c>
      <c r="P24">
        <v>-50.4</v>
      </c>
      <c r="S24">
        <v>113.4</v>
      </c>
      <c r="T24">
        <v>-51.2</v>
      </c>
      <c r="V24">
        <v>113.4</v>
      </c>
      <c r="W24">
        <v>3860.308</v>
      </c>
      <c r="X24">
        <v>3860.96</v>
      </c>
      <c r="Y24">
        <f t="shared" si="0"/>
        <v>-23.130999999999858</v>
      </c>
      <c r="Z24">
        <f>V24</f>
        <v>113.4</v>
      </c>
      <c r="AA24">
        <f>Y24</f>
        <v>-23.130999999999858</v>
      </c>
      <c r="AB24">
        <f t="shared" si="1"/>
        <v>113.4</v>
      </c>
      <c r="AC24">
        <f t="shared" si="2"/>
        <v>-23.130999999999858</v>
      </c>
    </row>
    <row r="25" spans="1:29" x14ac:dyDescent="0.25">
      <c r="A25" t="s">
        <v>25</v>
      </c>
      <c r="C25">
        <v>98.6</v>
      </c>
      <c r="D25">
        <v>-50.3</v>
      </c>
      <c r="H25" s="8"/>
      <c r="I25" s="9"/>
      <c r="L25">
        <v>100</v>
      </c>
      <c r="M25">
        <v>3857.462</v>
      </c>
      <c r="O25">
        <v>20</v>
      </c>
      <c r="P25">
        <v>-50.3</v>
      </c>
      <c r="S25">
        <v>118.4</v>
      </c>
      <c r="T25">
        <v>-51.7</v>
      </c>
      <c r="V25">
        <v>118.4</v>
      </c>
      <c r="W25">
        <v>3861.0189999999998</v>
      </c>
      <c r="X25">
        <v>3861.0189999999998</v>
      </c>
      <c r="Y25">
        <f t="shared" si="0"/>
        <v>-22.420000000000073</v>
      </c>
      <c r="Z25">
        <f t="shared" ref="Z25:Z67" si="3">V25</f>
        <v>118.4</v>
      </c>
      <c r="AA25">
        <f t="shared" ref="AA25:AA67" si="4">Y25</f>
        <v>-22.420000000000073</v>
      </c>
      <c r="AB25">
        <f t="shared" si="1"/>
        <v>118.4</v>
      </c>
      <c r="AC25">
        <f t="shared" si="2"/>
        <v>-22.420000000000073</v>
      </c>
    </row>
    <row r="26" spans="1:29" x14ac:dyDescent="0.25">
      <c r="A26" t="s">
        <v>26</v>
      </c>
      <c r="C26">
        <v>103.5</v>
      </c>
      <c r="D26">
        <v>-50.3</v>
      </c>
      <c r="H26" s="8"/>
      <c r="I26" s="9"/>
      <c r="L26">
        <v>105</v>
      </c>
      <c r="M26">
        <v>3858.5239999999999</v>
      </c>
      <c r="O26">
        <v>21</v>
      </c>
      <c r="P26">
        <v>-50.3</v>
      </c>
      <c r="S26">
        <v>123.3</v>
      </c>
      <c r="T26">
        <v>-52.1</v>
      </c>
      <c r="V26">
        <v>123.3</v>
      </c>
      <c r="W26">
        <v>3861.8389999999999</v>
      </c>
      <c r="X26">
        <v>3861.8389999999999</v>
      </c>
      <c r="Y26">
        <f t="shared" si="0"/>
        <v>-21.599999999999909</v>
      </c>
      <c r="Z26">
        <f t="shared" si="3"/>
        <v>123.3</v>
      </c>
      <c r="AA26">
        <f t="shared" si="4"/>
        <v>-21.599999999999909</v>
      </c>
      <c r="AB26">
        <f t="shared" si="1"/>
        <v>123.3</v>
      </c>
      <c r="AC26">
        <f t="shared" si="2"/>
        <v>-21.599999999999909</v>
      </c>
    </row>
    <row r="27" spans="1:29" x14ac:dyDescent="0.25">
      <c r="A27" t="s">
        <v>27</v>
      </c>
      <c r="C27">
        <v>108.4</v>
      </c>
      <c r="D27">
        <v>-50.7</v>
      </c>
      <c r="H27" s="8"/>
      <c r="I27" s="9"/>
      <c r="L27">
        <v>110</v>
      </c>
      <c r="M27">
        <v>3859.652</v>
      </c>
      <c r="O27">
        <v>22</v>
      </c>
      <c r="P27">
        <v>-50.3</v>
      </c>
      <c r="S27">
        <v>128.19999999999999</v>
      </c>
      <c r="T27">
        <v>-52.4</v>
      </c>
      <c r="V27">
        <v>128.19999999999999</v>
      </c>
      <c r="W27">
        <v>3861.73</v>
      </c>
      <c r="X27">
        <v>3861.73</v>
      </c>
      <c r="Y27">
        <f t="shared" si="0"/>
        <v>-21.708999999999833</v>
      </c>
      <c r="Z27">
        <f t="shared" si="3"/>
        <v>128.19999999999999</v>
      </c>
      <c r="AA27">
        <f t="shared" si="4"/>
        <v>-21.708999999999833</v>
      </c>
      <c r="AB27">
        <f t="shared" si="1"/>
        <v>128.19999999999999</v>
      </c>
      <c r="AC27">
        <f t="shared" si="2"/>
        <v>-21.708999999999833</v>
      </c>
    </row>
    <row r="28" spans="1:29" x14ac:dyDescent="0.25">
      <c r="A28" t="s">
        <v>28</v>
      </c>
      <c r="B28" t="s">
        <v>175</v>
      </c>
      <c r="C28">
        <v>113.4</v>
      </c>
      <c r="D28">
        <v>-51.2</v>
      </c>
      <c r="E28">
        <v>-7.5</v>
      </c>
      <c r="F28">
        <v>3860.96</v>
      </c>
      <c r="G28" s="2">
        <f>F28-MAX(F:F)</f>
        <v>-22.027000000000044</v>
      </c>
      <c r="H28" s="8">
        <f>C28</f>
        <v>113.4</v>
      </c>
      <c r="I28" s="9">
        <f>D28</f>
        <v>-51.2</v>
      </c>
      <c r="J28">
        <v>-7.5</v>
      </c>
      <c r="K28">
        <v>-22.03</v>
      </c>
      <c r="L28">
        <v>115</v>
      </c>
      <c r="M28">
        <v>3860.308</v>
      </c>
      <c r="O28">
        <v>23</v>
      </c>
      <c r="P28">
        <v>-50.7</v>
      </c>
      <c r="S28">
        <v>133.19999999999999</v>
      </c>
      <c r="T28">
        <v>-52.7</v>
      </c>
      <c r="V28">
        <v>133.19999999999999</v>
      </c>
      <c r="W28">
        <v>3862.4929999999999</v>
      </c>
      <c r="X28">
        <v>3862.4929999999999</v>
      </c>
      <c r="Y28">
        <f t="shared" si="0"/>
        <v>-20.945999999999913</v>
      </c>
      <c r="Z28">
        <f t="shared" si="3"/>
        <v>133.19999999999999</v>
      </c>
      <c r="AA28">
        <f t="shared" si="4"/>
        <v>-20.945999999999913</v>
      </c>
      <c r="AB28">
        <f t="shared" si="1"/>
        <v>133.19999999999999</v>
      </c>
      <c r="AC28">
        <f t="shared" si="2"/>
        <v>-20.945999999999913</v>
      </c>
    </row>
    <row r="29" spans="1:29" x14ac:dyDescent="0.25">
      <c r="A29" t="s">
        <v>29</v>
      </c>
      <c r="B29" t="s">
        <v>103</v>
      </c>
      <c r="C29">
        <v>118.4</v>
      </c>
      <c r="D29">
        <v>-51.7</v>
      </c>
      <c r="E29">
        <v>0</v>
      </c>
      <c r="F29">
        <v>3861.0189999999998</v>
      </c>
      <c r="G29" s="2">
        <f t="shared" ref="G29:G71" si="5">F29-MAX(F:F)</f>
        <v>-21.968000000000302</v>
      </c>
      <c r="H29" s="8">
        <f t="shared" ref="H29:H71" si="6">C29</f>
        <v>118.4</v>
      </c>
      <c r="I29" s="9">
        <f t="shared" ref="I29:I71" si="7">D29</f>
        <v>-51.7</v>
      </c>
      <c r="J29">
        <v>-3.75</v>
      </c>
      <c r="K29">
        <v>-22</v>
      </c>
      <c r="L29">
        <v>120</v>
      </c>
      <c r="M29">
        <v>3861.0189999999998</v>
      </c>
      <c r="O29">
        <v>24</v>
      </c>
      <c r="P29">
        <v>-51.2</v>
      </c>
      <c r="S29">
        <v>138.19999999999999</v>
      </c>
      <c r="T29">
        <v>-53</v>
      </c>
      <c r="V29">
        <v>138.19999999999999</v>
      </c>
      <c r="W29">
        <v>3863.1370000000002</v>
      </c>
      <c r="X29">
        <v>3863.1370000000002</v>
      </c>
      <c r="Y29">
        <f t="shared" si="0"/>
        <v>-20.30199999999968</v>
      </c>
      <c r="Z29">
        <f t="shared" si="3"/>
        <v>138.19999999999999</v>
      </c>
      <c r="AA29">
        <f t="shared" si="4"/>
        <v>-20.30199999999968</v>
      </c>
      <c r="AB29">
        <f t="shared" si="1"/>
        <v>138.19999999999999</v>
      </c>
      <c r="AC29">
        <f t="shared" si="2"/>
        <v>-20.30199999999968</v>
      </c>
    </row>
    <row r="30" spans="1:29" x14ac:dyDescent="0.25">
      <c r="A30" t="s">
        <v>30</v>
      </c>
      <c r="B30" t="s">
        <v>104</v>
      </c>
      <c r="C30">
        <v>123.3</v>
      </c>
      <c r="D30">
        <v>-52.1</v>
      </c>
      <c r="E30">
        <v>4.9000000000000004</v>
      </c>
      <c r="F30">
        <v>3861.8389999999999</v>
      </c>
      <c r="G30" s="2">
        <f t="shared" si="5"/>
        <v>-21.148000000000138</v>
      </c>
      <c r="H30" s="8">
        <f t="shared" si="6"/>
        <v>123.3</v>
      </c>
      <c r="I30" s="9">
        <f t="shared" si="7"/>
        <v>-52.1</v>
      </c>
      <c r="J30">
        <v>0</v>
      </c>
      <c r="K30">
        <v>-21.97</v>
      </c>
      <c r="L30">
        <v>125</v>
      </c>
      <c r="M30">
        <v>3861.8389999999999</v>
      </c>
      <c r="O30">
        <v>25</v>
      </c>
      <c r="P30">
        <v>-51.7</v>
      </c>
      <c r="S30">
        <v>143.19999999999999</v>
      </c>
      <c r="T30">
        <v>-53.2</v>
      </c>
      <c r="V30">
        <v>143.19999999999999</v>
      </c>
      <c r="W30">
        <v>3863.6779999999999</v>
      </c>
      <c r="X30">
        <v>3863.6779999999999</v>
      </c>
      <c r="Y30">
        <f t="shared" si="0"/>
        <v>-19.760999999999967</v>
      </c>
      <c r="Z30">
        <f t="shared" si="3"/>
        <v>143.19999999999999</v>
      </c>
      <c r="AA30">
        <f t="shared" si="4"/>
        <v>-19.760999999999967</v>
      </c>
      <c r="AB30">
        <f t="shared" si="1"/>
        <v>143.19999999999999</v>
      </c>
      <c r="AC30">
        <f t="shared" si="2"/>
        <v>-19.760999999999967</v>
      </c>
    </row>
    <row r="31" spans="1:29" x14ac:dyDescent="0.25">
      <c r="A31" t="s">
        <v>31</v>
      </c>
      <c r="B31" t="s">
        <v>105</v>
      </c>
      <c r="C31">
        <v>128.19999999999999</v>
      </c>
      <c r="D31">
        <v>-52.4</v>
      </c>
      <c r="E31">
        <v>9.9</v>
      </c>
      <c r="F31">
        <v>3861.73</v>
      </c>
      <c r="G31" s="2">
        <f t="shared" si="5"/>
        <v>-21.257000000000062</v>
      </c>
      <c r="H31" s="8">
        <f t="shared" si="6"/>
        <v>128.19999999999999</v>
      </c>
      <c r="I31" s="9">
        <f t="shared" si="7"/>
        <v>-52.4</v>
      </c>
      <c r="J31">
        <v>2.4500000000000002</v>
      </c>
      <c r="K31">
        <v>-21.56</v>
      </c>
      <c r="L31">
        <v>130</v>
      </c>
      <c r="M31">
        <v>3861.73</v>
      </c>
      <c r="O31">
        <v>26</v>
      </c>
      <c r="P31">
        <v>-52.1</v>
      </c>
      <c r="S31">
        <v>148.19999999999999</v>
      </c>
      <c r="T31">
        <v>-53.5</v>
      </c>
      <c r="V31">
        <v>148.19999999999999</v>
      </c>
      <c r="W31">
        <v>3863.5120000000002</v>
      </c>
      <c r="X31">
        <v>3863.5120000000002</v>
      </c>
      <c r="Y31">
        <f t="shared" si="0"/>
        <v>-19.92699999999968</v>
      </c>
      <c r="Z31">
        <f t="shared" si="3"/>
        <v>148.19999999999999</v>
      </c>
      <c r="AA31">
        <f t="shared" si="4"/>
        <v>-19.92699999999968</v>
      </c>
      <c r="AB31">
        <f t="shared" si="1"/>
        <v>148.19999999999999</v>
      </c>
      <c r="AC31">
        <f t="shared" si="2"/>
        <v>-19.92699999999968</v>
      </c>
    </row>
    <row r="32" spans="1:29" x14ac:dyDescent="0.25">
      <c r="A32" t="s">
        <v>32</v>
      </c>
      <c r="B32" t="s">
        <v>106</v>
      </c>
      <c r="C32">
        <v>133.19999999999999</v>
      </c>
      <c r="D32">
        <v>-52.7</v>
      </c>
      <c r="E32">
        <v>14.9</v>
      </c>
      <c r="F32">
        <v>3862.4929999999999</v>
      </c>
      <c r="G32" s="2">
        <f t="shared" si="5"/>
        <v>-20.494000000000142</v>
      </c>
      <c r="H32" s="8">
        <f t="shared" si="6"/>
        <v>133.19999999999999</v>
      </c>
      <c r="I32" s="9">
        <f t="shared" si="7"/>
        <v>-52.7</v>
      </c>
      <c r="J32">
        <v>4.9000000000000004</v>
      </c>
      <c r="K32">
        <v>-21.15</v>
      </c>
      <c r="L32">
        <v>135</v>
      </c>
      <c r="M32">
        <v>3862.4929999999999</v>
      </c>
      <c r="O32">
        <v>27</v>
      </c>
      <c r="P32">
        <v>-52.4</v>
      </c>
      <c r="S32">
        <v>153.19999999999999</v>
      </c>
      <c r="T32">
        <v>-53.8</v>
      </c>
      <c r="V32">
        <v>153.19999999999999</v>
      </c>
      <c r="W32">
        <v>3862.6109999999999</v>
      </c>
      <c r="X32">
        <v>3862.6109999999999</v>
      </c>
      <c r="Y32">
        <f t="shared" si="0"/>
        <v>-20.827999999999975</v>
      </c>
      <c r="Z32">
        <f t="shared" si="3"/>
        <v>153.19999999999999</v>
      </c>
      <c r="AA32">
        <f t="shared" si="4"/>
        <v>-20.827999999999975</v>
      </c>
      <c r="AB32">
        <f t="shared" si="1"/>
        <v>153.19999999999999</v>
      </c>
      <c r="AC32">
        <f t="shared" si="2"/>
        <v>-20.827999999999975</v>
      </c>
    </row>
    <row r="33" spans="1:29" x14ac:dyDescent="0.25">
      <c r="A33" t="s">
        <v>33</v>
      </c>
      <c r="B33" t="s">
        <v>107</v>
      </c>
      <c r="C33">
        <v>138.19999999999999</v>
      </c>
      <c r="D33">
        <v>-53</v>
      </c>
      <c r="E33">
        <v>19.8</v>
      </c>
      <c r="F33">
        <v>3863.1370000000002</v>
      </c>
      <c r="G33" s="2">
        <f t="shared" si="5"/>
        <v>-19.849999999999909</v>
      </c>
      <c r="H33" s="8">
        <f t="shared" si="6"/>
        <v>138.19999999999999</v>
      </c>
      <c r="I33" s="9">
        <f t="shared" si="7"/>
        <v>-53</v>
      </c>
      <c r="J33">
        <v>7.4</v>
      </c>
      <c r="K33">
        <v>-21.21</v>
      </c>
      <c r="L33">
        <v>140</v>
      </c>
      <c r="M33">
        <v>3863.1370000000002</v>
      </c>
      <c r="O33">
        <v>28</v>
      </c>
      <c r="P33">
        <v>-52.7</v>
      </c>
      <c r="S33">
        <v>158.1</v>
      </c>
      <c r="T33">
        <v>-54</v>
      </c>
      <c r="V33">
        <v>158.1</v>
      </c>
      <c r="W33">
        <v>3862.605</v>
      </c>
      <c r="X33">
        <v>3862.605</v>
      </c>
      <c r="Y33">
        <f t="shared" si="0"/>
        <v>-20.833999999999833</v>
      </c>
      <c r="Z33">
        <f t="shared" si="3"/>
        <v>158.1</v>
      </c>
      <c r="AA33">
        <f t="shared" si="4"/>
        <v>-20.833999999999833</v>
      </c>
      <c r="AB33">
        <f t="shared" si="1"/>
        <v>158.1</v>
      </c>
      <c r="AC33">
        <f t="shared" si="2"/>
        <v>-20.833999999999833</v>
      </c>
    </row>
    <row r="34" spans="1:29" x14ac:dyDescent="0.25">
      <c r="A34" t="s">
        <v>34</v>
      </c>
      <c r="B34" t="s">
        <v>108</v>
      </c>
      <c r="C34">
        <v>143.19999999999999</v>
      </c>
      <c r="D34">
        <v>-53.2</v>
      </c>
      <c r="E34">
        <v>24.8</v>
      </c>
      <c r="F34">
        <v>3863.6779999999999</v>
      </c>
      <c r="G34" s="2">
        <f t="shared" si="5"/>
        <v>-19.309000000000196</v>
      </c>
      <c r="H34" s="8">
        <f t="shared" si="6"/>
        <v>143.19999999999999</v>
      </c>
      <c r="I34" s="9">
        <f t="shared" si="7"/>
        <v>-53.2</v>
      </c>
      <c r="J34">
        <v>9.9</v>
      </c>
      <c r="K34">
        <v>-21.26</v>
      </c>
      <c r="L34">
        <v>145</v>
      </c>
      <c r="M34">
        <v>3863.6779999999999</v>
      </c>
      <c r="O34">
        <v>29</v>
      </c>
      <c r="P34">
        <v>-53</v>
      </c>
      <c r="S34">
        <v>162.9</v>
      </c>
      <c r="T34">
        <v>-54.1</v>
      </c>
      <c r="V34">
        <v>162.9</v>
      </c>
      <c r="W34">
        <v>3861.2330000000002</v>
      </c>
      <c r="X34">
        <v>3861.2330000000002</v>
      </c>
      <c r="Y34">
        <f t="shared" si="0"/>
        <v>-22.205999999999676</v>
      </c>
      <c r="Z34">
        <f t="shared" si="3"/>
        <v>162.9</v>
      </c>
      <c r="AA34">
        <f t="shared" si="4"/>
        <v>-22.205999999999676</v>
      </c>
      <c r="AB34">
        <f t="shared" si="1"/>
        <v>162.9</v>
      </c>
      <c r="AC34">
        <f t="shared" si="2"/>
        <v>-22.205999999999676</v>
      </c>
    </row>
    <row r="35" spans="1:29" x14ac:dyDescent="0.25">
      <c r="A35" t="s">
        <v>35</v>
      </c>
      <c r="B35" t="s">
        <v>109</v>
      </c>
      <c r="C35">
        <v>148.19999999999999</v>
      </c>
      <c r="D35">
        <v>-53.5</v>
      </c>
      <c r="E35">
        <v>29.8</v>
      </c>
      <c r="F35">
        <v>3863.5120000000002</v>
      </c>
      <c r="G35" s="2">
        <f t="shared" si="5"/>
        <v>-19.474999999999909</v>
      </c>
      <c r="H35" s="8">
        <f t="shared" si="6"/>
        <v>148.19999999999999</v>
      </c>
      <c r="I35" s="9">
        <f t="shared" si="7"/>
        <v>-53.5</v>
      </c>
      <c r="J35">
        <v>12.4</v>
      </c>
      <c r="K35">
        <v>-20.88</v>
      </c>
      <c r="L35">
        <v>150</v>
      </c>
      <c r="M35">
        <v>3863.5120000000002</v>
      </c>
      <c r="O35">
        <v>30</v>
      </c>
      <c r="P35">
        <v>-53.2</v>
      </c>
      <c r="S35">
        <v>167.9</v>
      </c>
      <c r="T35">
        <v>-54.2</v>
      </c>
      <c r="V35">
        <v>167.9</v>
      </c>
      <c r="W35">
        <v>3859.7860000000001</v>
      </c>
      <c r="X35">
        <v>3859.7860000000001</v>
      </c>
      <c r="Y35">
        <f t="shared" si="0"/>
        <v>-23.652999999999793</v>
      </c>
      <c r="Z35">
        <f t="shared" si="3"/>
        <v>167.9</v>
      </c>
      <c r="AA35">
        <f t="shared" si="4"/>
        <v>-23.652999999999793</v>
      </c>
      <c r="AB35">
        <f t="shared" si="1"/>
        <v>167.9</v>
      </c>
      <c r="AC35">
        <f t="shared" si="2"/>
        <v>-23.652999999999793</v>
      </c>
    </row>
    <row r="36" spans="1:29" x14ac:dyDescent="0.25">
      <c r="A36" t="s">
        <v>36</v>
      </c>
      <c r="B36" t="s">
        <v>110</v>
      </c>
      <c r="C36">
        <v>153.19999999999999</v>
      </c>
      <c r="D36">
        <v>-53.8</v>
      </c>
      <c r="E36">
        <v>34.700000000000003</v>
      </c>
      <c r="F36">
        <v>3862.6109999999999</v>
      </c>
      <c r="G36" s="2">
        <f t="shared" si="5"/>
        <v>-20.376000000000204</v>
      </c>
      <c r="H36" s="8">
        <f t="shared" si="6"/>
        <v>153.19999999999999</v>
      </c>
      <c r="I36" s="9">
        <f t="shared" si="7"/>
        <v>-53.8</v>
      </c>
      <c r="J36">
        <v>14.9</v>
      </c>
      <c r="K36">
        <v>-20.5</v>
      </c>
      <c r="L36">
        <v>155</v>
      </c>
      <c r="M36">
        <v>3862.6109999999999</v>
      </c>
      <c r="O36">
        <v>31</v>
      </c>
      <c r="P36">
        <v>-53.5</v>
      </c>
      <c r="S36">
        <v>172.8</v>
      </c>
      <c r="T36">
        <v>-54.2</v>
      </c>
      <c r="V36">
        <v>172.8</v>
      </c>
      <c r="W36">
        <v>3859.3290000000002</v>
      </c>
      <c r="X36">
        <v>3859.3290000000002</v>
      </c>
      <c r="Y36">
        <f t="shared" si="0"/>
        <v>-24.109999999999673</v>
      </c>
      <c r="Z36">
        <f t="shared" si="3"/>
        <v>172.8</v>
      </c>
      <c r="AA36">
        <f t="shared" si="4"/>
        <v>-24.109999999999673</v>
      </c>
      <c r="AB36">
        <f t="shared" si="1"/>
        <v>172.8</v>
      </c>
      <c r="AC36">
        <f t="shared" si="2"/>
        <v>-24.109999999999673</v>
      </c>
    </row>
    <row r="37" spans="1:29" x14ac:dyDescent="0.25">
      <c r="A37" t="s">
        <v>37</v>
      </c>
      <c r="B37" t="s">
        <v>111</v>
      </c>
      <c r="C37">
        <v>158.1</v>
      </c>
      <c r="D37">
        <v>-54</v>
      </c>
      <c r="E37">
        <v>39.700000000000003</v>
      </c>
      <c r="F37">
        <v>3862.605</v>
      </c>
      <c r="G37" s="2">
        <f t="shared" si="5"/>
        <v>-20.382000000000062</v>
      </c>
      <c r="H37" s="8">
        <f t="shared" si="6"/>
        <v>158.1</v>
      </c>
      <c r="I37" s="9">
        <f t="shared" si="7"/>
        <v>-54</v>
      </c>
      <c r="J37">
        <v>17.350000000000001</v>
      </c>
      <c r="K37">
        <v>-20.170000000000002</v>
      </c>
      <c r="L37">
        <v>160</v>
      </c>
      <c r="M37">
        <v>3862.605</v>
      </c>
      <c r="O37">
        <v>32</v>
      </c>
      <c r="P37">
        <v>-53.8</v>
      </c>
      <c r="S37">
        <v>177.7</v>
      </c>
      <c r="T37">
        <v>-54.2</v>
      </c>
      <c r="V37">
        <v>177.7</v>
      </c>
      <c r="W37">
        <v>3859.2</v>
      </c>
      <c r="X37">
        <v>3859.2</v>
      </c>
      <c r="Y37">
        <f t="shared" si="0"/>
        <v>-24.239000000000033</v>
      </c>
      <c r="Z37">
        <f t="shared" si="3"/>
        <v>177.7</v>
      </c>
      <c r="AA37">
        <f t="shared" si="4"/>
        <v>-24.239000000000033</v>
      </c>
      <c r="AB37">
        <f t="shared" si="1"/>
        <v>177.7</v>
      </c>
      <c r="AC37">
        <f t="shared" si="2"/>
        <v>-24.239000000000033</v>
      </c>
    </row>
    <row r="38" spans="1:29" x14ac:dyDescent="0.25">
      <c r="A38" t="s">
        <v>38</v>
      </c>
      <c r="B38" t="s">
        <v>112</v>
      </c>
      <c r="C38">
        <v>162.9</v>
      </c>
      <c r="D38">
        <v>-54.1</v>
      </c>
      <c r="E38">
        <v>44.5</v>
      </c>
      <c r="F38">
        <v>3861.2330000000002</v>
      </c>
      <c r="G38" s="2">
        <f t="shared" si="5"/>
        <v>-21.753999999999905</v>
      </c>
      <c r="H38" s="8">
        <f t="shared" si="6"/>
        <v>162.9</v>
      </c>
      <c r="I38" s="9">
        <f t="shared" si="7"/>
        <v>-54.1</v>
      </c>
      <c r="J38">
        <v>19.8</v>
      </c>
      <c r="K38">
        <v>-19.850000000000001</v>
      </c>
      <c r="L38">
        <v>165</v>
      </c>
      <c r="M38">
        <v>3861.2330000000002</v>
      </c>
      <c r="O38">
        <v>33</v>
      </c>
      <c r="P38">
        <v>-54</v>
      </c>
      <c r="S38">
        <v>182.6</v>
      </c>
      <c r="T38">
        <v>-54.2</v>
      </c>
      <c r="V38">
        <v>182.6</v>
      </c>
      <c r="W38">
        <v>3859.3879999999999</v>
      </c>
      <c r="X38">
        <v>3859.3879999999999</v>
      </c>
      <c r="Y38">
        <f t="shared" si="0"/>
        <v>-24.050999999999931</v>
      </c>
      <c r="Z38">
        <f t="shared" si="3"/>
        <v>182.6</v>
      </c>
      <c r="AA38">
        <f t="shared" si="4"/>
        <v>-24.050999999999931</v>
      </c>
      <c r="AB38">
        <f t="shared" si="1"/>
        <v>182.6</v>
      </c>
      <c r="AC38">
        <f t="shared" si="2"/>
        <v>-24.050999999999931</v>
      </c>
    </row>
    <row r="39" spans="1:29" x14ac:dyDescent="0.25">
      <c r="A39" t="s">
        <v>39</v>
      </c>
      <c r="B39" t="s">
        <v>113</v>
      </c>
      <c r="C39">
        <v>167.9</v>
      </c>
      <c r="D39">
        <v>-54.2</v>
      </c>
      <c r="E39">
        <v>49.3</v>
      </c>
      <c r="F39">
        <v>3859.7860000000001</v>
      </c>
      <c r="G39" s="2">
        <f t="shared" si="5"/>
        <v>-23.201000000000022</v>
      </c>
      <c r="H39" s="8">
        <f t="shared" si="6"/>
        <v>167.9</v>
      </c>
      <c r="I39" s="9">
        <f t="shared" si="7"/>
        <v>-54.2</v>
      </c>
      <c r="J39">
        <v>22.3</v>
      </c>
      <c r="K39">
        <v>-19.579999999999998</v>
      </c>
      <c r="L39">
        <v>170</v>
      </c>
      <c r="M39">
        <v>3859.7860000000001</v>
      </c>
      <c r="O39">
        <v>34</v>
      </c>
      <c r="P39">
        <v>-54.1</v>
      </c>
      <c r="S39">
        <v>187.6</v>
      </c>
      <c r="T39">
        <v>-54.2</v>
      </c>
      <c r="V39">
        <v>187.6</v>
      </c>
      <c r="W39">
        <v>3860.0050000000001</v>
      </c>
      <c r="X39">
        <v>3860.0050000000001</v>
      </c>
      <c r="Y39">
        <f t="shared" si="0"/>
        <v>-23.433999999999742</v>
      </c>
      <c r="Z39">
        <f t="shared" si="3"/>
        <v>187.6</v>
      </c>
      <c r="AA39">
        <f t="shared" si="4"/>
        <v>-23.433999999999742</v>
      </c>
      <c r="AB39">
        <f t="shared" si="1"/>
        <v>187.6</v>
      </c>
      <c r="AC39">
        <f t="shared" si="2"/>
        <v>-23.433999999999742</v>
      </c>
    </row>
    <row r="40" spans="1:29" x14ac:dyDescent="0.25">
      <c r="A40" t="s">
        <v>40</v>
      </c>
      <c r="B40" t="s">
        <v>114</v>
      </c>
      <c r="C40">
        <v>172.8</v>
      </c>
      <c r="D40">
        <v>-54.2</v>
      </c>
      <c r="E40">
        <v>54.3</v>
      </c>
      <c r="F40">
        <v>3859.3290000000002</v>
      </c>
      <c r="G40" s="2">
        <f t="shared" si="5"/>
        <v>-23.657999999999902</v>
      </c>
      <c r="H40" s="8">
        <f t="shared" si="6"/>
        <v>172.8</v>
      </c>
      <c r="I40" s="9">
        <f t="shared" si="7"/>
        <v>-54.2</v>
      </c>
      <c r="J40">
        <v>24.8</v>
      </c>
      <c r="K40">
        <v>-19.309999999999999</v>
      </c>
      <c r="L40">
        <v>175</v>
      </c>
      <c r="M40">
        <v>3859.3290000000002</v>
      </c>
      <c r="O40">
        <v>35</v>
      </c>
      <c r="P40">
        <v>-54.2</v>
      </c>
      <c r="S40">
        <v>192.4</v>
      </c>
      <c r="T40">
        <v>-53.9</v>
      </c>
      <c r="V40">
        <v>192.4</v>
      </c>
      <c r="W40">
        <v>3860.3710000000001</v>
      </c>
      <c r="X40">
        <v>3860.3710000000001</v>
      </c>
      <c r="Y40">
        <f t="shared" si="0"/>
        <v>-23.067999999999756</v>
      </c>
      <c r="Z40">
        <f t="shared" si="3"/>
        <v>192.4</v>
      </c>
      <c r="AA40">
        <f t="shared" si="4"/>
        <v>-23.067999999999756</v>
      </c>
      <c r="AB40">
        <f t="shared" si="1"/>
        <v>192.4</v>
      </c>
      <c r="AC40">
        <f t="shared" si="2"/>
        <v>-23.067999999999756</v>
      </c>
    </row>
    <row r="41" spans="1:29" x14ac:dyDescent="0.25">
      <c r="A41" t="s">
        <v>41</v>
      </c>
      <c r="B41" t="s">
        <v>115</v>
      </c>
      <c r="C41">
        <v>177.7</v>
      </c>
      <c r="D41">
        <v>-54.2</v>
      </c>
      <c r="E41">
        <v>59.3</v>
      </c>
      <c r="F41">
        <v>3859.2</v>
      </c>
      <c r="G41" s="2">
        <f t="shared" si="5"/>
        <v>-23.787000000000262</v>
      </c>
      <c r="H41" s="8">
        <f t="shared" si="6"/>
        <v>177.7</v>
      </c>
      <c r="I41" s="9">
        <f t="shared" si="7"/>
        <v>-54.2</v>
      </c>
      <c r="J41">
        <v>27.3</v>
      </c>
      <c r="K41">
        <v>-19.39</v>
      </c>
      <c r="L41">
        <v>180</v>
      </c>
      <c r="M41">
        <v>3859.2</v>
      </c>
      <c r="O41">
        <v>36</v>
      </c>
      <c r="P41">
        <v>-54.2</v>
      </c>
      <c r="S41">
        <v>197.4</v>
      </c>
      <c r="T41">
        <v>-53.7</v>
      </c>
      <c r="V41">
        <v>197.4</v>
      </c>
      <c r="W41">
        <v>3862.7179999999998</v>
      </c>
      <c r="X41">
        <v>3862.7179999999998</v>
      </c>
      <c r="Y41">
        <f t="shared" si="0"/>
        <v>-20.721000000000004</v>
      </c>
      <c r="Z41">
        <f t="shared" si="3"/>
        <v>197.4</v>
      </c>
      <c r="AA41">
        <f t="shared" si="4"/>
        <v>-20.721000000000004</v>
      </c>
      <c r="AB41">
        <f t="shared" si="1"/>
        <v>197.4</v>
      </c>
      <c r="AC41">
        <f t="shared" si="2"/>
        <v>-20.721000000000004</v>
      </c>
    </row>
    <row r="42" spans="1:29" x14ac:dyDescent="0.25">
      <c r="A42" t="s">
        <v>42</v>
      </c>
      <c r="B42" t="s">
        <v>116</v>
      </c>
      <c r="C42">
        <v>182.6</v>
      </c>
      <c r="D42">
        <v>-54.2</v>
      </c>
      <c r="E42">
        <v>64.3</v>
      </c>
      <c r="F42">
        <v>3859.3879999999999</v>
      </c>
      <c r="G42" s="2">
        <f t="shared" si="5"/>
        <v>-23.59900000000016</v>
      </c>
      <c r="H42" s="8">
        <f t="shared" si="6"/>
        <v>182.6</v>
      </c>
      <c r="I42" s="9">
        <f t="shared" si="7"/>
        <v>-54.2</v>
      </c>
      <c r="J42">
        <v>29.8</v>
      </c>
      <c r="K42">
        <v>-19.48</v>
      </c>
      <c r="L42">
        <v>185</v>
      </c>
      <c r="M42">
        <v>3859.3879999999999</v>
      </c>
      <c r="O42">
        <v>37</v>
      </c>
      <c r="P42">
        <v>-54.2</v>
      </c>
      <c r="S42">
        <v>202.4</v>
      </c>
      <c r="T42">
        <v>-51.6</v>
      </c>
      <c r="V42">
        <v>202.4</v>
      </c>
      <c r="W42">
        <v>3864.3310000000001</v>
      </c>
      <c r="X42">
        <v>3864.3310000000001</v>
      </c>
      <c r="Y42">
        <f t="shared" si="0"/>
        <v>-19.10799999999972</v>
      </c>
      <c r="Z42">
        <f t="shared" si="3"/>
        <v>202.4</v>
      </c>
      <c r="AA42">
        <f t="shared" si="4"/>
        <v>-19.10799999999972</v>
      </c>
      <c r="AB42">
        <f t="shared" si="1"/>
        <v>202.4</v>
      </c>
      <c r="AC42">
        <f t="shared" si="2"/>
        <v>-19.10799999999972</v>
      </c>
    </row>
    <row r="43" spans="1:29" x14ac:dyDescent="0.25">
      <c r="A43" t="s">
        <v>43</v>
      </c>
      <c r="B43" t="s">
        <v>117</v>
      </c>
      <c r="C43">
        <v>187.6</v>
      </c>
      <c r="D43">
        <v>-54.2</v>
      </c>
      <c r="E43">
        <v>69.2</v>
      </c>
      <c r="F43">
        <v>3860.0050000000001</v>
      </c>
      <c r="G43" s="2">
        <f t="shared" si="5"/>
        <v>-22.981999999999971</v>
      </c>
      <c r="H43" s="8">
        <f t="shared" si="6"/>
        <v>187.6</v>
      </c>
      <c r="I43" s="9">
        <f t="shared" si="7"/>
        <v>-54.2</v>
      </c>
      <c r="J43">
        <v>32.25</v>
      </c>
      <c r="K43">
        <v>-19.93</v>
      </c>
      <c r="L43">
        <v>190</v>
      </c>
      <c r="M43">
        <v>3860.0050000000001</v>
      </c>
      <c r="O43">
        <v>38</v>
      </c>
      <c r="P43">
        <v>-54.2</v>
      </c>
      <c r="S43">
        <v>207.4</v>
      </c>
      <c r="T43">
        <v>-49.4</v>
      </c>
      <c r="V43">
        <v>207.4</v>
      </c>
      <c r="W43">
        <v>3865.37</v>
      </c>
      <c r="X43">
        <v>3865.37</v>
      </c>
      <c r="Y43">
        <f t="shared" si="0"/>
        <v>-18.06899999999996</v>
      </c>
      <c r="Z43">
        <f t="shared" si="3"/>
        <v>207.4</v>
      </c>
      <c r="AA43">
        <f t="shared" si="4"/>
        <v>-18.06899999999996</v>
      </c>
      <c r="AB43">
        <f t="shared" si="1"/>
        <v>207.4</v>
      </c>
      <c r="AC43">
        <f t="shared" si="2"/>
        <v>-18.06899999999996</v>
      </c>
    </row>
    <row r="44" spans="1:29" x14ac:dyDescent="0.25">
      <c r="A44" t="s">
        <v>44</v>
      </c>
      <c r="B44" t="s">
        <v>118</v>
      </c>
      <c r="C44">
        <v>192.4</v>
      </c>
      <c r="D44">
        <v>-53.9</v>
      </c>
      <c r="E44">
        <v>74.2</v>
      </c>
      <c r="F44">
        <v>3860.3710000000001</v>
      </c>
      <c r="G44" s="2">
        <f t="shared" si="5"/>
        <v>-22.615999999999985</v>
      </c>
      <c r="H44" s="8">
        <f t="shared" si="6"/>
        <v>192.4</v>
      </c>
      <c r="I44" s="9">
        <f t="shared" si="7"/>
        <v>-53.9</v>
      </c>
      <c r="J44">
        <v>34.700000000000003</v>
      </c>
      <c r="K44">
        <v>-20.38</v>
      </c>
      <c r="L44">
        <v>195</v>
      </c>
      <c r="M44">
        <v>3860.3710000000001</v>
      </c>
      <c r="O44">
        <v>39</v>
      </c>
      <c r="P44">
        <v>-54.2</v>
      </c>
      <c r="S44">
        <v>212.2</v>
      </c>
      <c r="T44">
        <v>-47.3</v>
      </c>
      <c r="V44">
        <v>212.2</v>
      </c>
      <c r="W44">
        <v>3867.0650000000001</v>
      </c>
      <c r="X44">
        <v>3867.0650000000001</v>
      </c>
      <c r="Y44">
        <f t="shared" si="0"/>
        <v>-16.373999999999796</v>
      </c>
      <c r="Z44">
        <f t="shared" si="3"/>
        <v>212.2</v>
      </c>
      <c r="AA44">
        <f t="shared" si="4"/>
        <v>-16.373999999999796</v>
      </c>
      <c r="AB44">
        <f t="shared" si="1"/>
        <v>212.2</v>
      </c>
      <c r="AC44">
        <f t="shared" si="2"/>
        <v>-16.373999999999796</v>
      </c>
    </row>
    <row r="45" spans="1:29" x14ac:dyDescent="0.25">
      <c r="A45" t="s">
        <v>45</v>
      </c>
      <c r="B45" t="s">
        <v>119</v>
      </c>
      <c r="C45">
        <v>197.4</v>
      </c>
      <c r="D45">
        <v>-53.7</v>
      </c>
      <c r="E45">
        <v>78.599999999999994</v>
      </c>
      <c r="F45">
        <v>3862.7179999999998</v>
      </c>
      <c r="G45" s="2">
        <f t="shared" si="5"/>
        <v>-20.269000000000233</v>
      </c>
      <c r="H45" s="8">
        <f t="shared" si="6"/>
        <v>197.4</v>
      </c>
      <c r="I45" s="9">
        <f t="shared" si="7"/>
        <v>-53.7</v>
      </c>
      <c r="J45">
        <v>37.200000000000003</v>
      </c>
      <c r="K45">
        <v>-20.38</v>
      </c>
      <c r="L45">
        <v>200</v>
      </c>
      <c r="M45">
        <v>3862.7179999999998</v>
      </c>
      <c r="O45">
        <v>40</v>
      </c>
      <c r="P45">
        <v>-53.9</v>
      </c>
      <c r="S45">
        <v>217</v>
      </c>
      <c r="T45">
        <v>-45.2</v>
      </c>
      <c r="V45">
        <v>217</v>
      </c>
      <c r="W45">
        <v>3868.7710000000002</v>
      </c>
      <c r="X45">
        <v>3868.7710000000002</v>
      </c>
      <c r="Y45">
        <f t="shared" si="0"/>
        <v>-14.667999999999665</v>
      </c>
      <c r="Z45">
        <f t="shared" si="3"/>
        <v>217</v>
      </c>
      <c r="AA45">
        <f t="shared" si="4"/>
        <v>-14.667999999999665</v>
      </c>
      <c r="AB45">
        <f t="shared" si="1"/>
        <v>217</v>
      </c>
      <c r="AC45">
        <f t="shared" si="2"/>
        <v>-14.667999999999665</v>
      </c>
    </row>
    <row r="46" spans="1:29" x14ac:dyDescent="0.25">
      <c r="A46" t="s">
        <v>46</v>
      </c>
      <c r="B46" t="s">
        <v>120</v>
      </c>
      <c r="C46">
        <v>202.4</v>
      </c>
      <c r="D46">
        <v>-51.6</v>
      </c>
      <c r="E46">
        <v>83.4</v>
      </c>
      <c r="F46">
        <v>3864.3310000000001</v>
      </c>
      <c r="G46" s="2">
        <f t="shared" si="5"/>
        <v>-18.655999999999949</v>
      </c>
      <c r="H46" s="8">
        <f t="shared" si="6"/>
        <v>202.4</v>
      </c>
      <c r="I46" s="9">
        <f t="shared" si="7"/>
        <v>-51.6</v>
      </c>
      <c r="J46">
        <v>39.700000000000003</v>
      </c>
      <c r="K46">
        <v>-20.38</v>
      </c>
      <c r="L46">
        <v>205</v>
      </c>
      <c r="M46">
        <v>3864.3310000000001</v>
      </c>
      <c r="O46">
        <v>41</v>
      </c>
      <c r="P46">
        <v>-53.7</v>
      </c>
      <c r="S46">
        <v>221.7</v>
      </c>
      <c r="T46">
        <v>-43.1</v>
      </c>
      <c r="V46">
        <v>221.7</v>
      </c>
      <c r="W46">
        <v>3870.4470000000001</v>
      </c>
      <c r="X46">
        <v>3870.4470000000001</v>
      </c>
      <c r="Y46">
        <f t="shared" si="0"/>
        <v>-12.991999999999734</v>
      </c>
      <c r="Z46">
        <f t="shared" si="3"/>
        <v>221.7</v>
      </c>
      <c r="AA46">
        <f t="shared" si="4"/>
        <v>-12.991999999999734</v>
      </c>
      <c r="AB46">
        <f t="shared" si="1"/>
        <v>221.7</v>
      </c>
      <c r="AC46">
        <f t="shared" si="2"/>
        <v>-12.991999999999734</v>
      </c>
    </row>
    <row r="47" spans="1:29" x14ac:dyDescent="0.25">
      <c r="A47" t="s">
        <v>47</v>
      </c>
      <c r="B47" t="s">
        <v>121</v>
      </c>
      <c r="C47">
        <v>207.4</v>
      </c>
      <c r="D47">
        <v>-49.4</v>
      </c>
      <c r="E47">
        <v>88.3</v>
      </c>
      <c r="F47">
        <v>3865.37</v>
      </c>
      <c r="G47" s="2">
        <f t="shared" si="5"/>
        <v>-17.617000000000189</v>
      </c>
      <c r="H47" s="8">
        <f t="shared" si="6"/>
        <v>207.4</v>
      </c>
      <c r="I47" s="9">
        <f t="shared" si="7"/>
        <v>-49.4</v>
      </c>
      <c r="J47">
        <v>42.1</v>
      </c>
      <c r="K47">
        <v>-21.07</v>
      </c>
      <c r="L47">
        <v>210</v>
      </c>
      <c r="M47">
        <v>3865.37</v>
      </c>
      <c r="O47">
        <v>42</v>
      </c>
      <c r="P47">
        <v>-51.6</v>
      </c>
      <c r="S47">
        <v>226.3</v>
      </c>
      <c r="T47">
        <v>-41</v>
      </c>
      <c r="V47">
        <v>226.3</v>
      </c>
      <c r="W47">
        <v>3872.05</v>
      </c>
      <c r="X47">
        <v>3872.05</v>
      </c>
      <c r="Y47">
        <f t="shared" si="0"/>
        <v>-11.388999999999669</v>
      </c>
      <c r="Z47">
        <f t="shared" si="3"/>
        <v>226.3</v>
      </c>
      <c r="AA47">
        <f t="shared" si="4"/>
        <v>-11.388999999999669</v>
      </c>
      <c r="AB47">
        <f t="shared" si="1"/>
        <v>226.3</v>
      </c>
      <c r="AC47">
        <f t="shared" si="2"/>
        <v>-11.388999999999669</v>
      </c>
    </row>
    <row r="48" spans="1:29" x14ac:dyDescent="0.25">
      <c r="A48" t="s">
        <v>48</v>
      </c>
      <c r="B48" t="s">
        <v>122</v>
      </c>
      <c r="C48">
        <v>212.2</v>
      </c>
      <c r="D48">
        <v>-47.3</v>
      </c>
      <c r="E48">
        <v>93</v>
      </c>
      <c r="F48">
        <v>3867.0650000000001</v>
      </c>
      <c r="G48" s="2">
        <f t="shared" si="5"/>
        <v>-15.922000000000025</v>
      </c>
      <c r="H48" s="8">
        <f t="shared" si="6"/>
        <v>212.2</v>
      </c>
      <c r="I48" s="9">
        <f t="shared" si="7"/>
        <v>-47.3</v>
      </c>
      <c r="J48">
        <v>44.5</v>
      </c>
      <c r="K48">
        <v>-21.76</v>
      </c>
      <c r="L48">
        <v>215</v>
      </c>
      <c r="M48">
        <v>3867.0650000000001</v>
      </c>
      <c r="O48">
        <v>43</v>
      </c>
      <c r="P48">
        <v>-49.4</v>
      </c>
      <c r="S48">
        <v>231</v>
      </c>
      <c r="T48">
        <v>-38.9</v>
      </c>
      <c r="V48">
        <v>231</v>
      </c>
      <c r="W48">
        <v>3873.1819999999998</v>
      </c>
      <c r="X48">
        <v>3873.1819999999998</v>
      </c>
      <c r="Y48">
        <f t="shared" si="0"/>
        <v>-10.257000000000062</v>
      </c>
      <c r="Z48">
        <f t="shared" si="3"/>
        <v>231</v>
      </c>
      <c r="AA48">
        <f t="shared" si="4"/>
        <v>-10.257000000000062</v>
      </c>
      <c r="AB48">
        <f t="shared" si="1"/>
        <v>231</v>
      </c>
      <c r="AC48">
        <f t="shared" si="2"/>
        <v>-10.257000000000062</v>
      </c>
    </row>
    <row r="49" spans="1:29" x14ac:dyDescent="0.25">
      <c r="A49" t="s">
        <v>49</v>
      </c>
      <c r="B49" t="s">
        <v>123</v>
      </c>
      <c r="C49">
        <v>217</v>
      </c>
      <c r="D49">
        <v>-45.2</v>
      </c>
      <c r="E49">
        <v>97.7</v>
      </c>
      <c r="F49">
        <v>3868.7710000000002</v>
      </c>
      <c r="G49" s="2">
        <f t="shared" si="5"/>
        <v>-14.215999999999894</v>
      </c>
      <c r="H49" s="8">
        <f t="shared" si="6"/>
        <v>217</v>
      </c>
      <c r="I49" s="9">
        <f t="shared" si="7"/>
        <v>-45.2</v>
      </c>
      <c r="J49">
        <v>46.9</v>
      </c>
      <c r="K49">
        <v>-22.48</v>
      </c>
      <c r="L49">
        <v>220</v>
      </c>
      <c r="M49">
        <v>3868.7710000000002</v>
      </c>
      <c r="O49">
        <v>44</v>
      </c>
      <c r="P49">
        <v>-47.3</v>
      </c>
      <c r="S49">
        <v>235.6</v>
      </c>
      <c r="T49">
        <v>-36.799999999999997</v>
      </c>
      <c r="V49">
        <v>235.6</v>
      </c>
      <c r="W49">
        <v>3875.5569999999998</v>
      </c>
      <c r="X49">
        <v>3874.78</v>
      </c>
      <c r="Y49">
        <f t="shared" si="0"/>
        <v>-7.8820000000000618</v>
      </c>
      <c r="Z49">
        <f t="shared" si="3"/>
        <v>235.6</v>
      </c>
      <c r="AA49">
        <f t="shared" si="4"/>
        <v>-7.8820000000000618</v>
      </c>
      <c r="AB49">
        <f t="shared" si="1"/>
        <v>235.6</v>
      </c>
      <c r="AC49">
        <f t="shared" si="2"/>
        <v>-7.8820000000000618</v>
      </c>
    </row>
    <row r="50" spans="1:29" x14ac:dyDescent="0.25">
      <c r="A50" t="s">
        <v>50</v>
      </c>
      <c r="B50" t="s">
        <v>124</v>
      </c>
      <c r="C50">
        <v>221.7</v>
      </c>
      <c r="D50">
        <v>-43.1</v>
      </c>
      <c r="E50">
        <v>102.4</v>
      </c>
      <c r="F50">
        <v>3870.4470000000001</v>
      </c>
      <c r="G50" s="2">
        <f t="shared" si="5"/>
        <v>-12.539999999999964</v>
      </c>
      <c r="H50" s="8">
        <f t="shared" si="6"/>
        <v>221.7</v>
      </c>
      <c r="I50" s="9">
        <f t="shared" si="7"/>
        <v>-43.1</v>
      </c>
      <c r="J50">
        <v>49.3</v>
      </c>
      <c r="K50">
        <v>-23.2</v>
      </c>
      <c r="L50">
        <v>225</v>
      </c>
      <c r="M50">
        <v>3870.4470000000001</v>
      </c>
      <c r="O50">
        <v>45</v>
      </c>
      <c r="P50">
        <v>-45.2</v>
      </c>
      <c r="S50">
        <v>240.1</v>
      </c>
      <c r="T50">
        <v>-35.200000000000003</v>
      </c>
      <c r="V50">
        <v>240.1</v>
      </c>
      <c r="W50">
        <v>3878.5929999999998</v>
      </c>
      <c r="X50">
        <v>3873.1819999999998</v>
      </c>
      <c r="Y50">
        <f t="shared" si="0"/>
        <v>-4.8460000000000036</v>
      </c>
      <c r="Z50">
        <f t="shared" si="3"/>
        <v>240.1</v>
      </c>
      <c r="AA50">
        <f t="shared" si="4"/>
        <v>-4.8460000000000036</v>
      </c>
      <c r="AB50">
        <f t="shared" si="1"/>
        <v>240.1</v>
      </c>
      <c r="AC50">
        <f t="shared" si="2"/>
        <v>-4.8460000000000036</v>
      </c>
    </row>
    <row r="51" spans="1:29" x14ac:dyDescent="0.25">
      <c r="A51" t="s">
        <v>51</v>
      </c>
      <c r="B51" t="s">
        <v>125</v>
      </c>
      <c r="C51">
        <v>226.3</v>
      </c>
      <c r="D51">
        <v>-41</v>
      </c>
      <c r="E51">
        <v>107.1</v>
      </c>
      <c r="F51">
        <v>3872.05</v>
      </c>
      <c r="G51" s="2">
        <f t="shared" si="5"/>
        <v>-10.936999999999898</v>
      </c>
      <c r="H51" s="8">
        <f t="shared" si="6"/>
        <v>226.3</v>
      </c>
      <c r="I51" s="9">
        <f t="shared" si="7"/>
        <v>-41</v>
      </c>
      <c r="J51">
        <v>51.8</v>
      </c>
      <c r="K51">
        <v>-23.43</v>
      </c>
      <c r="L51">
        <v>230</v>
      </c>
      <c r="M51">
        <v>3872.05</v>
      </c>
      <c r="O51">
        <v>46</v>
      </c>
      <c r="P51">
        <v>-43.1</v>
      </c>
      <c r="S51">
        <v>244.7</v>
      </c>
      <c r="T51">
        <v>-33.299999999999997</v>
      </c>
      <c r="V51">
        <v>244.7</v>
      </c>
      <c r="W51">
        <v>3877.5619999999999</v>
      </c>
      <c r="X51">
        <v>3876.558</v>
      </c>
      <c r="Y51">
        <f t="shared" si="0"/>
        <v>-5.8769999999999527</v>
      </c>
      <c r="Z51">
        <f t="shared" si="3"/>
        <v>244.7</v>
      </c>
      <c r="AA51">
        <f t="shared" si="4"/>
        <v>-5.8769999999999527</v>
      </c>
      <c r="AB51">
        <f t="shared" si="1"/>
        <v>244.7</v>
      </c>
      <c r="AC51">
        <f t="shared" si="2"/>
        <v>-5.8769999999999527</v>
      </c>
    </row>
    <row r="52" spans="1:29" x14ac:dyDescent="0.25">
      <c r="A52" t="s">
        <v>52</v>
      </c>
      <c r="B52" t="s">
        <v>126</v>
      </c>
      <c r="C52">
        <v>231</v>
      </c>
      <c r="D52">
        <v>-38.9</v>
      </c>
      <c r="E52">
        <v>112</v>
      </c>
      <c r="F52">
        <v>3873.1819999999998</v>
      </c>
      <c r="G52" s="2">
        <f t="shared" si="5"/>
        <v>-9.805000000000291</v>
      </c>
      <c r="H52" s="8">
        <f t="shared" si="6"/>
        <v>231</v>
      </c>
      <c r="I52" s="9">
        <f t="shared" si="7"/>
        <v>-38.9</v>
      </c>
      <c r="J52">
        <v>54.3</v>
      </c>
      <c r="K52">
        <v>-23.66</v>
      </c>
      <c r="L52">
        <v>235</v>
      </c>
      <c r="M52">
        <v>3873.1819999999998</v>
      </c>
      <c r="O52">
        <v>47</v>
      </c>
      <c r="P52">
        <v>-41</v>
      </c>
      <c r="S52">
        <v>249.2</v>
      </c>
      <c r="T52">
        <v>-31.6</v>
      </c>
      <c r="V52">
        <v>249.2</v>
      </c>
      <c r="W52">
        <v>3877.29</v>
      </c>
      <c r="X52">
        <v>3878.5929999999998</v>
      </c>
      <c r="Y52">
        <f t="shared" si="0"/>
        <v>-6.1489999999998872</v>
      </c>
      <c r="Z52">
        <f t="shared" si="3"/>
        <v>249.2</v>
      </c>
      <c r="AA52">
        <f t="shared" si="4"/>
        <v>-6.1489999999998872</v>
      </c>
      <c r="AB52">
        <f t="shared" si="1"/>
        <v>249.2</v>
      </c>
      <c r="AC52">
        <f t="shared" si="2"/>
        <v>-6.1489999999998872</v>
      </c>
    </row>
    <row r="53" spans="1:29" x14ac:dyDescent="0.25">
      <c r="A53" t="s">
        <v>53</v>
      </c>
      <c r="B53" t="s">
        <v>127</v>
      </c>
      <c r="C53">
        <v>235.6</v>
      </c>
      <c r="D53">
        <v>-36.799999999999997</v>
      </c>
      <c r="E53">
        <v>118.3</v>
      </c>
      <c r="F53">
        <v>3874.78</v>
      </c>
      <c r="G53" s="2">
        <f t="shared" si="5"/>
        <v>-8.2069999999998799</v>
      </c>
      <c r="H53" s="8">
        <f t="shared" si="6"/>
        <v>235.6</v>
      </c>
      <c r="I53" s="9">
        <f t="shared" si="7"/>
        <v>-36.799999999999997</v>
      </c>
      <c r="J53">
        <v>56.8</v>
      </c>
      <c r="K53">
        <v>-23.73</v>
      </c>
      <c r="L53">
        <v>245</v>
      </c>
      <c r="M53">
        <v>3875.5569999999998</v>
      </c>
      <c r="O53">
        <v>48</v>
      </c>
      <c r="P53">
        <v>-38.9</v>
      </c>
      <c r="S53">
        <v>253.7</v>
      </c>
      <c r="T53">
        <v>-30.1</v>
      </c>
      <c r="V53">
        <v>253.7</v>
      </c>
      <c r="W53">
        <v>3876.9639999999999</v>
      </c>
      <c r="X53">
        <v>3877.5619999999999</v>
      </c>
      <c r="Y53">
        <f t="shared" si="0"/>
        <v>-6.4749999999999091</v>
      </c>
      <c r="Z53">
        <f t="shared" si="3"/>
        <v>253.7</v>
      </c>
      <c r="AA53">
        <f t="shared" si="4"/>
        <v>-6.4749999999999091</v>
      </c>
      <c r="AB53">
        <f t="shared" si="1"/>
        <v>253.7</v>
      </c>
      <c r="AC53">
        <f t="shared" si="2"/>
        <v>-6.4749999999999091</v>
      </c>
    </row>
    <row r="54" spans="1:29" x14ac:dyDescent="0.25">
      <c r="A54" t="s">
        <v>54</v>
      </c>
      <c r="B54" t="s">
        <v>128</v>
      </c>
      <c r="C54">
        <v>240.1</v>
      </c>
      <c r="D54">
        <v>-35.200000000000003</v>
      </c>
      <c r="E54">
        <v>123.3</v>
      </c>
      <c r="F54">
        <v>3873.1819999999998</v>
      </c>
      <c r="G54" s="2">
        <f t="shared" si="5"/>
        <v>-9.805000000000291</v>
      </c>
      <c r="H54" s="8">
        <f t="shared" si="6"/>
        <v>240.1</v>
      </c>
      <c r="I54" s="9">
        <f t="shared" si="7"/>
        <v>-35.200000000000003</v>
      </c>
      <c r="J54">
        <v>59.3</v>
      </c>
      <c r="K54">
        <v>-23.79</v>
      </c>
      <c r="L54">
        <v>265</v>
      </c>
      <c r="M54">
        <v>3878.5929999999998</v>
      </c>
      <c r="O54">
        <v>49</v>
      </c>
      <c r="P54">
        <v>-36.799999999999997</v>
      </c>
      <c r="S54">
        <v>258.3</v>
      </c>
      <c r="T54">
        <v>-28.8</v>
      </c>
      <c r="V54">
        <v>258.3</v>
      </c>
      <c r="W54">
        <v>3879.2370000000001</v>
      </c>
      <c r="X54">
        <v>3877.29</v>
      </c>
      <c r="Y54">
        <f t="shared" si="0"/>
        <v>-4.2019999999997708</v>
      </c>
      <c r="Z54">
        <f t="shared" si="3"/>
        <v>258.3</v>
      </c>
      <c r="AA54">
        <f t="shared" si="4"/>
        <v>-4.2019999999997708</v>
      </c>
      <c r="AB54">
        <f t="shared" si="1"/>
        <v>258.3</v>
      </c>
      <c r="AC54">
        <f t="shared" si="2"/>
        <v>-4.2019999999997708</v>
      </c>
    </row>
    <row r="55" spans="1:29" x14ac:dyDescent="0.25">
      <c r="A55" t="s">
        <v>55</v>
      </c>
      <c r="B55" t="s">
        <v>129</v>
      </c>
      <c r="C55">
        <v>244.7</v>
      </c>
      <c r="D55">
        <v>-33.299999999999997</v>
      </c>
      <c r="E55">
        <v>128.19999999999999</v>
      </c>
      <c r="F55">
        <v>3876.558</v>
      </c>
      <c r="G55" s="2">
        <f t="shared" si="5"/>
        <v>-6.4290000000000873</v>
      </c>
      <c r="H55" s="8">
        <f t="shared" si="6"/>
        <v>244.7</v>
      </c>
      <c r="I55" s="9">
        <f t="shared" si="7"/>
        <v>-33.299999999999997</v>
      </c>
      <c r="J55">
        <v>61.8</v>
      </c>
      <c r="K55">
        <v>-23.7</v>
      </c>
      <c r="L55">
        <v>270</v>
      </c>
      <c r="M55">
        <v>3877.5619999999999</v>
      </c>
      <c r="O55">
        <v>50</v>
      </c>
      <c r="P55">
        <v>-35.200000000000003</v>
      </c>
      <c r="S55">
        <v>262.8</v>
      </c>
      <c r="T55">
        <v>-28.4</v>
      </c>
      <c r="V55">
        <v>262.8</v>
      </c>
      <c r="W55">
        <v>3880.982</v>
      </c>
      <c r="X55">
        <v>3876.9639999999999</v>
      </c>
      <c r="Y55">
        <f t="shared" si="0"/>
        <v>-2.4569999999998799</v>
      </c>
      <c r="Z55">
        <f t="shared" si="3"/>
        <v>262.8</v>
      </c>
      <c r="AA55">
        <f t="shared" si="4"/>
        <v>-2.4569999999998799</v>
      </c>
      <c r="AB55">
        <f t="shared" si="1"/>
        <v>262.8</v>
      </c>
      <c r="AC55">
        <f t="shared" si="2"/>
        <v>-2.4569999999998799</v>
      </c>
    </row>
    <row r="56" spans="1:29" x14ac:dyDescent="0.25">
      <c r="A56" t="s">
        <v>56</v>
      </c>
      <c r="B56" t="s">
        <v>130</v>
      </c>
      <c r="C56">
        <v>249.2</v>
      </c>
      <c r="D56">
        <v>-31.6</v>
      </c>
      <c r="E56">
        <v>132.69999999999999</v>
      </c>
      <c r="F56">
        <v>3878.5929999999998</v>
      </c>
      <c r="G56" s="2">
        <f t="shared" si="5"/>
        <v>-4.3940000000002328</v>
      </c>
      <c r="H56" s="8">
        <f t="shared" si="6"/>
        <v>249.2</v>
      </c>
      <c r="I56" s="9">
        <f t="shared" si="7"/>
        <v>-31.6</v>
      </c>
      <c r="J56">
        <v>64.3</v>
      </c>
      <c r="K56">
        <v>-23.6</v>
      </c>
      <c r="L56">
        <v>275</v>
      </c>
      <c r="M56">
        <v>3877.29</v>
      </c>
      <c r="O56">
        <v>51</v>
      </c>
      <c r="P56">
        <v>-33.299999999999997</v>
      </c>
      <c r="S56">
        <v>267.3</v>
      </c>
      <c r="T56">
        <v>-27.8</v>
      </c>
      <c r="V56">
        <v>267.3</v>
      </c>
      <c r="W56">
        <v>3880.4740000000002</v>
      </c>
      <c r="X56">
        <v>3879.2370000000001</v>
      </c>
      <c r="Y56">
        <f t="shared" si="0"/>
        <v>-2.9649999999996908</v>
      </c>
      <c r="Z56">
        <f t="shared" si="3"/>
        <v>267.3</v>
      </c>
      <c r="AA56">
        <f t="shared" si="4"/>
        <v>-2.9649999999996908</v>
      </c>
      <c r="AB56">
        <f t="shared" si="1"/>
        <v>267.3</v>
      </c>
      <c r="AC56">
        <f t="shared" si="2"/>
        <v>-2.9649999999996908</v>
      </c>
    </row>
    <row r="57" spans="1:29" x14ac:dyDescent="0.25">
      <c r="A57" t="s">
        <v>57</v>
      </c>
      <c r="B57" t="s">
        <v>131</v>
      </c>
      <c r="C57">
        <v>253.7</v>
      </c>
      <c r="D57">
        <v>-30.1</v>
      </c>
      <c r="E57">
        <v>137.6</v>
      </c>
      <c r="F57">
        <v>3877.5619999999999</v>
      </c>
      <c r="G57" s="2">
        <f t="shared" si="5"/>
        <v>-5.4250000000001819</v>
      </c>
      <c r="H57" s="8">
        <f t="shared" si="6"/>
        <v>253.7</v>
      </c>
      <c r="I57" s="9">
        <f t="shared" si="7"/>
        <v>-30.1</v>
      </c>
      <c r="J57">
        <v>66.75</v>
      </c>
      <c r="K57">
        <v>-23.29</v>
      </c>
      <c r="L57">
        <v>280</v>
      </c>
      <c r="M57">
        <v>3876.9639999999999</v>
      </c>
      <c r="O57">
        <v>52</v>
      </c>
      <c r="P57">
        <v>-31.6</v>
      </c>
      <c r="S57">
        <v>272.3</v>
      </c>
      <c r="T57">
        <v>-27.6</v>
      </c>
      <c r="V57">
        <v>272.3</v>
      </c>
      <c r="W57">
        <v>3881.5990000000002</v>
      </c>
      <c r="X57">
        <v>3880.982</v>
      </c>
      <c r="Y57">
        <f t="shared" si="0"/>
        <v>-1.8399999999996908</v>
      </c>
      <c r="Z57">
        <f t="shared" si="3"/>
        <v>272.3</v>
      </c>
      <c r="AA57">
        <f t="shared" si="4"/>
        <v>-1.8399999999996908</v>
      </c>
      <c r="AB57">
        <f t="shared" si="1"/>
        <v>272.3</v>
      </c>
      <c r="AC57">
        <f t="shared" si="2"/>
        <v>-1.8399999999996908</v>
      </c>
    </row>
    <row r="58" spans="1:29" x14ac:dyDescent="0.25">
      <c r="A58" t="s">
        <v>58</v>
      </c>
      <c r="B58" t="s">
        <v>132</v>
      </c>
      <c r="C58">
        <v>258.3</v>
      </c>
      <c r="D58">
        <v>-28.8</v>
      </c>
      <c r="E58">
        <v>142.6</v>
      </c>
      <c r="F58">
        <v>3877.29</v>
      </c>
      <c r="G58" s="2">
        <f t="shared" si="5"/>
        <v>-5.6970000000001164</v>
      </c>
      <c r="H58" s="8">
        <f t="shared" si="6"/>
        <v>258.3</v>
      </c>
      <c r="I58" s="9">
        <f t="shared" si="7"/>
        <v>-28.8</v>
      </c>
      <c r="J58">
        <v>69.2</v>
      </c>
      <c r="K58">
        <v>-22.98</v>
      </c>
      <c r="L58">
        <v>285</v>
      </c>
      <c r="M58">
        <v>3879.2370000000001</v>
      </c>
      <c r="O58">
        <v>53</v>
      </c>
      <c r="P58">
        <v>-30.1</v>
      </c>
      <c r="S58">
        <v>277.3</v>
      </c>
      <c r="T58">
        <v>-26.2</v>
      </c>
      <c r="V58">
        <v>277.3</v>
      </c>
      <c r="W58">
        <v>3881.22</v>
      </c>
      <c r="X58">
        <v>3880.4740000000002</v>
      </c>
      <c r="Y58">
        <f t="shared" si="0"/>
        <v>-2.2190000000000509</v>
      </c>
      <c r="Z58">
        <f t="shared" si="3"/>
        <v>277.3</v>
      </c>
      <c r="AA58">
        <f t="shared" si="4"/>
        <v>-2.2190000000000509</v>
      </c>
      <c r="AB58">
        <f t="shared" si="1"/>
        <v>277.3</v>
      </c>
      <c r="AC58">
        <f t="shared" si="2"/>
        <v>-2.2190000000000509</v>
      </c>
    </row>
    <row r="59" spans="1:29" x14ac:dyDescent="0.25">
      <c r="A59" t="s">
        <v>59</v>
      </c>
      <c r="B59" t="s">
        <v>133</v>
      </c>
      <c r="C59">
        <v>262.8</v>
      </c>
      <c r="D59">
        <v>-28.4</v>
      </c>
      <c r="E59">
        <v>147.6</v>
      </c>
      <c r="F59">
        <v>3876.9639999999999</v>
      </c>
      <c r="G59" s="2">
        <f t="shared" si="5"/>
        <v>-6.0230000000001382</v>
      </c>
      <c r="H59" s="8">
        <f t="shared" si="6"/>
        <v>262.8</v>
      </c>
      <c r="I59" s="9">
        <f t="shared" si="7"/>
        <v>-28.4</v>
      </c>
      <c r="J59">
        <v>71.7</v>
      </c>
      <c r="K59">
        <v>-22.8</v>
      </c>
      <c r="L59">
        <v>290</v>
      </c>
      <c r="M59">
        <v>3880.982</v>
      </c>
      <c r="O59">
        <v>54</v>
      </c>
      <c r="P59">
        <v>-28.8</v>
      </c>
      <c r="S59">
        <v>282.3</v>
      </c>
      <c r="T59">
        <v>-25.9</v>
      </c>
      <c r="V59">
        <v>282.3</v>
      </c>
      <c r="W59">
        <v>3881.933</v>
      </c>
      <c r="X59">
        <v>3881.5990000000002</v>
      </c>
      <c r="Y59">
        <f t="shared" si="0"/>
        <v>-1.5059999999998581</v>
      </c>
      <c r="Z59">
        <f t="shared" si="3"/>
        <v>282.3</v>
      </c>
      <c r="AA59">
        <f t="shared" si="4"/>
        <v>-1.5059999999998581</v>
      </c>
      <c r="AB59">
        <f t="shared" si="1"/>
        <v>282.3</v>
      </c>
      <c r="AC59">
        <f t="shared" si="2"/>
        <v>-1.5059999999998581</v>
      </c>
    </row>
    <row r="60" spans="1:29" x14ac:dyDescent="0.25">
      <c r="A60" t="s">
        <v>60</v>
      </c>
      <c r="B60" t="s">
        <v>134</v>
      </c>
      <c r="C60">
        <v>267.3</v>
      </c>
      <c r="D60">
        <v>-27.8</v>
      </c>
      <c r="E60">
        <v>152.1</v>
      </c>
      <c r="F60">
        <v>3879.2370000000001</v>
      </c>
      <c r="G60" s="2">
        <f t="shared" si="5"/>
        <v>-3.75</v>
      </c>
      <c r="H60" s="8">
        <f t="shared" si="6"/>
        <v>267.3</v>
      </c>
      <c r="I60" s="9">
        <f t="shared" si="7"/>
        <v>-27.8</v>
      </c>
      <c r="J60">
        <v>74.2</v>
      </c>
      <c r="K60">
        <v>-22.62</v>
      </c>
      <c r="L60">
        <v>295</v>
      </c>
      <c r="M60">
        <v>3880.4740000000002</v>
      </c>
      <c r="O60">
        <v>55</v>
      </c>
      <c r="P60">
        <v>-28.4</v>
      </c>
      <c r="S60">
        <v>287.3</v>
      </c>
      <c r="T60">
        <v>-25.5</v>
      </c>
      <c r="V60">
        <v>287.3</v>
      </c>
      <c r="W60">
        <v>3882.4679999999998</v>
      </c>
      <c r="X60">
        <v>3881.22</v>
      </c>
      <c r="Y60">
        <f t="shared" si="0"/>
        <v>-0.97100000000000364</v>
      </c>
      <c r="Z60">
        <f t="shared" si="3"/>
        <v>287.3</v>
      </c>
      <c r="AA60">
        <f t="shared" si="4"/>
        <v>-0.97100000000000364</v>
      </c>
      <c r="AB60">
        <f t="shared" si="1"/>
        <v>287.3</v>
      </c>
      <c r="AC60">
        <f t="shared" si="2"/>
        <v>-0.97100000000000364</v>
      </c>
    </row>
    <row r="61" spans="1:29" x14ac:dyDescent="0.25">
      <c r="A61" t="s">
        <v>61</v>
      </c>
      <c r="B61" t="s">
        <v>135</v>
      </c>
      <c r="C61">
        <v>272.3</v>
      </c>
      <c r="D61">
        <v>-27.6</v>
      </c>
      <c r="E61">
        <v>156.69999999999999</v>
      </c>
      <c r="F61">
        <v>3880.982</v>
      </c>
      <c r="G61" s="2">
        <f t="shared" si="5"/>
        <v>-2.0050000000001091</v>
      </c>
      <c r="H61" s="8">
        <f t="shared" si="6"/>
        <v>272.3</v>
      </c>
      <c r="I61" s="9">
        <f t="shared" si="7"/>
        <v>-27.6</v>
      </c>
      <c r="J61">
        <v>76.400000000000006</v>
      </c>
      <c r="K61">
        <v>-21.45</v>
      </c>
      <c r="L61">
        <v>300</v>
      </c>
      <c r="M61">
        <v>3881.5990000000002</v>
      </c>
      <c r="O61">
        <v>56</v>
      </c>
      <c r="P61">
        <v>-27.8</v>
      </c>
      <c r="S61">
        <v>292.3</v>
      </c>
      <c r="T61">
        <v>-24.3</v>
      </c>
      <c r="V61">
        <v>292.3</v>
      </c>
      <c r="W61">
        <v>3881.7820000000002</v>
      </c>
      <c r="X61">
        <v>3881.933</v>
      </c>
      <c r="Y61">
        <f t="shared" si="0"/>
        <v>-1.656999999999698</v>
      </c>
      <c r="Z61">
        <f t="shared" si="3"/>
        <v>292.3</v>
      </c>
      <c r="AA61">
        <f t="shared" si="4"/>
        <v>-1.656999999999698</v>
      </c>
      <c r="AB61">
        <f t="shared" si="1"/>
        <v>292.3</v>
      </c>
      <c r="AC61">
        <f t="shared" si="2"/>
        <v>-1.656999999999698</v>
      </c>
    </row>
    <row r="62" spans="1:29" x14ac:dyDescent="0.25">
      <c r="A62" t="s">
        <v>62</v>
      </c>
      <c r="B62" t="s">
        <v>136</v>
      </c>
      <c r="C62">
        <v>277.3</v>
      </c>
      <c r="D62">
        <v>-26.2</v>
      </c>
      <c r="E62">
        <v>161.69999999999999</v>
      </c>
      <c r="F62">
        <v>3880.4740000000002</v>
      </c>
      <c r="G62" s="2">
        <f t="shared" si="5"/>
        <v>-2.51299999999992</v>
      </c>
      <c r="H62" s="8">
        <f t="shared" si="6"/>
        <v>277.3</v>
      </c>
      <c r="I62" s="9">
        <f t="shared" si="7"/>
        <v>-26.2</v>
      </c>
      <c r="J62">
        <v>78.599999999999994</v>
      </c>
      <c r="K62">
        <v>-20.27</v>
      </c>
      <c r="L62">
        <v>305</v>
      </c>
      <c r="M62">
        <v>3881.22</v>
      </c>
      <c r="O62">
        <v>57</v>
      </c>
      <c r="P62">
        <v>-27.6</v>
      </c>
      <c r="S62">
        <v>297.3</v>
      </c>
      <c r="T62">
        <v>-23.6</v>
      </c>
      <c r="V62">
        <v>297.3</v>
      </c>
      <c r="W62">
        <v>3882.0630000000001</v>
      </c>
      <c r="X62">
        <v>3882.4679999999998</v>
      </c>
      <c r="Y62">
        <f t="shared" si="0"/>
        <v>-1.375999999999749</v>
      </c>
      <c r="Z62">
        <f t="shared" si="3"/>
        <v>297.3</v>
      </c>
      <c r="AA62">
        <f t="shared" si="4"/>
        <v>-1.375999999999749</v>
      </c>
      <c r="AB62">
        <f t="shared" si="1"/>
        <v>297.3</v>
      </c>
      <c r="AC62">
        <f t="shared" si="2"/>
        <v>-1.375999999999749</v>
      </c>
    </row>
    <row r="63" spans="1:29" x14ac:dyDescent="0.25">
      <c r="A63" t="s">
        <v>63</v>
      </c>
      <c r="B63" t="s">
        <v>137</v>
      </c>
      <c r="C63">
        <v>282.3</v>
      </c>
      <c r="D63">
        <v>-25.9</v>
      </c>
      <c r="E63">
        <v>166.6</v>
      </c>
      <c r="F63">
        <v>3881.5990000000002</v>
      </c>
      <c r="G63" s="2">
        <f t="shared" si="5"/>
        <v>-1.38799999999992</v>
      </c>
      <c r="H63" s="8">
        <f t="shared" si="6"/>
        <v>282.3</v>
      </c>
      <c r="I63" s="9">
        <f t="shared" si="7"/>
        <v>-25.9</v>
      </c>
      <c r="J63">
        <v>81</v>
      </c>
      <c r="K63">
        <v>-19.47</v>
      </c>
      <c r="L63">
        <v>310</v>
      </c>
      <c r="M63">
        <v>3881.933</v>
      </c>
      <c r="O63">
        <v>58</v>
      </c>
      <c r="P63">
        <v>-26.2</v>
      </c>
      <c r="S63">
        <v>302.3</v>
      </c>
      <c r="T63">
        <v>-23.1</v>
      </c>
      <c r="V63">
        <v>302.3</v>
      </c>
      <c r="W63">
        <v>3882.7440000000001</v>
      </c>
      <c r="X63">
        <v>3881.7820000000002</v>
      </c>
      <c r="Y63">
        <f t="shared" si="0"/>
        <v>-0.69499999999970896</v>
      </c>
      <c r="Z63">
        <f t="shared" si="3"/>
        <v>302.3</v>
      </c>
      <c r="AA63">
        <f t="shared" si="4"/>
        <v>-0.69499999999970896</v>
      </c>
      <c r="AB63">
        <f t="shared" si="1"/>
        <v>302.3</v>
      </c>
      <c r="AC63">
        <f t="shared" si="2"/>
        <v>-0.69499999999970896</v>
      </c>
    </row>
    <row r="64" spans="1:29" x14ac:dyDescent="0.25">
      <c r="A64" t="s">
        <v>64</v>
      </c>
      <c r="B64" t="s">
        <v>138</v>
      </c>
      <c r="C64">
        <v>287.3</v>
      </c>
      <c r="D64">
        <v>-25.5</v>
      </c>
      <c r="E64">
        <v>171.6</v>
      </c>
      <c r="F64">
        <v>3881.22</v>
      </c>
      <c r="G64" s="2">
        <f t="shared" si="5"/>
        <v>-1.7670000000002801</v>
      </c>
      <c r="H64" s="8">
        <f t="shared" si="6"/>
        <v>287.3</v>
      </c>
      <c r="I64" s="9">
        <f t="shared" si="7"/>
        <v>-25.5</v>
      </c>
      <c r="J64">
        <v>83.4</v>
      </c>
      <c r="K64">
        <v>-18.66</v>
      </c>
      <c r="L64">
        <v>315</v>
      </c>
      <c r="M64">
        <v>3882.4679999999998</v>
      </c>
      <c r="O64">
        <v>59</v>
      </c>
      <c r="P64">
        <v>-25.9</v>
      </c>
      <c r="S64">
        <v>307.3</v>
      </c>
      <c r="T64">
        <v>-21.7</v>
      </c>
      <c r="V64">
        <v>307.3</v>
      </c>
      <c r="W64">
        <v>3882.933</v>
      </c>
      <c r="X64">
        <v>3882.0630000000001</v>
      </c>
      <c r="Y64">
        <f t="shared" si="0"/>
        <v>-0.50599999999985812</v>
      </c>
      <c r="Z64">
        <f t="shared" si="3"/>
        <v>307.3</v>
      </c>
      <c r="AA64">
        <f t="shared" si="4"/>
        <v>-0.50599999999985812</v>
      </c>
      <c r="AB64">
        <f t="shared" si="1"/>
        <v>307.3</v>
      </c>
      <c r="AC64">
        <f t="shared" si="2"/>
        <v>-0.50599999999985812</v>
      </c>
    </row>
    <row r="65" spans="1:29" x14ac:dyDescent="0.25">
      <c r="A65" t="s">
        <v>65</v>
      </c>
      <c r="B65" t="s">
        <v>139</v>
      </c>
      <c r="C65">
        <v>292.3</v>
      </c>
      <c r="D65">
        <v>-24.3</v>
      </c>
      <c r="E65">
        <v>176.5</v>
      </c>
      <c r="F65">
        <v>3881.933</v>
      </c>
      <c r="G65" s="2">
        <f t="shared" si="5"/>
        <v>-1.0540000000000873</v>
      </c>
      <c r="H65" s="8">
        <f t="shared" si="6"/>
        <v>292.3</v>
      </c>
      <c r="I65" s="9">
        <f t="shared" si="7"/>
        <v>-24.3</v>
      </c>
      <c r="J65">
        <v>85.85</v>
      </c>
      <c r="K65">
        <v>-18.14</v>
      </c>
      <c r="L65">
        <v>320</v>
      </c>
      <c r="M65">
        <v>3881.7820000000002</v>
      </c>
      <c r="O65">
        <v>60</v>
      </c>
      <c r="P65">
        <v>-25.5</v>
      </c>
      <c r="S65">
        <v>312.3</v>
      </c>
      <c r="T65">
        <v>-20.6</v>
      </c>
      <c r="V65">
        <v>312.3</v>
      </c>
      <c r="W65">
        <v>3883.1950000000002</v>
      </c>
      <c r="X65">
        <v>3882.7440000000001</v>
      </c>
      <c r="Y65">
        <f t="shared" si="0"/>
        <v>-0.24399999999968713</v>
      </c>
      <c r="Z65">
        <f t="shared" si="3"/>
        <v>312.3</v>
      </c>
      <c r="AA65">
        <f t="shared" si="4"/>
        <v>-0.24399999999968713</v>
      </c>
      <c r="AB65">
        <f t="shared" si="1"/>
        <v>312.3</v>
      </c>
      <c r="AC65">
        <f t="shared" si="2"/>
        <v>-0.24399999999968713</v>
      </c>
    </row>
    <row r="66" spans="1:29" x14ac:dyDescent="0.25">
      <c r="A66" t="s">
        <v>66</v>
      </c>
      <c r="B66" t="s">
        <v>140</v>
      </c>
      <c r="C66">
        <v>297.3</v>
      </c>
      <c r="D66">
        <v>-23.6</v>
      </c>
      <c r="E66">
        <v>181.5</v>
      </c>
      <c r="F66">
        <v>3882.4679999999998</v>
      </c>
      <c r="G66" s="2">
        <f t="shared" si="5"/>
        <v>-0.51900000000023283</v>
      </c>
      <c r="H66" s="8">
        <f t="shared" si="6"/>
        <v>297.3</v>
      </c>
      <c r="I66" s="9">
        <f t="shared" si="7"/>
        <v>-23.6</v>
      </c>
      <c r="J66">
        <v>88.3</v>
      </c>
      <c r="K66">
        <v>-17.62</v>
      </c>
      <c r="L66">
        <v>325</v>
      </c>
      <c r="M66">
        <v>3882.0630000000001</v>
      </c>
      <c r="O66">
        <v>61</v>
      </c>
      <c r="P66">
        <v>-24.3</v>
      </c>
      <c r="S66">
        <v>317.3</v>
      </c>
      <c r="T66">
        <v>-20.8</v>
      </c>
      <c r="V66">
        <v>317.3</v>
      </c>
      <c r="W66">
        <v>3883.43</v>
      </c>
      <c r="X66">
        <v>3882.933</v>
      </c>
      <c r="Y66">
        <f t="shared" ref="Y66" si="8">W66-MAX(W:W)</f>
        <v>-9.0000000000145519E-3</v>
      </c>
      <c r="Z66">
        <f t="shared" si="3"/>
        <v>317.3</v>
      </c>
      <c r="AA66">
        <f t="shared" si="4"/>
        <v>-9.0000000000145519E-3</v>
      </c>
      <c r="AB66">
        <f t="shared" ref="AB66:AB72" si="9">V66</f>
        <v>317.3</v>
      </c>
      <c r="AC66">
        <f t="shared" ref="AC66:AC96" si="10">Y66</f>
        <v>-9.0000000000145519E-3</v>
      </c>
    </row>
    <row r="67" spans="1:29" x14ac:dyDescent="0.25">
      <c r="A67" t="s">
        <v>67</v>
      </c>
      <c r="B67" t="s">
        <v>141</v>
      </c>
      <c r="C67">
        <v>302.3</v>
      </c>
      <c r="D67">
        <v>-23.1</v>
      </c>
      <c r="E67">
        <v>186.4</v>
      </c>
      <c r="F67">
        <v>3881.7820000000002</v>
      </c>
      <c r="G67" s="2">
        <f t="shared" si="5"/>
        <v>-1.2049999999999272</v>
      </c>
      <c r="H67" s="8">
        <f t="shared" si="6"/>
        <v>302.3</v>
      </c>
      <c r="I67" s="9">
        <f t="shared" si="7"/>
        <v>-23.1</v>
      </c>
      <c r="J67">
        <v>90.65</v>
      </c>
      <c r="K67">
        <v>-16.77</v>
      </c>
      <c r="L67">
        <v>330</v>
      </c>
      <c r="M67">
        <v>3882.7440000000001</v>
      </c>
      <c r="O67">
        <v>62</v>
      </c>
      <c r="P67">
        <v>-23.6</v>
      </c>
      <c r="S67">
        <v>322.3</v>
      </c>
      <c r="T67">
        <v>-20.3</v>
      </c>
      <c r="V67">
        <v>322.3</v>
      </c>
      <c r="W67">
        <v>3883.2730000000001</v>
      </c>
      <c r="X67">
        <v>3882.9870000000001</v>
      </c>
      <c r="Y67">
        <f>W67-MAX(W:W)</f>
        <v>-0.1659999999997126</v>
      </c>
      <c r="Z67">
        <f t="shared" si="3"/>
        <v>322.3</v>
      </c>
      <c r="AA67">
        <f t="shared" si="4"/>
        <v>-0.1659999999997126</v>
      </c>
      <c r="AB67">
        <f t="shared" si="9"/>
        <v>322.3</v>
      </c>
      <c r="AC67">
        <f t="shared" si="10"/>
        <v>-0.1659999999997126</v>
      </c>
    </row>
    <row r="68" spans="1:29" x14ac:dyDescent="0.25">
      <c r="A68" t="s">
        <v>68</v>
      </c>
      <c r="B68" t="s">
        <v>142</v>
      </c>
      <c r="C68">
        <v>307.3</v>
      </c>
      <c r="D68">
        <v>-21.7</v>
      </c>
      <c r="E68">
        <v>191.4</v>
      </c>
      <c r="F68">
        <v>3882.0630000000001</v>
      </c>
      <c r="G68" s="2">
        <f t="shared" si="5"/>
        <v>-0.92399999999997817</v>
      </c>
      <c r="H68" s="8">
        <f t="shared" si="6"/>
        <v>307.3</v>
      </c>
      <c r="I68" s="9">
        <f t="shared" si="7"/>
        <v>-21.7</v>
      </c>
      <c r="J68">
        <v>93</v>
      </c>
      <c r="K68">
        <v>-15.92</v>
      </c>
      <c r="L68">
        <v>335</v>
      </c>
      <c r="M68">
        <v>3882.933</v>
      </c>
      <c r="O68">
        <v>63</v>
      </c>
      <c r="P68">
        <v>-23.1</v>
      </c>
      <c r="S68">
        <v>327.3</v>
      </c>
      <c r="T68">
        <v>-20.3</v>
      </c>
      <c r="V68">
        <v>327.3</v>
      </c>
      <c r="W68">
        <v>3883.2249999999999</v>
      </c>
      <c r="Y68">
        <f t="shared" ref="Y68:Y72" si="11">W68-MAX(W:W)</f>
        <v>-0.21399999999994179</v>
      </c>
      <c r="AB68">
        <f t="shared" si="9"/>
        <v>327.3</v>
      </c>
      <c r="AC68">
        <f t="shared" si="10"/>
        <v>-0.21399999999994179</v>
      </c>
    </row>
    <row r="69" spans="1:29" x14ac:dyDescent="0.25">
      <c r="A69" t="s">
        <v>69</v>
      </c>
      <c r="B69" t="s">
        <v>143</v>
      </c>
      <c r="C69">
        <v>312.3</v>
      </c>
      <c r="D69">
        <v>-20.6</v>
      </c>
      <c r="E69">
        <v>196.4</v>
      </c>
      <c r="F69">
        <v>3882.7440000000001</v>
      </c>
      <c r="G69" s="2">
        <f t="shared" si="5"/>
        <v>-0.24299999999993815</v>
      </c>
      <c r="H69" s="8">
        <f t="shared" si="6"/>
        <v>312.3</v>
      </c>
      <c r="I69" s="9">
        <f t="shared" si="7"/>
        <v>-20.6</v>
      </c>
      <c r="J69">
        <v>95.35</v>
      </c>
      <c r="K69">
        <v>-15.07</v>
      </c>
      <c r="L69">
        <v>340</v>
      </c>
      <c r="M69">
        <v>3883.1950000000002</v>
      </c>
      <c r="O69">
        <v>64</v>
      </c>
      <c r="P69">
        <v>-21.7</v>
      </c>
      <c r="S69">
        <v>332.2</v>
      </c>
      <c r="T69">
        <v>-20</v>
      </c>
      <c r="V69">
        <v>332.2</v>
      </c>
      <c r="W69">
        <v>3883.4389999999999</v>
      </c>
      <c r="Y69">
        <f t="shared" si="11"/>
        <v>0</v>
      </c>
      <c r="AB69">
        <f t="shared" si="9"/>
        <v>332.2</v>
      </c>
      <c r="AC69">
        <f t="shared" si="10"/>
        <v>0</v>
      </c>
    </row>
    <row r="70" spans="1:29" x14ac:dyDescent="0.25">
      <c r="A70" t="s">
        <v>70</v>
      </c>
      <c r="B70" t="s">
        <v>144</v>
      </c>
      <c r="C70">
        <v>317.3</v>
      </c>
      <c r="D70">
        <v>-20.8</v>
      </c>
      <c r="E70">
        <v>201.4</v>
      </c>
      <c r="F70">
        <v>3882.933</v>
      </c>
      <c r="G70" s="2">
        <f t="shared" si="5"/>
        <v>-5.4000000000087311E-2</v>
      </c>
      <c r="H70" s="8">
        <f t="shared" si="6"/>
        <v>317.3</v>
      </c>
      <c r="I70" s="9">
        <f t="shared" si="7"/>
        <v>-20.8</v>
      </c>
      <c r="J70">
        <v>97.7</v>
      </c>
      <c r="K70">
        <v>-14.22</v>
      </c>
      <c r="L70">
        <v>345</v>
      </c>
      <c r="M70">
        <v>3883.43</v>
      </c>
      <c r="O70">
        <v>65</v>
      </c>
      <c r="P70">
        <v>-20.6</v>
      </c>
      <c r="S70">
        <v>337.2</v>
      </c>
      <c r="T70">
        <v>-19.8</v>
      </c>
      <c r="V70">
        <v>337.2</v>
      </c>
      <c r="W70">
        <v>3883.2</v>
      </c>
      <c r="Y70">
        <f t="shared" si="11"/>
        <v>-0.23900000000003274</v>
      </c>
      <c r="AB70">
        <f t="shared" si="9"/>
        <v>337.2</v>
      </c>
      <c r="AC70">
        <f t="shared" si="10"/>
        <v>-0.23900000000003274</v>
      </c>
    </row>
    <row r="71" spans="1:29" ht="15.75" thickBot="1" x14ac:dyDescent="0.3">
      <c r="A71" t="s">
        <v>71</v>
      </c>
      <c r="B71" t="s">
        <v>145</v>
      </c>
      <c r="C71">
        <v>322.3</v>
      </c>
      <c r="D71">
        <v>-20.3</v>
      </c>
      <c r="E71">
        <v>212.5</v>
      </c>
      <c r="F71">
        <v>3882.9870000000001</v>
      </c>
      <c r="G71" s="2">
        <f t="shared" si="5"/>
        <v>0</v>
      </c>
      <c r="H71" s="10">
        <f t="shared" si="6"/>
        <v>322.3</v>
      </c>
      <c r="I71" s="11">
        <f t="shared" si="7"/>
        <v>-20.3</v>
      </c>
      <c r="J71">
        <v>100.05</v>
      </c>
      <c r="K71">
        <v>-13.38</v>
      </c>
      <c r="L71">
        <v>350</v>
      </c>
      <c r="M71">
        <v>3883.2730000000001</v>
      </c>
      <c r="O71">
        <v>66</v>
      </c>
      <c r="P71">
        <v>-20.8</v>
      </c>
      <c r="S71">
        <v>342.2</v>
      </c>
      <c r="T71">
        <v>-19.100000000000001</v>
      </c>
      <c r="V71">
        <v>342.2</v>
      </c>
      <c r="W71">
        <v>3882.701</v>
      </c>
      <c r="Y71">
        <f t="shared" si="11"/>
        <v>-0.73799999999982901</v>
      </c>
      <c r="AB71">
        <f t="shared" si="9"/>
        <v>342.2</v>
      </c>
      <c r="AC71">
        <f t="shared" si="10"/>
        <v>-0.73799999999982901</v>
      </c>
    </row>
    <row r="72" spans="1:29" x14ac:dyDescent="0.25">
      <c r="A72" t="s">
        <v>72</v>
      </c>
      <c r="B72" t="s">
        <v>146</v>
      </c>
      <c r="C72">
        <v>327.3</v>
      </c>
      <c r="D72">
        <v>-20.3</v>
      </c>
      <c r="G72" s="2"/>
      <c r="J72">
        <v>102.4</v>
      </c>
      <c r="K72">
        <v>-12.54</v>
      </c>
      <c r="L72">
        <v>355</v>
      </c>
      <c r="M72">
        <v>3883.2249999999999</v>
      </c>
      <c r="O72">
        <v>67</v>
      </c>
      <c r="P72">
        <v>-20.3</v>
      </c>
      <c r="S72">
        <v>347.2</v>
      </c>
      <c r="T72">
        <v>-18.399999999999999</v>
      </c>
      <c r="V72">
        <v>347.2</v>
      </c>
      <c r="W72">
        <v>3882.8020000000001</v>
      </c>
      <c r="Y72">
        <f t="shared" si="11"/>
        <v>-0.63699999999971624</v>
      </c>
      <c r="AB72">
        <f t="shared" si="9"/>
        <v>347.2</v>
      </c>
      <c r="AC72">
        <f t="shared" si="10"/>
        <v>-0.63699999999971624</v>
      </c>
    </row>
    <row r="73" spans="1:29" x14ac:dyDescent="0.25">
      <c r="A73" t="s">
        <v>73</v>
      </c>
      <c r="B73" t="s">
        <v>147</v>
      </c>
      <c r="C73">
        <v>332.2</v>
      </c>
      <c r="D73">
        <v>-20</v>
      </c>
      <c r="G73" s="2"/>
      <c r="J73">
        <v>104.75</v>
      </c>
      <c r="K73">
        <v>-11.74</v>
      </c>
      <c r="L73">
        <v>360</v>
      </c>
      <c r="M73">
        <v>3883.4389999999999</v>
      </c>
      <c r="O73">
        <v>68</v>
      </c>
      <c r="P73">
        <v>-20.3</v>
      </c>
      <c r="S73">
        <v>352.2</v>
      </c>
      <c r="T73">
        <v>-18.2</v>
      </c>
      <c r="V73">
        <v>352.2</v>
      </c>
      <c r="AC73">
        <f t="shared" si="10"/>
        <v>0</v>
      </c>
    </row>
    <row r="74" spans="1:29" x14ac:dyDescent="0.25">
      <c r="A74" t="s">
        <v>74</v>
      </c>
      <c r="B74" t="s">
        <v>148</v>
      </c>
      <c r="C74">
        <v>337.2</v>
      </c>
      <c r="D74">
        <v>-19.8</v>
      </c>
      <c r="G74" s="2"/>
      <c r="J74">
        <v>107.1</v>
      </c>
      <c r="K74">
        <v>-10.94</v>
      </c>
      <c r="L74">
        <v>365</v>
      </c>
      <c r="M74">
        <v>3883.2</v>
      </c>
      <c r="O74">
        <v>69</v>
      </c>
      <c r="P74">
        <v>-20</v>
      </c>
      <c r="S74">
        <v>357.2</v>
      </c>
      <c r="T74">
        <v>-17.7</v>
      </c>
      <c r="V74">
        <v>357.2</v>
      </c>
      <c r="AC74">
        <f t="shared" si="10"/>
        <v>0</v>
      </c>
    </row>
    <row r="75" spans="1:29" x14ac:dyDescent="0.25">
      <c r="A75" t="s">
        <v>75</v>
      </c>
      <c r="B75" t="s">
        <v>149</v>
      </c>
      <c r="C75">
        <v>342.2</v>
      </c>
      <c r="D75">
        <v>-19.100000000000001</v>
      </c>
      <c r="G75" s="2"/>
      <c r="J75">
        <v>109.55</v>
      </c>
      <c r="K75">
        <v>-10.37</v>
      </c>
      <c r="L75">
        <v>370</v>
      </c>
      <c r="M75">
        <v>3882.701</v>
      </c>
      <c r="O75">
        <v>70</v>
      </c>
      <c r="P75">
        <v>-19.8</v>
      </c>
      <c r="S75">
        <v>362.1</v>
      </c>
      <c r="T75">
        <v>-16.5</v>
      </c>
      <c r="V75">
        <v>362.1</v>
      </c>
      <c r="AC75">
        <f t="shared" si="10"/>
        <v>0</v>
      </c>
    </row>
    <row r="76" spans="1:29" x14ac:dyDescent="0.25">
      <c r="A76" t="s">
        <v>76</v>
      </c>
      <c r="B76" t="s">
        <v>150</v>
      </c>
      <c r="C76">
        <v>347.2</v>
      </c>
      <c r="D76">
        <v>-18.399999999999999</v>
      </c>
      <c r="G76" s="2"/>
      <c r="J76">
        <v>112</v>
      </c>
      <c r="K76">
        <v>-9.81</v>
      </c>
      <c r="L76">
        <v>375</v>
      </c>
      <c r="M76">
        <v>3882.8020000000001</v>
      </c>
      <c r="O76">
        <v>71</v>
      </c>
      <c r="P76">
        <v>-19.100000000000001</v>
      </c>
      <c r="S76">
        <v>367.1</v>
      </c>
      <c r="T76">
        <v>-16.100000000000001</v>
      </c>
      <c r="V76">
        <v>367.1</v>
      </c>
      <c r="AC76">
        <f t="shared" si="10"/>
        <v>0</v>
      </c>
    </row>
    <row r="77" spans="1:29" x14ac:dyDescent="0.25">
      <c r="A77" t="s">
        <v>77</v>
      </c>
      <c r="B77" t="s">
        <v>151</v>
      </c>
      <c r="C77">
        <v>352.2</v>
      </c>
      <c r="D77">
        <v>-18.2</v>
      </c>
      <c r="G77" s="2"/>
      <c r="J77">
        <v>115.15</v>
      </c>
      <c r="K77">
        <v>-9.01</v>
      </c>
      <c r="O77">
        <v>72</v>
      </c>
      <c r="P77">
        <v>-18.399999999999999</v>
      </c>
      <c r="S77">
        <v>372.1</v>
      </c>
      <c r="T77">
        <v>-15.3</v>
      </c>
      <c r="V77">
        <v>372.1</v>
      </c>
      <c r="AC77">
        <f t="shared" si="10"/>
        <v>0</v>
      </c>
    </row>
    <row r="78" spans="1:29" x14ac:dyDescent="0.25">
      <c r="A78" t="s">
        <v>78</v>
      </c>
      <c r="B78" t="s">
        <v>152</v>
      </c>
      <c r="C78">
        <v>357.2</v>
      </c>
      <c r="D78">
        <v>-17.7</v>
      </c>
      <c r="G78" s="2"/>
      <c r="J78">
        <v>118.3</v>
      </c>
      <c r="K78">
        <v>-8.2100000000000009</v>
      </c>
      <c r="O78">
        <v>73</v>
      </c>
      <c r="P78">
        <v>-18.2</v>
      </c>
      <c r="S78">
        <v>377.1</v>
      </c>
      <c r="T78">
        <v>-14.8</v>
      </c>
      <c r="V78">
        <v>377.1</v>
      </c>
      <c r="AC78">
        <f t="shared" si="10"/>
        <v>0</v>
      </c>
    </row>
    <row r="79" spans="1:29" x14ac:dyDescent="0.25">
      <c r="A79" t="s">
        <v>79</v>
      </c>
      <c r="B79" t="s">
        <v>153</v>
      </c>
      <c r="C79">
        <v>362.1</v>
      </c>
      <c r="D79">
        <v>-16.5</v>
      </c>
      <c r="G79" s="2"/>
      <c r="J79">
        <v>120.8</v>
      </c>
      <c r="K79">
        <v>-9.01</v>
      </c>
      <c r="O79">
        <v>74</v>
      </c>
      <c r="P79">
        <v>-17.7</v>
      </c>
      <c r="S79">
        <v>382.1</v>
      </c>
      <c r="T79">
        <v>-14.2</v>
      </c>
      <c r="V79">
        <v>382.1</v>
      </c>
      <c r="AC79">
        <f t="shared" si="10"/>
        <v>0</v>
      </c>
    </row>
    <row r="80" spans="1:29" x14ac:dyDescent="0.25">
      <c r="A80" t="s">
        <v>80</v>
      </c>
      <c r="B80" t="s">
        <v>154</v>
      </c>
      <c r="C80">
        <v>367.1</v>
      </c>
      <c r="D80">
        <v>-16.100000000000001</v>
      </c>
      <c r="G80" s="2"/>
      <c r="J80">
        <v>123.3</v>
      </c>
      <c r="K80">
        <v>-9.81</v>
      </c>
      <c r="O80">
        <v>75</v>
      </c>
      <c r="P80">
        <v>-16.5</v>
      </c>
      <c r="S80">
        <v>387.1</v>
      </c>
      <c r="T80">
        <v>-13.3</v>
      </c>
      <c r="V80">
        <v>387.1</v>
      </c>
      <c r="AC80">
        <f t="shared" si="10"/>
        <v>0</v>
      </c>
    </row>
    <row r="81" spans="1:29" x14ac:dyDescent="0.25">
      <c r="A81" t="s">
        <v>81</v>
      </c>
      <c r="B81" t="s">
        <v>155</v>
      </c>
      <c r="C81">
        <v>372.1</v>
      </c>
      <c r="D81">
        <v>-15.3</v>
      </c>
      <c r="G81" s="2"/>
      <c r="J81">
        <v>125.75</v>
      </c>
      <c r="K81">
        <v>-8.1199999999999992</v>
      </c>
      <c r="O81">
        <v>76</v>
      </c>
      <c r="P81">
        <v>-16.100000000000001</v>
      </c>
      <c r="S81">
        <v>392</v>
      </c>
      <c r="T81">
        <v>-13.1</v>
      </c>
      <c r="V81">
        <v>392</v>
      </c>
      <c r="AC81">
        <f t="shared" si="10"/>
        <v>0</v>
      </c>
    </row>
    <row r="82" spans="1:29" x14ac:dyDescent="0.25">
      <c r="A82" t="s">
        <v>82</v>
      </c>
      <c r="B82" t="s">
        <v>156</v>
      </c>
      <c r="C82">
        <v>377.1</v>
      </c>
      <c r="D82">
        <v>-14.8</v>
      </c>
      <c r="G82" s="2"/>
      <c r="J82">
        <v>128.19999999999999</v>
      </c>
      <c r="K82">
        <v>-6.43</v>
      </c>
      <c r="O82">
        <v>77</v>
      </c>
      <c r="P82">
        <v>-15.3</v>
      </c>
      <c r="S82">
        <v>396.9</v>
      </c>
      <c r="T82">
        <v>-12.1</v>
      </c>
      <c r="V82">
        <v>396.9</v>
      </c>
      <c r="AC82">
        <f t="shared" si="10"/>
        <v>0</v>
      </c>
    </row>
    <row r="83" spans="1:29" x14ac:dyDescent="0.25">
      <c r="A83" t="s">
        <v>83</v>
      </c>
      <c r="B83" t="s">
        <v>157</v>
      </c>
      <c r="C83">
        <v>382.1</v>
      </c>
      <c r="D83">
        <v>-14.2</v>
      </c>
      <c r="G83" s="2"/>
      <c r="J83">
        <v>130.44999999999999</v>
      </c>
      <c r="K83">
        <v>-5.41</v>
      </c>
      <c r="O83">
        <v>78</v>
      </c>
      <c r="P83">
        <v>-14.8</v>
      </c>
      <c r="S83">
        <v>401.9</v>
      </c>
      <c r="T83">
        <v>-11</v>
      </c>
      <c r="V83">
        <v>401.9</v>
      </c>
      <c r="AC83">
        <f t="shared" si="10"/>
        <v>0</v>
      </c>
    </row>
    <row r="84" spans="1:29" x14ac:dyDescent="0.25">
      <c r="A84" t="s">
        <v>84</v>
      </c>
      <c r="B84" t="s">
        <v>158</v>
      </c>
      <c r="C84">
        <v>387.1</v>
      </c>
      <c r="D84">
        <v>-13.3</v>
      </c>
      <c r="G84" s="2"/>
      <c r="J84">
        <v>132.69999999999999</v>
      </c>
      <c r="K84">
        <v>-4.4000000000000004</v>
      </c>
      <c r="O84">
        <v>79</v>
      </c>
      <c r="P84">
        <v>-14.2</v>
      </c>
      <c r="S84">
        <v>406.8</v>
      </c>
      <c r="T84">
        <v>-9.6999999999999993</v>
      </c>
      <c r="V84">
        <v>406.8</v>
      </c>
      <c r="AC84">
        <f t="shared" si="10"/>
        <v>0</v>
      </c>
    </row>
    <row r="85" spans="1:29" x14ac:dyDescent="0.25">
      <c r="A85" t="s">
        <v>85</v>
      </c>
      <c r="B85" t="s">
        <v>159</v>
      </c>
      <c r="C85">
        <v>392</v>
      </c>
      <c r="D85">
        <v>-13.1</v>
      </c>
      <c r="G85" s="2"/>
      <c r="J85">
        <v>135.15</v>
      </c>
      <c r="K85">
        <v>-4.91</v>
      </c>
      <c r="O85">
        <v>80</v>
      </c>
      <c r="P85">
        <v>-13.3</v>
      </c>
      <c r="S85">
        <v>411.7</v>
      </c>
      <c r="T85">
        <v>-9.1999999999999993</v>
      </c>
      <c r="V85">
        <v>411.7</v>
      </c>
      <c r="AC85">
        <f t="shared" si="10"/>
        <v>0</v>
      </c>
    </row>
    <row r="86" spans="1:29" x14ac:dyDescent="0.25">
      <c r="A86" t="s">
        <v>86</v>
      </c>
      <c r="B86" t="s">
        <v>160</v>
      </c>
      <c r="C86">
        <v>396.9</v>
      </c>
      <c r="D86">
        <v>-12.1</v>
      </c>
      <c r="G86" s="2"/>
      <c r="J86">
        <v>137.6</v>
      </c>
      <c r="K86">
        <v>-5.43</v>
      </c>
      <c r="O86">
        <v>81</v>
      </c>
      <c r="P86">
        <v>-13.1</v>
      </c>
      <c r="S86">
        <v>416.6</v>
      </c>
      <c r="T86">
        <v>-8.8000000000000007</v>
      </c>
      <c r="V86">
        <v>416.6</v>
      </c>
      <c r="AC86">
        <f t="shared" si="10"/>
        <v>0</v>
      </c>
    </row>
    <row r="87" spans="1:29" x14ac:dyDescent="0.25">
      <c r="A87" t="s">
        <v>87</v>
      </c>
      <c r="B87" t="s">
        <v>161</v>
      </c>
      <c r="C87">
        <v>401.9</v>
      </c>
      <c r="D87">
        <v>-11</v>
      </c>
      <c r="G87" s="2"/>
      <c r="J87">
        <v>140.1</v>
      </c>
      <c r="K87">
        <v>-5.56</v>
      </c>
      <c r="O87">
        <v>82</v>
      </c>
      <c r="P87">
        <v>-12.1</v>
      </c>
      <c r="S87">
        <v>421.6</v>
      </c>
      <c r="T87">
        <v>-7.8</v>
      </c>
      <c r="V87">
        <v>421.6</v>
      </c>
      <c r="AC87">
        <f t="shared" si="10"/>
        <v>0</v>
      </c>
    </row>
    <row r="88" spans="1:29" x14ac:dyDescent="0.25">
      <c r="A88" t="s">
        <v>88</v>
      </c>
      <c r="B88" t="s">
        <v>162</v>
      </c>
      <c r="C88">
        <v>406.8</v>
      </c>
      <c r="D88">
        <v>-9.6999999999999993</v>
      </c>
      <c r="G88" s="2"/>
      <c r="J88">
        <v>142.6</v>
      </c>
      <c r="K88">
        <v>-5.7</v>
      </c>
      <c r="O88">
        <v>83</v>
      </c>
      <c r="P88">
        <v>-11</v>
      </c>
      <c r="S88">
        <v>426.5</v>
      </c>
      <c r="T88">
        <v>-6.9</v>
      </c>
      <c r="V88">
        <v>426.5</v>
      </c>
      <c r="AC88">
        <f t="shared" si="10"/>
        <v>0</v>
      </c>
    </row>
    <row r="89" spans="1:29" x14ac:dyDescent="0.25">
      <c r="A89" t="s">
        <v>89</v>
      </c>
      <c r="B89" t="s">
        <v>163</v>
      </c>
      <c r="C89">
        <v>411.7</v>
      </c>
      <c r="D89">
        <v>-9.1999999999999993</v>
      </c>
      <c r="G89" s="2"/>
      <c r="J89">
        <v>145.1</v>
      </c>
      <c r="K89">
        <v>-5.86</v>
      </c>
      <c r="O89">
        <v>84</v>
      </c>
      <c r="P89">
        <v>-9.6999999999999993</v>
      </c>
      <c r="S89">
        <v>431.5</v>
      </c>
      <c r="T89">
        <v>-6.1</v>
      </c>
      <c r="V89">
        <v>431.5</v>
      </c>
      <c r="AC89">
        <f t="shared" si="10"/>
        <v>0</v>
      </c>
    </row>
    <row r="90" spans="1:29" x14ac:dyDescent="0.25">
      <c r="A90" t="s">
        <v>90</v>
      </c>
      <c r="B90" t="s">
        <v>164</v>
      </c>
      <c r="C90">
        <v>416.6</v>
      </c>
      <c r="D90">
        <v>-8.8000000000000007</v>
      </c>
      <c r="G90" s="2"/>
      <c r="J90">
        <v>147.6</v>
      </c>
      <c r="K90">
        <v>-6.03</v>
      </c>
      <c r="O90">
        <v>85</v>
      </c>
      <c r="P90">
        <v>-9.1999999999999993</v>
      </c>
      <c r="S90">
        <v>436.5</v>
      </c>
      <c r="T90">
        <v>-5.4</v>
      </c>
      <c r="V90">
        <v>436.5</v>
      </c>
      <c r="AC90">
        <f t="shared" si="10"/>
        <v>0</v>
      </c>
    </row>
    <row r="91" spans="1:29" x14ac:dyDescent="0.25">
      <c r="A91" t="s">
        <v>91</v>
      </c>
      <c r="B91" t="s">
        <v>165</v>
      </c>
      <c r="C91">
        <v>421.6</v>
      </c>
      <c r="D91">
        <v>-7.8</v>
      </c>
      <c r="G91" s="2"/>
      <c r="J91">
        <v>149.85</v>
      </c>
      <c r="K91">
        <v>-4.8899999999999997</v>
      </c>
      <c r="O91">
        <v>86</v>
      </c>
      <c r="P91">
        <v>-8.8000000000000007</v>
      </c>
      <c r="S91">
        <v>441.5</v>
      </c>
      <c r="T91">
        <v>-4.5999999999999996</v>
      </c>
      <c r="V91">
        <v>441.5</v>
      </c>
      <c r="AC91">
        <f t="shared" si="10"/>
        <v>0</v>
      </c>
    </row>
    <row r="92" spans="1:29" x14ac:dyDescent="0.25">
      <c r="A92" t="s">
        <v>92</v>
      </c>
      <c r="B92" t="s">
        <v>166</v>
      </c>
      <c r="C92">
        <v>426.5</v>
      </c>
      <c r="D92">
        <v>-6.9</v>
      </c>
      <c r="G92" s="2"/>
      <c r="J92">
        <v>152.1</v>
      </c>
      <c r="K92">
        <v>-3.75</v>
      </c>
      <c r="O92">
        <v>87</v>
      </c>
      <c r="P92">
        <v>-7.8</v>
      </c>
      <c r="S92">
        <v>446.5</v>
      </c>
      <c r="T92">
        <v>-3.6</v>
      </c>
      <c r="V92">
        <v>446.5</v>
      </c>
      <c r="AC92">
        <f t="shared" si="10"/>
        <v>0</v>
      </c>
    </row>
    <row r="93" spans="1:29" x14ac:dyDescent="0.25">
      <c r="A93" t="s">
        <v>93</v>
      </c>
      <c r="B93" t="s">
        <v>167</v>
      </c>
      <c r="C93">
        <v>431.5</v>
      </c>
      <c r="D93">
        <v>-6.1</v>
      </c>
      <c r="G93" s="2"/>
      <c r="J93">
        <v>154.4</v>
      </c>
      <c r="K93">
        <v>-2.88</v>
      </c>
      <c r="O93">
        <v>88</v>
      </c>
      <c r="P93">
        <v>-6.9</v>
      </c>
      <c r="S93">
        <v>451.4</v>
      </c>
      <c r="T93">
        <v>-2.7</v>
      </c>
      <c r="V93">
        <v>451.4</v>
      </c>
      <c r="AC93">
        <f t="shared" si="10"/>
        <v>0</v>
      </c>
    </row>
    <row r="94" spans="1:29" x14ac:dyDescent="0.25">
      <c r="A94" t="s">
        <v>94</v>
      </c>
      <c r="B94" t="s">
        <v>168</v>
      </c>
      <c r="C94">
        <v>436.5</v>
      </c>
      <c r="D94">
        <v>-5.4</v>
      </c>
      <c r="G94" s="2"/>
      <c r="J94">
        <v>156.69999999999999</v>
      </c>
      <c r="K94">
        <v>-2.0099999999999998</v>
      </c>
      <c r="O94">
        <v>89</v>
      </c>
      <c r="P94">
        <v>-6.1</v>
      </c>
      <c r="S94">
        <v>456.4</v>
      </c>
      <c r="T94">
        <v>-1.8</v>
      </c>
      <c r="V94">
        <v>456.4</v>
      </c>
      <c r="AC94">
        <f t="shared" si="10"/>
        <v>0</v>
      </c>
    </row>
    <row r="95" spans="1:29" x14ac:dyDescent="0.25">
      <c r="A95" t="s">
        <v>95</v>
      </c>
      <c r="B95" t="s">
        <v>169</v>
      </c>
      <c r="C95">
        <v>441.5</v>
      </c>
      <c r="D95">
        <v>-4.5999999999999996</v>
      </c>
      <c r="G95" s="2"/>
      <c r="J95">
        <v>159.19999999999999</v>
      </c>
      <c r="K95">
        <v>-2.2599999999999998</v>
      </c>
      <c r="O95">
        <v>90</v>
      </c>
      <c r="P95">
        <v>-5.4</v>
      </c>
      <c r="S95">
        <v>461.4</v>
      </c>
      <c r="T95">
        <v>-0.9</v>
      </c>
      <c r="V95">
        <v>461.4</v>
      </c>
      <c r="AC95">
        <f t="shared" si="10"/>
        <v>0</v>
      </c>
    </row>
    <row r="96" spans="1:29" x14ac:dyDescent="0.25">
      <c r="A96" t="s">
        <v>96</v>
      </c>
      <c r="B96" t="s">
        <v>170</v>
      </c>
      <c r="C96">
        <v>446.5</v>
      </c>
      <c r="D96">
        <v>-3.6</v>
      </c>
      <c r="G96" s="2"/>
      <c r="J96">
        <v>161.69999999999999</v>
      </c>
      <c r="K96">
        <v>-2.52</v>
      </c>
      <c r="O96">
        <v>91</v>
      </c>
      <c r="P96">
        <v>-4.5999999999999996</v>
      </c>
      <c r="S96">
        <v>466.4</v>
      </c>
      <c r="T96">
        <v>0</v>
      </c>
      <c r="V96">
        <v>466.4</v>
      </c>
      <c r="AC96">
        <f t="shared" si="10"/>
        <v>0</v>
      </c>
    </row>
    <row r="97" spans="1:16" x14ac:dyDescent="0.25">
      <c r="A97" t="s">
        <v>97</v>
      </c>
      <c r="B97" t="s">
        <v>171</v>
      </c>
      <c r="C97">
        <v>451.4</v>
      </c>
      <c r="D97">
        <v>-2.7</v>
      </c>
      <c r="G97" s="2"/>
      <c r="J97">
        <v>164.15</v>
      </c>
      <c r="K97">
        <v>-1.95</v>
      </c>
      <c r="O97">
        <v>92</v>
      </c>
      <c r="P97">
        <v>-3.6</v>
      </c>
    </row>
    <row r="98" spans="1:16" x14ac:dyDescent="0.25">
      <c r="A98" t="s">
        <v>98</v>
      </c>
      <c r="B98" t="s">
        <v>172</v>
      </c>
      <c r="C98">
        <v>456.4</v>
      </c>
      <c r="D98">
        <v>-1.8</v>
      </c>
      <c r="G98" s="2"/>
      <c r="J98">
        <v>166.6</v>
      </c>
      <c r="K98">
        <v>-1.39</v>
      </c>
      <c r="O98">
        <v>93</v>
      </c>
      <c r="P98">
        <v>-2.7</v>
      </c>
    </row>
    <row r="99" spans="1:16" x14ac:dyDescent="0.25">
      <c r="A99" t="s">
        <v>99</v>
      </c>
      <c r="B99" t="s">
        <v>173</v>
      </c>
      <c r="C99">
        <v>461.4</v>
      </c>
      <c r="D99">
        <v>-0.9</v>
      </c>
      <c r="G99" s="2"/>
      <c r="J99">
        <v>169.1</v>
      </c>
      <c r="K99">
        <v>-1.58</v>
      </c>
      <c r="O99">
        <v>94</v>
      </c>
      <c r="P99">
        <v>-1.8</v>
      </c>
    </row>
    <row r="100" spans="1:16" x14ac:dyDescent="0.25">
      <c r="A100" t="s">
        <v>100</v>
      </c>
      <c r="B100" t="s">
        <v>174</v>
      </c>
      <c r="C100">
        <v>466.4</v>
      </c>
      <c r="D100">
        <v>0</v>
      </c>
      <c r="G100" s="2"/>
      <c r="J100">
        <v>171.6</v>
      </c>
      <c r="K100">
        <v>-1.77</v>
      </c>
      <c r="O100">
        <v>95</v>
      </c>
      <c r="P100">
        <v>-0.9</v>
      </c>
    </row>
    <row r="101" spans="1:16" x14ac:dyDescent="0.25">
      <c r="J101">
        <v>174.05</v>
      </c>
      <c r="K101">
        <v>-1.41</v>
      </c>
    </row>
    <row r="102" spans="1:16" x14ac:dyDescent="0.25">
      <c r="J102">
        <v>176.5</v>
      </c>
      <c r="K102">
        <v>-1.06</v>
      </c>
    </row>
    <row r="103" spans="1:16" x14ac:dyDescent="0.25">
      <c r="J103">
        <v>179</v>
      </c>
      <c r="K103">
        <v>-0.79</v>
      </c>
    </row>
    <row r="104" spans="1:16" x14ac:dyDescent="0.25">
      <c r="J104">
        <v>181.5</v>
      </c>
      <c r="K104">
        <v>-0.52</v>
      </c>
    </row>
    <row r="105" spans="1:16" x14ac:dyDescent="0.25">
      <c r="J105">
        <v>183.95</v>
      </c>
      <c r="K105">
        <v>-0.87</v>
      </c>
    </row>
    <row r="106" spans="1:16" x14ac:dyDescent="0.25">
      <c r="J106">
        <v>186.4</v>
      </c>
      <c r="K106">
        <v>-1.21</v>
      </c>
    </row>
    <row r="107" spans="1:16" x14ac:dyDescent="0.25">
      <c r="J107">
        <v>188.9</v>
      </c>
      <c r="K107">
        <v>-1.07</v>
      </c>
    </row>
    <row r="108" spans="1:16" x14ac:dyDescent="0.25">
      <c r="J108">
        <v>191.4</v>
      </c>
      <c r="K108">
        <v>-0.93</v>
      </c>
    </row>
    <row r="109" spans="1:16" x14ac:dyDescent="0.25">
      <c r="J109">
        <v>193.9</v>
      </c>
      <c r="K109">
        <v>-0.59</v>
      </c>
    </row>
    <row r="110" spans="1:16" x14ac:dyDescent="0.25">
      <c r="J110">
        <v>196.4</v>
      </c>
      <c r="K110">
        <v>-0.25</v>
      </c>
    </row>
    <row r="111" spans="1:16" x14ac:dyDescent="0.25">
      <c r="J111">
        <v>198.9</v>
      </c>
      <c r="K111">
        <v>-0.15</v>
      </c>
    </row>
    <row r="112" spans="1:16" x14ac:dyDescent="0.25">
      <c r="J112">
        <v>201.4</v>
      </c>
      <c r="K112">
        <v>-0.06</v>
      </c>
    </row>
    <row r="113" spans="10:11" x14ac:dyDescent="0.25">
      <c r="J113">
        <v>206.95</v>
      </c>
      <c r="K113">
        <v>-0.03</v>
      </c>
    </row>
    <row r="114" spans="10:11" x14ac:dyDescent="0.25">
      <c r="J114">
        <v>212.5</v>
      </c>
      <c r="K114">
        <v>0</v>
      </c>
    </row>
  </sheetData>
  <mergeCells count="3">
    <mergeCell ref="C3:D3"/>
    <mergeCell ref="E3:G3"/>
    <mergeCell ref="H3:I3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6925-63DB-48BB-B91F-90E07062947D}">
  <dimension ref="A1:I76"/>
  <sheetViews>
    <sheetView topLeftCell="A4" workbookViewId="0">
      <selection activeCell="K71" sqref="K71"/>
    </sheetView>
  </sheetViews>
  <sheetFormatPr defaultRowHeight="15" x14ac:dyDescent="0.25"/>
  <sheetData>
    <row r="1" spans="1:8" x14ac:dyDescent="0.25">
      <c r="A1" t="s">
        <v>0</v>
      </c>
      <c r="B1" s="149" t="s">
        <v>216</v>
      </c>
      <c r="C1" s="149"/>
      <c r="D1" s="149"/>
      <c r="E1" s="149"/>
      <c r="F1" s="149"/>
      <c r="G1" s="149"/>
      <c r="H1" t="s">
        <v>4</v>
      </c>
    </row>
    <row r="2" spans="1:8" x14ac:dyDescent="0.25">
      <c r="A2" t="s">
        <v>1</v>
      </c>
      <c r="B2" s="27"/>
      <c r="C2" s="27"/>
      <c r="D2" s="27"/>
      <c r="E2" s="27"/>
      <c r="F2" s="27"/>
      <c r="G2" s="27"/>
    </row>
    <row r="3" spans="1:8" x14ac:dyDescent="0.25">
      <c r="B3" s="27"/>
      <c r="C3" s="27"/>
      <c r="D3" s="27"/>
      <c r="E3" s="27"/>
      <c r="F3" s="27"/>
      <c r="G3" s="27"/>
    </row>
    <row r="4" spans="1:8" x14ac:dyDescent="0.25">
      <c r="B4" t="s">
        <v>2</v>
      </c>
      <c r="C4" t="s">
        <v>3</v>
      </c>
      <c r="D4" t="s">
        <v>2</v>
      </c>
      <c r="E4" t="s">
        <v>309</v>
      </c>
      <c r="F4" t="s">
        <v>310</v>
      </c>
      <c r="G4" t="s">
        <v>311</v>
      </c>
      <c r="H4" t="s">
        <v>230</v>
      </c>
    </row>
    <row r="5" spans="1:8" x14ac:dyDescent="0.25">
      <c r="A5" t="s">
        <v>5</v>
      </c>
      <c r="B5">
        <v>0</v>
      </c>
      <c r="C5">
        <v>3854.89</v>
      </c>
      <c r="D5">
        <f>B5</f>
        <v>0</v>
      </c>
      <c r="E5">
        <f>C5-MAX($C$5:$C$76)</f>
        <v>-28.548999999999978</v>
      </c>
      <c r="F5">
        <v>0</v>
      </c>
      <c r="G5">
        <v>-28.548999999999978</v>
      </c>
    </row>
    <row r="6" spans="1:8" x14ac:dyDescent="0.25">
      <c r="A6" t="s">
        <v>6</v>
      </c>
      <c r="B6">
        <v>5</v>
      </c>
      <c r="C6">
        <v>3854.8820000000001</v>
      </c>
      <c r="D6">
        <f t="shared" ref="D6:D69" si="0">B6</f>
        <v>5</v>
      </c>
      <c r="E6">
        <f t="shared" ref="E6:E69" si="1">C6-MAX($C$5:$C$76)</f>
        <v>-28.556999999999789</v>
      </c>
      <c r="F6">
        <v>4.9000000000000004</v>
      </c>
      <c r="G6">
        <v>-28.556999999999789</v>
      </c>
    </row>
    <row r="7" spans="1:8" x14ac:dyDescent="0.25">
      <c r="A7" t="s">
        <v>7</v>
      </c>
      <c r="B7">
        <v>10</v>
      </c>
      <c r="C7">
        <v>3854.8389999999999</v>
      </c>
      <c r="D7">
        <f t="shared" si="0"/>
        <v>10</v>
      </c>
      <c r="E7">
        <f t="shared" si="1"/>
        <v>-28.599999999999909</v>
      </c>
      <c r="F7">
        <v>9.8000000000000007</v>
      </c>
      <c r="G7">
        <v>-28.599999999999909</v>
      </c>
    </row>
    <row r="8" spans="1:8" x14ac:dyDescent="0.25">
      <c r="A8" t="s">
        <v>8</v>
      </c>
      <c r="B8">
        <v>15</v>
      </c>
      <c r="C8">
        <v>3854.8180000000002</v>
      </c>
      <c r="D8">
        <f t="shared" si="0"/>
        <v>15</v>
      </c>
      <c r="E8">
        <f t="shared" si="1"/>
        <v>-28.62099999999964</v>
      </c>
      <c r="F8">
        <v>14.8</v>
      </c>
      <c r="G8">
        <v>-28.62099999999964</v>
      </c>
    </row>
    <row r="9" spans="1:8" x14ac:dyDescent="0.25">
      <c r="A9" t="s">
        <v>9</v>
      </c>
      <c r="B9">
        <v>20</v>
      </c>
      <c r="C9">
        <v>3854.8090000000002</v>
      </c>
      <c r="D9">
        <f t="shared" si="0"/>
        <v>20</v>
      </c>
      <c r="E9">
        <f t="shared" si="1"/>
        <v>-28.629999999999654</v>
      </c>
      <c r="F9">
        <v>19.7</v>
      </c>
      <c r="G9">
        <v>-28.629999999999654</v>
      </c>
    </row>
    <row r="10" spans="1:8" x14ac:dyDescent="0.25">
      <c r="A10" t="s">
        <v>10</v>
      </c>
      <c r="B10">
        <v>25</v>
      </c>
      <c r="C10">
        <v>3854.817</v>
      </c>
      <c r="D10">
        <f t="shared" si="0"/>
        <v>25</v>
      </c>
      <c r="E10">
        <f t="shared" si="1"/>
        <v>-28.621999999999844</v>
      </c>
      <c r="F10">
        <v>24.6</v>
      </c>
      <c r="G10">
        <v>-28.621999999999844</v>
      </c>
    </row>
    <row r="11" spans="1:8" x14ac:dyDescent="0.25">
      <c r="A11" t="s">
        <v>11</v>
      </c>
      <c r="B11">
        <v>30</v>
      </c>
      <c r="C11">
        <v>3854.806</v>
      </c>
      <c r="D11">
        <f t="shared" si="0"/>
        <v>30</v>
      </c>
      <c r="E11">
        <f t="shared" si="1"/>
        <v>-28.632999999999811</v>
      </c>
      <c r="F11">
        <v>29.5</v>
      </c>
      <c r="G11">
        <v>-28.632999999999811</v>
      </c>
    </row>
    <row r="12" spans="1:8" x14ac:dyDescent="0.25">
      <c r="A12" t="s">
        <v>12</v>
      </c>
      <c r="B12">
        <v>35</v>
      </c>
      <c r="C12">
        <v>3854.8530000000001</v>
      </c>
      <c r="D12">
        <f t="shared" si="0"/>
        <v>35</v>
      </c>
      <c r="E12">
        <f t="shared" si="1"/>
        <v>-28.585999999999785</v>
      </c>
      <c r="F12">
        <v>34.5</v>
      </c>
      <c r="G12">
        <v>-28.585999999999785</v>
      </c>
    </row>
    <row r="13" spans="1:8" x14ac:dyDescent="0.25">
      <c r="A13" t="s">
        <v>13</v>
      </c>
      <c r="B13">
        <v>40</v>
      </c>
      <c r="C13">
        <v>3854.8560000000002</v>
      </c>
      <c r="D13">
        <f t="shared" si="0"/>
        <v>40</v>
      </c>
      <c r="E13">
        <f t="shared" si="1"/>
        <v>-28.582999999999629</v>
      </c>
      <c r="F13">
        <v>39.4</v>
      </c>
      <c r="G13">
        <v>-28.582999999999629</v>
      </c>
    </row>
    <row r="14" spans="1:8" x14ac:dyDescent="0.25">
      <c r="A14" t="s">
        <v>14</v>
      </c>
      <c r="B14">
        <v>45</v>
      </c>
      <c r="C14">
        <v>3854.9050000000002</v>
      </c>
      <c r="D14">
        <f t="shared" si="0"/>
        <v>45</v>
      </c>
      <c r="E14">
        <f t="shared" si="1"/>
        <v>-28.533999999999651</v>
      </c>
      <c r="F14">
        <v>44.3</v>
      </c>
      <c r="G14">
        <v>-28.533999999999651</v>
      </c>
    </row>
    <row r="15" spans="1:8" x14ac:dyDescent="0.25">
      <c r="A15" t="s">
        <v>15</v>
      </c>
      <c r="B15">
        <v>50</v>
      </c>
      <c r="C15">
        <v>3854.9839999999999</v>
      </c>
      <c r="D15">
        <f t="shared" si="0"/>
        <v>50</v>
      </c>
      <c r="E15">
        <f t="shared" si="1"/>
        <v>-28.454999999999927</v>
      </c>
      <c r="F15">
        <v>49.2</v>
      </c>
      <c r="G15">
        <v>-28.454999999999927</v>
      </c>
    </row>
    <row r="16" spans="1:8" x14ac:dyDescent="0.25">
      <c r="A16" t="s">
        <v>16</v>
      </c>
      <c r="B16">
        <v>55</v>
      </c>
      <c r="C16">
        <v>3854.9960000000001</v>
      </c>
      <c r="D16">
        <f t="shared" si="0"/>
        <v>55</v>
      </c>
      <c r="E16">
        <f t="shared" si="1"/>
        <v>-28.442999999999756</v>
      </c>
      <c r="F16">
        <v>54.2</v>
      </c>
      <c r="G16">
        <v>-28.442999999999756</v>
      </c>
    </row>
    <row r="17" spans="1:9" x14ac:dyDescent="0.25">
      <c r="A17" t="s">
        <v>17</v>
      </c>
      <c r="B17">
        <v>60</v>
      </c>
      <c r="C17">
        <v>3855.0549999999998</v>
      </c>
      <c r="D17">
        <f t="shared" si="0"/>
        <v>60</v>
      </c>
      <c r="E17">
        <f t="shared" si="1"/>
        <v>-28.384000000000015</v>
      </c>
      <c r="F17">
        <v>59.2</v>
      </c>
      <c r="G17">
        <v>-28.384000000000015</v>
      </c>
    </row>
    <row r="18" spans="1:9" x14ac:dyDescent="0.25">
      <c r="A18" t="s">
        <v>18</v>
      </c>
      <c r="B18">
        <v>65</v>
      </c>
      <c r="C18">
        <v>3855.1759999999999</v>
      </c>
      <c r="D18">
        <f t="shared" si="0"/>
        <v>65</v>
      </c>
      <c r="E18">
        <f t="shared" si="1"/>
        <v>-28.26299999999992</v>
      </c>
      <c r="F18">
        <v>64</v>
      </c>
      <c r="G18">
        <v>-28.26299999999992</v>
      </c>
    </row>
    <row r="19" spans="1:9" x14ac:dyDescent="0.25">
      <c r="A19" t="s">
        <v>19</v>
      </c>
      <c r="B19">
        <v>70</v>
      </c>
      <c r="C19">
        <v>3855.1930000000002</v>
      </c>
      <c r="D19">
        <f t="shared" si="0"/>
        <v>70</v>
      </c>
      <c r="E19">
        <f t="shared" si="1"/>
        <v>-28.24599999999964</v>
      </c>
      <c r="F19">
        <v>68.900000000000006</v>
      </c>
      <c r="G19">
        <v>-28.24599999999964</v>
      </c>
    </row>
    <row r="20" spans="1:9" x14ac:dyDescent="0.25">
      <c r="A20" t="s">
        <v>20</v>
      </c>
      <c r="B20">
        <v>75</v>
      </c>
      <c r="C20">
        <v>3855.5250000000001</v>
      </c>
      <c r="D20">
        <f t="shared" si="0"/>
        <v>75</v>
      </c>
      <c r="E20">
        <f t="shared" si="1"/>
        <v>-27.91399999999976</v>
      </c>
      <c r="F20">
        <v>73.8</v>
      </c>
      <c r="G20">
        <v>-27.91399999999976</v>
      </c>
    </row>
    <row r="21" spans="1:9" x14ac:dyDescent="0.25">
      <c r="A21" t="s">
        <v>21</v>
      </c>
      <c r="B21">
        <v>80</v>
      </c>
      <c r="C21">
        <v>3855.3829999999998</v>
      </c>
      <c r="D21">
        <f t="shared" si="0"/>
        <v>80</v>
      </c>
      <c r="E21">
        <f t="shared" si="1"/>
        <v>-28.05600000000004</v>
      </c>
      <c r="F21">
        <v>78.8</v>
      </c>
      <c r="G21">
        <v>-28.05600000000004</v>
      </c>
    </row>
    <row r="22" spans="1:9" x14ac:dyDescent="0.25">
      <c r="A22" t="s">
        <v>22</v>
      </c>
      <c r="B22">
        <v>85</v>
      </c>
      <c r="C22">
        <v>3855.221</v>
      </c>
      <c r="D22">
        <f t="shared" si="0"/>
        <v>85</v>
      </c>
      <c r="E22">
        <f t="shared" si="1"/>
        <v>-28.217999999999847</v>
      </c>
      <c r="F22">
        <v>83.7</v>
      </c>
      <c r="G22">
        <v>-28.217999999999847</v>
      </c>
    </row>
    <row r="23" spans="1:9" x14ac:dyDescent="0.25">
      <c r="A23" t="s">
        <v>23</v>
      </c>
      <c r="B23">
        <v>90</v>
      </c>
      <c r="C23">
        <v>3855.328</v>
      </c>
      <c r="D23">
        <f t="shared" si="0"/>
        <v>90</v>
      </c>
      <c r="E23">
        <f t="shared" si="1"/>
        <v>-28.110999999999876</v>
      </c>
      <c r="F23">
        <v>88.7</v>
      </c>
      <c r="G23">
        <v>-28.110999999999876</v>
      </c>
    </row>
    <row r="24" spans="1:9" x14ac:dyDescent="0.25">
      <c r="A24" t="s">
        <v>24</v>
      </c>
      <c r="B24">
        <v>95</v>
      </c>
      <c r="C24">
        <v>3856.578</v>
      </c>
      <c r="D24">
        <f t="shared" si="0"/>
        <v>95</v>
      </c>
      <c r="E24">
        <f t="shared" si="1"/>
        <v>-26.860999999999876</v>
      </c>
      <c r="F24">
        <v>93.6</v>
      </c>
      <c r="G24">
        <v>-26.860999999999876</v>
      </c>
    </row>
    <row r="25" spans="1:9" x14ac:dyDescent="0.25">
      <c r="A25" t="s">
        <v>25</v>
      </c>
      <c r="B25">
        <v>100</v>
      </c>
      <c r="C25">
        <v>3857.462</v>
      </c>
      <c r="D25">
        <f t="shared" si="0"/>
        <v>100</v>
      </c>
      <c r="E25">
        <f t="shared" si="1"/>
        <v>-25.976999999999862</v>
      </c>
      <c r="F25">
        <v>98.6</v>
      </c>
      <c r="G25">
        <v>-25.976999999999862</v>
      </c>
    </row>
    <row r="26" spans="1:9" x14ac:dyDescent="0.25">
      <c r="A26" t="s">
        <v>26</v>
      </c>
      <c r="B26">
        <v>105</v>
      </c>
      <c r="C26">
        <v>3858.5239999999999</v>
      </c>
      <c r="D26">
        <f t="shared" si="0"/>
        <v>105</v>
      </c>
      <c r="E26">
        <f t="shared" si="1"/>
        <v>-24.914999999999964</v>
      </c>
      <c r="F26">
        <v>103.5</v>
      </c>
      <c r="G26">
        <v>-24.914999999999964</v>
      </c>
    </row>
    <row r="27" spans="1:9" x14ac:dyDescent="0.25">
      <c r="A27" t="s">
        <v>27</v>
      </c>
      <c r="B27">
        <v>110</v>
      </c>
      <c r="C27">
        <v>3859.652</v>
      </c>
      <c r="D27">
        <f t="shared" si="0"/>
        <v>110</v>
      </c>
      <c r="E27">
        <f t="shared" si="1"/>
        <v>-23.786999999999807</v>
      </c>
      <c r="F27">
        <v>108.4</v>
      </c>
      <c r="G27">
        <v>-23.786999999999807</v>
      </c>
    </row>
    <row r="28" spans="1:9" x14ac:dyDescent="0.25">
      <c r="A28" t="s">
        <v>28</v>
      </c>
      <c r="B28">
        <v>115</v>
      </c>
      <c r="C28">
        <v>3860.308</v>
      </c>
      <c r="D28">
        <f t="shared" si="0"/>
        <v>115</v>
      </c>
      <c r="E28">
        <f t="shared" si="1"/>
        <v>-23.130999999999858</v>
      </c>
      <c r="F28">
        <v>113.4</v>
      </c>
      <c r="G28">
        <v>-23.130999999999858</v>
      </c>
      <c r="H28">
        <v>113.4</v>
      </c>
      <c r="I28">
        <v>-23.130999999999858</v>
      </c>
    </row>
    <row r="29" spans="1:9" x14ac:dyDescent="0.25">
      <c r="A29" t="s">
        <v>29</v>
      </c>
      <c r="B29">
        <v>120</v>
      </c>
      <c r="C29">
        <v>3861.0189999999998</v>
      </c>
      <c r="D29">
        <f t="shared" si="0"/>
        <v>120</v>
      </c>
      <c r="E29">
        <f t="shared" si="1"/>
        <v>-22.420000000000073</v>
      </c>
      <c r="F29">
        <v>118.4</v>
      </c>
      <c r="G29">
        <v>-22.420000000000073</v>
      </c>
      <c r="H29">
        <v>118.4</v>
      </c>
      <c r="I29">
        <v>-22.420000000000073</v>
      </c>
    </row>
    <row r="30" spans="1:9" x14ac:dyDescent="0.25">
      <c r="A30" t="s">
        <v>30</v>
      </c>
      <c r="B30">
        <v>125</v>
      </c>
      <c r="C30">
        <v>3861.8389999999999</v>
      </c>
      <c r="D30">
        <f t="shared" si="0"/>
        <v>125</v>
      </c>
      <c r="E30">
        <f t="shared" si="1"/>
        <v>-21.599999999999909</v>
      </c>
      <c r="F30">
        <v>123.3</v>
      </c>
      <c r="G30">
        <v>-21.599999999999909</v>
      </c>
      <c r="H30">
        <v>123.3</v>
      </c>
      <c r="I30">
        <v>-21.599999999999909</v>
      </c>
    </row>
    <row r="31" spans="1:9" x14ac:dyDescent="0.25">
      <c r="A31" t="s">
        <v>31</v>
      </c>
      <c r="B31">
        <v>130</v>
      </c>
      <c r="C31">
        <v>3861.73</v>
      </c>
      <c r="D31">
        <f t="shared" si="0"/>
        <v>130</v>
      </c>
      <c r="E31">
        <f t="shared" si="1"/>
        <v>-21.708999999999833</v>
      </c>
      <c r="F31">
        <v>128.19999999999999</v>
      </c>
      <c r="G31">
        <v>-21.708999999999833</v>
      </c>
      <c r="H31">
        <v>128.19999999999999</v>
      </c>
      <c r="I31">
        <v>-21.708999999999833</v>
      </c>
    </row>
    <row r="32" spans="1:9" x14ac:dyDescent="0.25">
      <c r="A32" t="s">
        <v>32</v>
      </c>
      <c r="B32">
        <v>135</v>
      </c>
      <c r="C32">
        <v>3862.4929999999999</v>
      </c>
      <c r="D32">
        <f t="shared" si="0"/>
        <v>135</v>
      </c>
      <c r="E32">
        <f t="shared" si="1"/>
        <v>-20.945999999999913</v>
      </c>
      <c r="F32">
        <v>133.19999999999999</v>
      </c>
      <c r="G32">
        <v>-20.945999999999913</v>
      </c>
      <c r="H32">
        <v>133.19999999999999</v>
      </c>
      <c r="I32">
        <v>-20.945999999999913</v>
      </c>
    </row>
    <row r="33" spans="1:9" x14ac:dyDescent="0.25">
      <c r="A33" t="s">
        <v>33</v>
      </c>
      <c r="B33">
        <v>140</v>
      </c>
      <c r="C33">
        <v>3863.1370000000002</v>
      </c>
      <c r="D33">
        <f t="shared" si="0"/>
        <v>140</v>
      </c>
      <c r="E33">
        <f t="shared" si="1"/>
        <v>-20.30199999999968</v>
      </c>
      <c r="F33">
        <v>138.19999999999999</v>
      </c>
      <c r="G33">
        <v>-20.30199999999968</v>
      </c>
      <c r="H33">
        <v>138.19999999999999</v>
      </c>
      <c r="I33">
        <v>-20.30199999999968</v>
      </c>
    </row>
    <row r="34" spans="1:9" x14ac:dyDescent="0.25">
      <c r="A34" t="s">
        <v>34</v>
      </c>
      <c r="B34">
        <v>145</v>
      </c>
      <c r="C34">
        <v>3863.6779999999999</v>
      </c>
      <c r="D34">
        <f t="shared" si="0"/>
        <v>145</v>
      </c>
      <c r="E34">
        <f t="shared" si="1"/>
        <v>-19.760999999999967</v>
      </c>
      <c r="F34">
        <v>143.19999999999999</v>
      </c>
      <c r="G34">
        <v>-19.760999999999967</v>
      </c>
      <c r="H34">
        <v>143.19999999999999</v>
      </c>
      <c r="I34">
        <v>-19.760999999999967</v>
      </c>
    </row>
    <row r="35" spans="1:9" x14ac:dyDescent="0.25">
      <c r="A35" t="s">
        <v>35</v>
      </c>
      <c r="B35">
        <v>150</v>
      </c>
      <c r="C35">
        <v>3863.5120000000002</v>
      </c>
      <c r="D35">
        <f t="shared" si="0"/>
        <v>150</v>
      </c>
      <c r="E35">
        <f t="shared" si="1"/>
        <v>-19.92699999999968</v>
      </c>
      <c r="F35">
        <v>148.19999999999999</v>
      </c>
      <c r="G35">
        <v>-19.92699999999968</v>
      </c>
      <c r="H35">
        <v>148.19999999999999</v>
      </c>
      <c r="I35">
        <v>-19.92699999999968</v>
      </c>
    </row>
    <row r="36" spans="1:9" x14ac:dyDescent="0.25">
      <c r="A36" t="s">
        <v>36</v>
      </c>
      <c r="B36">
        <v>155</v>
      </c>
      <c r="C36">
        <v>3862.6109999999999</v>
      </c>
      <c r="D36">
        <f t="shared" si="0"/>
        <v>155</v>
      </c>
      <c r="E36">
        <f t="shared" si="1"/>
        <v>-20.827999999999975</v>
      </c>
      <c r="F36">
        <v>153.19999999999999</v>
      </c>
      <c r="G36">
        <v>-20.827999999999975</v>
      </c>
      <c r="H36">
        <v>153.19999999999999</v>
      </c>
      <c r="I36">
        <v>-20.827999999999975</v>
      </c>
    </row>
    <row r="37" spans="1:9" x14ac:dyDescent="0.25">
      <c r="A37" t="s">
        <v>37</v>
      </c>
      <c r="B37">
        <v>160</v>
      </c>
      <c r="C37">
        <v>3862.605</v>
      </c>
      <c r="D37">
        <f t="shared" si="0"/>
        <v>160</v>
      </c>
      <c r="E37">
        <f t="shared" si="1"/>
        <v>-20.833999999999833</v>
      </c>
      <c r="F37">
        <v>158.1</v>
      </c>
      <c r="G37">
        <v>-20.833999999999833</v>
      </c>
      <c r="H37">
        <v>158.1</v>
      </c>
      <c r="I37">
        <v>-20.833999999999833</v>
      </c>
    </row>
    <row r="38" spans="1:9" x14ac:dyDescent="0.25">
      <c r="A38" t="s">
        <v>38</v>
      </c>
      <c r="B38">
        <v>165</v>
      </c>
      <c r="C38">
        <v>3861.2330000000002</v>
      </c>
      <c r="D38">
        <f t="shared" si="0"/>
        <v>165</v>
      </c>
      <c r="E38">
        <f t="shared" si="1"/>
        <v>-22.205999999999676</v>
      </c>
      <c r="F38">
        <v>162.9</v>
      </c>
      <c r="G38">
        <v>-22.205999999999676</v>
      </c>
      <c r="H38">
        <v>162.9</v>
      </c>
      <c r="I38">
        <v>-22.205999999999676</v>
      </c>
    </row>
    <row r="39" spans="1:9" x14ac:dyDescent="0.25">
      <c r="A39" t="s">
        <v>39</v>
      </c>
      <c r="B39">
        <v>170</v>
      </c>
      <c r="C39">
        <v>3859.7860000000001</v>
      </c>
      <c r="D39">
        <f t="shared" si="0"/>
        <v>170</v>
      </c>
      <c r="E39">
        <f t="shared" si="1"/>
        <v>-23.652999999999793</v>
      </c>
      <c r="F39">
        <v>167.9</v>
      </c>
      <c r="G39">
        <v>-23.652999999999793</v>
      </c>
      <c r="H39">
        <v>167.9</v>
      </c>
      <c r="I39">
        <v>-23.652999999999793</v>
      </c>
    </row>
    <row r="40" spans="1:9" x14ac:dyDescent="0.25">
      <c r="A40" t="s">
        <v>40</v>
      </c>
      <c r="B40">
        <v>175</v>
      </c>
      <c r="C40">
        <v>3859.3290000000002</v>
      </c>
      <c r="D40">
        <f t="shared" si="0"/>
        <v>175</v>
      </c>
      <c r="E40">
        <f t="shared" si="1"/>
        <v>-24.109999999999673</v>
      </c>
      <c r="F40">
        <v>172.8</v>
      </c>
      <c r="G40">
        <v>-24.109999999999673</v>
      </c>
      <c r="H40">
        <v>172.8</v>
      </c>
      <c r="I40">
        <v>-24.109999999999673</v>
      </c>
    </row>
    <row r="41" spans="1:9" x14ac:dyDescent="0.25">
      <c r="A41" t="s">
        <v>41</v>
      </c>
      <c r="B41">
        <v>180</v>
      </c>
      <c r="C41">
        <v>3859.2</v>
      </c>
      <c r="D41">
        <f t="shared" si="0"/>
        <v>180</v>
      </c>
      <c r="E41">
        <f t="shared" si="1"/>
        <v>-24.239000000000033</v>
      </c>
      <c r="F41">
        <v>177.7</v>
      </c>
      <c r="G41">
        <v>-24.239000000000033</v>
      </c>
      <c r="H41">
        <v>177.7</v>
      </c>
      <c r="I41">
        <v>-24.239000000000033</v>
      </c>
    </row>
    <row r="42" spans="1:9" x14ac:dyDescent="0.25">
      <c r="A42" t="s">
        <v>42</v>
      </c>
      <c r="B42">
        <v>185</v>
      </c>
      <c r="C42">
        <v>3859.3879999999999</v>
      </c>
      <c r="D42">
        <f t="shared" si="0"/>
        <v>185</v>
      </c>
      <c r="E42">
        <f t="shared" si="1"/>
        <v>-24.050999999999931</v>
      </c>
      <c r="F42">
        <v>182.6</v>
      </c>
      <c r="G42">
        <v>-24.050999999999931</v>
      </c>
      <c r="H42">
        <v>182.6</v>
      </c>
      <c r="I42">
        <v>-24.050999999999931</v>
      </c>
    </row>
    <row r="43" spans="1:9" x14ac:dyDescent="0.25">
      <c r="A43" t="s">
        <v>43</v>
      </c>
      <c r="B43">
        <v>190</v>
      </c>
      <c r="C43">
        <v>3860.0050000000001</v>
      </c>
      <c r="D43">
        <f t="shared" si="0"/>
        <v>190</v>
      </c>
      <c r="E43">
        <f t="shared" si="1"/>
        <v>-23.433999999999742</v>
      </c>
      <c r="F43">
        <v>187.6</v>
      </c>
      <c r="G43">
        <v>-23.433999999999742</v>
      </c>
      <c r="H43">
        <v>187.6</v>
      </c>
      <c r="I43">
        <v>-23.433999999999742</v>
      </c>
    </row>
    <row r="44" spans="1:9" x14ac:dyDescent="0.25">
      <c r="A44" t="s">
        <v>44</v>
      </c>
      <c r="B44">
        <v>195</v>
      </c>
      <c r="C44">
        <v>3860.3710000000001</v>
      </c>
      <c r="D44">
        <f t="shared" si="0"/>
        <v>195</v>
      </c>
      <c r="E44">
        <f t="shared" si="1"/>
        <v>-23.067999999999756</v>
      </c>
      <c r="F44">
        <v>192.4</v>
      </c>
      <c r="G44">
        <v>-23.067999999999756</v>
      </c>
      <c r="H44">
        <v>192.4</v>
      </c>
      <c r="I44">
        <v>-23.067999999999756</v>
      </c>
    </row>
    <row r="45" spans="1:9" x14ac:dyDescent="0.25">
      <c r="A45" t="s">
        <v>45</v>
      </c>
      <c r="B45">
        <v>200</v>
      </c>
      <c r="C45">
        <v>3862.7179999999998</v>
      </c>
      <c r="D45">
        <f t="shared" si="0"/>
        <v>200</v>
      </c>
      <c r="E45">
        <f t="shared" si="1"/>
        <v>-20.721000000000004</v>
      </c>
      <c r="F45">
        <v>197.4</v>
      </c>
      <c r="G45">
        <v>-20.721000000000004</v>
      </c>
      <c r="H45">
        <v>197.4</v>
      </c>
      <c r="I45">
        <v>-20.721000000000004</v>
      </c>
    </row>
    <row r="46" spans="1:9" x14ac:dyDescent="0.25">
      <c r="A46" t="s">
        <v>46</v>
      </c>
      <c r="B46">
        <v>205</v>
      </c>
      <c r="C46">
        <v>3864.3310000000001</v>
      </c>
      <c r="D46">
        <f t="shared" si="0"/>
        <v>205</v>
      </c>
      <c r="E46">
        <f t="shared" si="1"/>
        <v>-19.10799999999972</v>
      </c>
      <c r="F46">
        <v>202.4</v>
      </c>
      <c r="G46">
        <v>-19.10799999999972</v>
      </c>
      <c r="H46">
        <v>202.4</v>
      </c>
      <c r="I46">
        <v>-19.10799999999972</v>
      </c>
    </row>
    <row r="47" spans="1:9" x14ac:dyDescent="0.25">
      <c r="A47" t="s">
        <v>47</v>
      </c>
      <c r="B47">
        <v>210</v>
      </c>
      <c r="C47">
        <v>3865.37</v>
      </c>
      <c r="D47">
        <f t="shared" si="0"/>
        <v>210</v>
      </c>
      <c r="E47">
        <f t="shared" si="1"/>
        <v>-18.06899999999996</v>
      </c>
      <c r="F47">
        <v>207.4</v>
      </c>
      <c r="G47">
        <v>-18.06899999999996</v>
      </c>
      <c r="H47">
        <v>207.4</v>
      </c>
      <c r="I47">
        <v>-18.06899999999996</v>
      </c>
    </row>
    <row r="48" spans="1:9" x14ac:dyDescent="0.25">
      <c r="A48" t="s">
        <v>48</v>
      </c>
      <c r="B48">
        <v>215</v>
      </c>
      <c r="C48">
        <v>3867.0650000000001</v>
      </c>
      <c r="D48">
        <f t="shared" si="0"/>
        <v>215</v>
      </c>
      <c r="E48">
        <f t="shared" si="1"/>
        <v>-16.373999999999796</v>
      </c>
      <c r="F48">
        <v>212.2</v>
      </c>
      <c r="G48">
        <v>-16.373999999999796</v>
      </c>
      <c r="H48">
        <v>212.2</v>
      </c>
      <c r="I48">
        <v>-16.373999999999796</v>
      </c>
    </row>
    <row r="49" spans="1:9" x14ac:dyDescent="0.25">
      <c r="A49" t="s">
        <v>49</v>
      </c>
      <c r="B49">
        <v>220</v>
      </c>
      <c r="C49">
        <v>3868.7710000000002</v>
      </c>
      <c r="D49">
        <f t="shared" si="0"/>
        <v>220</v>
      </c>
      <c r="E49">
        <f t="shared" si="1"/>
        <v>-14.667999999999665</v>
      </c>
      <c r="F49">
        <v>217</v>
      </c>
      <c r="G49">
        <v>-14.667999999999665</v>
      </c>
      <c r="H49">
        <v>217</v>
      </c>
      <c r="I49">
        <v>-14.667999999999665</v>
      </c>
    </row>
    <row r="50" spans="1:9" x14ac:dyDescent="0.25">
      <c r="A50" t="s">
        <v>50</v>
      </c>
      <c r="B50">
        <v>225</v>
      </c>
      <c r="C50">
        <v>3870.4470000000001</v>
      </c>
      <c r="D50">
        <f t="shared" si="0"/>
        <v>225</v>
      </c>
      <c r="E50">
        <f t="shared" si="1"/>
        <v>-12.991999999999734</v>
      </c>
      <c r="F50">
        <v>221.7</v>
      </c>
      <c r="G50">
        <v>-12.991999999999734</v>
      </c>
      <c r="H50">
        <v>221.7</v>
      </c>
      <c r="I50">
        <v>-12.991999999999734</v>
      </c>
    </row>
    <row r="51" spans="1:9" x14ac:dyDescent="0.25">
      <c r="A51" t="s">
        <v>51</v>
      </c>
      <c r="B51">
        <v>230</v>
      </c>
      <c r="C51">
        <v>3872.05</v>
      </c>
      <c r="D51">
        <f t="shared" si="0"/>
        <v>230</v>
      </c>
      <c r="E51">
        <f t="shared" si="1"/>
        <v>-11.388999999999669</v>
      </c>
      <c r="F51">
        <v>226.3</v>
      </c>
      <c r="G51">
        <v>-11.388999999999669</v>
      </c>
      <c r="H51">
        <v>226.3</v>
      </c>
      <c r="I51">
        <v>-11.388999999999669</v>
      </c>
    </row>
    <row r="52" spans="1:9" x14ac:dyDescent="0.25">
      <c r="A52" t="s">
        <v>52</v>
      </c>
      <c r="B52">
        <v>235</v>
      </c>
      <c r="C52">
        <v>3873.1819999999998</v>
      </c>
      <c r="D52">
        <f t="shared" si="0"/>
        <v>235</v>
      </c>
      <c r="E52">
        <f t="shared" si="1"/>
        <v>-10.257000000000062</v>
      </c>
      <c r="F52">
        <v>231</v>
      </c>
      <c r="G52">
        <v>-10.257000000000062</v>
      </c>
      <c r="H52">
        <v>231</v>
      </c>
      <c r="I52">
        <v>-10.257000000000062</v>
      </c>
    </row>
    <row r="53" spans="1:9" x14ac:dyDescent="0.25">
      <c r="A53" t="s">
        <v>53</v>
      </c>
      <c r="B53">
        <v>245</v>
      </c>
      <c r="C53">
        <v>3875.5569999999998</v>
      </c>
      <c r="D53">
        <f t="shared" si="0"/>
        <v>245</v>
      </c>
      <c r="E53">
        <f t="shared" si="1"/>
        <v>-7.8820000000000618</v>
      </c>
      <c r="F53">
        <v>235.6</v>
      </c>
      <c r="G53">
        <v>-7.8820000000000618</v>
      </c>
      <c r="H53">
        <v>235.6</v>
      </c>
      <c r="I53">
        <v>-7.8820000000000618</v>
      </c>
    </row>
    <row r="54" spans="1:9" x14ac:dyDescent="0.25">
      <c r="A54" t="s">
        <v>54</v>
      </c>
      <c r="B54">
        <v>265</v>
      </c>
      <c r="C54">
        <v>3878.5929999999998</v>
      </c>
      <c r="D54">
        <f t="shared" si="0"/>
        <v>265</v>
      </c>
      <c r="E54">
        <f t="shared" si="1"/>
        <v>-4.8460000000000036</v>
      </c>
      <c r="F54">
        <v>240.1</v>
      </c>
      <c r="G54">
        <v>-4.8460000000000036</v>
      </c>
      <c r="H54">
        <v>240.1</v>
      </c>
      <c r="I54">
        <v>-4.8460000000000036</v>
      </c>
    </row>
    <row r="55" spans="1:9" x14ac:dyDescent="0.25">
      <c r="A55" t="s">
        <v>55</v>
      </c>
      <c r="B55">
        <v>270</v>
      </c>
      <c r="C55">
        <v>3877.5619999999999</v>
      </c>
      <c r="D55">
        <f t="shared" si="0"/>
        <v>270</v>
      </c>
      <c r="E55">
        <f t="shared" si="1"/>
        <v>-5.8769999999999527</v>
      </c>
      <c r="F55">
        <v>244.7</v>
      </c>
      <c r="G55">
        <v>-5.8769999999999527</v>
      </c>
      <c r="H55">
        <v>244.7</v>
      </c>
      <c r="I55">
        <v>-5.8769999999999527</v>
      </c>
    </row>
    <row r="56" spans="1:9" x14ac:dyDescent="0.25">
      <c r="A56" t="s">
        <v>56</v>
      </c>
      <c r="B56">
        <v>275</v>
      </c>
      <c r="C56">
        <v>3877.29</v>
      </c>
      <c r="D56">
        <f t="shared" si="0"/>
        <v>275</v>
      </c>
      <c r="E56">
        <f t="shared" si="1"/>
        <v>-6.1489999999998872</v>
      </c>
      <c r="F56">
        <v>249.2</v>
      </c>
      <c r="G56">
        <v>-6.1489999999998872</v>
      </c>
      <c r="H56">
        <v>249.2</v>
      </c>
      <c r="I56">
        <v>-6.1489999999998872</v>
      </c>
    </row>
    <row r="57" spans="1:9" x14ac:dyDescent="0.25">
      <c r="A57" t="s">
        <v>57</v>
      </c>
      <c r="B57">
        <v>280</v>
      </c>
      <c r="C57">
        <v>3876.9639999999999</v>
      </c>
      <c r="D57">
        <f t="shared" si="0"/>
        <v>280</v>
      </c>
      <c r="E57">
        <f t="shared" si="1"/>
        <v>-6.4749999999999091</v>
      </c>
      <c r="F57">
        <v>253.7</v>
      </c>
      <c r="G57">
        <v>-6.4749999999999091</v>
      </c>
      <c r="H57">
        <v>253.7</v>
      </c>
      <c r="I57">
        <v>-6.4749999999999091</v>
      </c>
    </row>
    <row r="58" spans="1:9" x14ac:dyDescent="0.25">
      <c r="A58" t="s">
        <v>58</v>
      </c>
      <c r="B58">
        <v>285</v>
      </c>
      <c r="C58">
        <v>3879.2370000000001</v>
      </c>
      <c r="D58">
        <f t="shared" si="0"/>
        <v>285</v>
      </c>
      <c r="E58">
        <f t="shared" si="1"/>
        <v>-4.2019999999997708</v>
      </c>
      <c r="F58">
        <v>258.3</v>
      </c>
      <c r="G58">
        <v>-4.2019999999997708</v>
      </c>
      <c r="H58">
        <v>258.3</v>
      </c>
      <c r="I58">
        <v>-4.2019999999997708</v>
      </c>
    </row>
    <row r="59" spans="1:9" x14ac:dyDescent="0.25">
      <c r="A59" t="s">
        <v>59</v>
      </c>
      <c r="B59">
        <v>290</v>
      </c>
      <c r="C59">
        <v>3880.982</v>
      </c>
      <c r="D59">
        <f t="shared" si="0"/>
        <v>290</v>
      </c>
      <c r="E59">
        <f t="shared" si="1"/>
        <v>-2.4569999999998799</v>
      </c>
      <c r="F59">
        <v>262.8</v>
      </c>
      <c r="G59">
        <v>-2.4569999999998799</v>
      </c>
      <c r="H59">
        <v>262.8</v>
      </c>
      <c r="I59">
        <v>-2.4569999999998799</v>
      </c>
    </row>
    <row r="60" spans="1:9" x14ac:dyDescent="0.25">
      <c r="A60" t="s">
        <v>60</v>
      </c>
      <c r="B60">
        <v>295</v>
      </c>
      <c r="C60">
        <v>3880.4740000000002</v>
      </c>
      <c r="D60">
        <f t="shared" si="0"/>
        <v>295</v>
      </c>
      <c r="E60">
        <f t="shared" si="1"/>
        <v>-2.9649999999996908</v>
      </c>
      <c r="F60">
        <v>267.3</v>
      </c>
      <c r="G60">
        <v>-2.9649999999996908</v>
      </c>
      <c r="H60">
        <v>267.3</v>
      </c>
      <c r="I60">
        <v>-2.9649999999996908</v>
      </c>
    </row>
    <row r="61" spans="1:9" x14ac:dyDescent="0.25">
      <c r="A61" t="s">
        <v>61</v>
      </c>
      <c r="B61">
        <v>300</v>
      </c>
      <c r="C61">
        <v>3881.5990000000002</v>
      </c>
      <c r="D61">
        <f t="shared" si="0"/>
        <v>300</v>
      </c>
      <c r="E61">
        <f t="shared" si="1"/>
        <v>-1.8399999999996908</v>
      </c>
      <c r="F61">
        <v>272.3</v>
      </c>
      <c r="G61">
        <v>-1.8399999999996908</v>
      </c>
      <c r="H61">
        <v>272.3</v>
      </c>
      <c r="I61">
        <v>-1.8399999999996908</v>
      </c>
    </row>
    <row r="62" spans="1:9" x14ac:dyDescent="0.25">
      <c r="A62" t="s">
        <v>62</v>
      </c>
      <c r="B62">
        <v>305</v>
      </c>
      <c r="C62">
        <v>3881.22</v>
      </c>
      <c r="D62">
        <f t="shared" si="0"/>
        <v>305</v>
      </c>
      <c r="E62">
        <f t="shared" si="1"/>
        <v>-2.2190000000000509</v>
      </c>
      <c r="F62">
        <v>277.3</v>
      </c>
      <c r="G62">
        <v>-2.2190000000000509</v>
      </c>
      <c r="H62">
        <v>277.3</v>
      </c>
      <c r="I62">
        <v>-2.2190000000000509</v>
      </c>
    </row>
    <row r="63" spans="1:9" x14ac:dyDescent="0.25">
      <c r="A63" t="s">
        <v>63</v>
      </c>
      <c r="B63">
        <v>310</v>
      </c>
      <c r="C63">
        <v>3881.933</v>
      </c>
      <c r="D63">
        <f t="shared" si="0"/>
        <v>310</v>
      </c>
      <c r="E63">
        <f t="shared" si="1"/>
        <v>-1.5059999999998581</v>
      </c>
      <c r="F63">
        <v>282.3</v>
      </c>
      <c r="G63">
        <v>-1.5059999999998581</v>
      </c>
      <c r="H63">
        <v>282.3</v>
      </c>
      <c r="I63">
        <v>-1.5059999999998581</v>
      </c>
    </row>
    <row r="64" spans="1:9" x14ac:dyDescent="0.25">
      <c r="A64" t="s">
        <v>64</v>
      </c>
      <c r="B64">
        <v>315</v>
      </c>
      <c r="C64">
        <v>3882.4679999999998</v>
      </c>
      <c r="D64">
        <f t="shared" si="0"/>
        <v>315</v>
      </c>
      <c r="E64">
        <f t="shared" si="1"/>
        <v>-0.97100000000000364</v>
      </c>
      <c r="F64">
        <v>287.3</v>
      </c>
      <c r="G64">
        <v>-0.97100000000000364</v>
      </c>
      <c r="H64">
        <v>287.3</v>
      </c>
      <c r="I64">
        <v>-0.97100000000000364</v>
      </c>
    </row>
    <row r="65" spans="1:9" x14ac:dyDescent="0.25">
      <c r="A65" t="s">
        <v>65</v>
      </c>
      <c r="B65">
        <v>320</v>
      </c>
      <c r="C65">
        <v>3881.7820000000002</v>
      </c>
      <c r="D65">
        <f t="shared" si="0"/>
        <v>320</v>
      </c>
      <c r="E65">
        <f t="shared" si="1"/>
        <v>-1.656999999999698</v>
      </c>
      <c r="F65">
        <v>292.3</v>
      </c>
      <c r="G65">
        <v>-1.656999999999698</v>
      </c>
      <c r="H65">
        <v>292.3</v>
      </c>
      <c r="I65">
        <v>-1.656999999999698</v>
      </c>
    </row>
    <row r="66" spans="1:9" x14ac:dyDescent="0.25">
      <c r="A66" t="s">
        <v>66</v>
      </c>
      <c r="B66">
        <v>325</v>
      </c>
      <c r="C66">
        <v>3882.0630000000001</v>
      </c>
      <c r="D66">
        <f t="shared" si="0"/>
        <v>325</v>
      </c>
      <c r="E66">
        <f t="shared" si="1"/>
        <v>-1.375999999999749</v>
      </c>
      <c r="F66">
        <v>297.3</v>
      </c>
      <c r="G66">
        <v>-1.375999999999749</v>
      </c>
      <c r="H66">
        <v>297.3</v>
      </c>
      <c r="I66">
        <v>-1.375999999999749</v>
      </c>
    </row>
    <row r="67" spans="1:9" x14ac:dyDescent="0.25">
      <c r="A67" t="s">
        <v>67</v>
      </c>
      <c r="B67">
        <v>330</v>
      </c>
      <c r="C67">
        <v>3882.7440000000001</v>
      </c>
      <c r="D67">
        <f t="shared" si="0"/>
        <v>330</v>
      </c>
      <c r="E67">
        <f t="shared" si="1"/>
        <v>-0.69499999999970896</v>
      </c>
      <c r="F67">
        <v>302.3</v>
      </c>
      <c r="G67">
        <v>-0.69499999999970896</v>
      </c>
      <c r="H67">
        <v>302.3</v>
      </c>
      <c r="I67">
        <v>-0.69499999999970896</v>
      </c>
    </row>
    <row r="68" spans="1:9" x14ac:dyDescent="0.25">
      <c r="A68" t="s">
        <v>68</v>
      </c>
      <c r="B68">
        <v>335</v>
      </c>
      <c r="C68">
        <v>3882.933</v>
      </c>
      <c r="D68">
        <f t="shared" si="0"/>
        <v>335</v>
      </c>
      <c r="E68">
        <f t="shared" si="1"/>
        <v>-0.50599999999985812</v>
      </c>
      <c r="F68">
        <v>307.3</v>
      </c>
      <c r="G68">
        <v>-0.50599999999985812</v>
      </c>
      <c r="H68">
        <v>307.3</v>
      </c>
      <c r="I68">
        <v>-0.50599999999985812</v>
      </c>
    </row>
    <row r="69" spans="1:9" x14ac:dyDescent="0.25">
      <c r="A69" t="s">
        <v>69</v>
      </c>
      <c r="B69">
        <v>340</v>
      </c>
      <c r="C69">
        <v>3883.1950000000002</v>
      </c>
      <c r="D69">
        <f t="shared" si="0"/>
        <v>340</v>
      </c>
      <c r="E69">
        <f t="shared" si="1"/>
        <v>-0.24399999999968713</v>
      </c>
      <c r="F69">
        <v>312.3</v>
      </c>
      <c r="G69">
        <v>-0.24399999999968713</v>
      </c>
      <c r="H69">
        <v>312.3</v>
      </c>
      <c r="I69">
        <v>-0.24399999999968713</v>
      </c>
    </row>
    <row r="70" spans="1:9" x14ac:dyDescent="0.25">
      <c r="A70" t="s">
        <v>70</v>
      </c>
      <c r="B70">
        <v>345</v>
      </c>
      <c r="C70">
        <v>3883.43</v>
      </c>
      <c r="D70">
        <f t="shared" ref="D70:D76" si="2">B70</f>
        <v>345</v>
      </c>
      <c r="E70">
        <f t="shared" ref="E70:E76" si="3">C70-MAX($C$5:$C$76)</f>
        <v>-9.0000000000145519E-3</v>
      </c>
      <c r="F70">
        <v>317.3</v>
      </c>
      <c r="G70">
        <v>0</v>
      </c>
      <c r="H70">
        <v>317.3</v>
      </c>
      <c r="I70">
        <v>0</v>
      </c>
    </row>
    <row r="71" spans="1:9" x14ac:dyDescent="0.25">
      <c r="A71" t="s">
        <v>71</v>
      </c>
      <c r="B71">
        <v>350</v>
      </c>
      <c r="C71">
        <v>3883.2730000000001</v>
      </c>
      <c r="D71">
        <f t="shared" si="2"/>
        <v>350</v>
      </c>
      <c r="E71">
        <f t="shared" si="3"/>
        <v>-0.1659999999997126</v>
      </c>
      <c r="F71">
        <v>322.3</v>
      </c>
      <c r="G71">
        <v>-0.1659999999997126</v>
      </c>
      <c r="H71">
        <v>322.3</v>
      </c>
      <c r="I71">
        <v>-0.1659999999997126</v>
      </c>
    </row>
    <row r="72" spans="1:9" x14ac:dyDescent="0.25">
      <c r="A72" t="s">
        <v>72</v>
      </c>
      <c r="B72">
        <v>355</v>
      </c>
      <c r="C72">
        <v>3883.2249999999999</v>
      </c>
      <c r="D72">
        <f t="shared" si="2"/>
        <v>355</v>
      </c>
      <c r="E72">
        <f t="shared" si="3"/>
        <v>-0.21399999999994179</v>
      </c>
      <c r="F72">
        <v>327.3</v>
      </c>
      <c r="G72">
        <v>-0.21399999999994179</v>
      </c>
    </row>
    <row r="73" spans="1:9" x14ac:dyDescent="0.25">
      <c r="A73" t="s">
        <v>73</v>
      </c>
      <c r="B73">
        <v>360</v>
      </c>
      <c r="C73">
        <v>3883.4389999999999</v>
      </c>
      <c r="D73">
        <f t="shared" si="2"/>
        <v>360</v>
      </c>
      <c r="E73">
        <f t="shared" si="3"/>
        <v>0</v>
      </c>
      <c r="F73">
        <v>332.2</v>
      </c>
      <c r="G73">
        <v>0</v>
      </c>
    </row>
    <row r="74" spans="1:9" x14ac:dyDescent="0.25">
      <c r="A74" t="s">
        <v>74</v>
      </c>
      <c r="B74">
        <v>365</v>
      </c>
      <c r="C74">
        <v>3883.2</v>
      </c>
      <c r="D74">
        <f t="shared" si="2"/>
        <v>365</v>
      </c>
      <c r="E74">
        <f t="shared" si="3"/>
        <v>-0.23900000000003274</v>
      </c>
      <c r="F74">
        <v>337.2</v>
      </c>
      <c r="G74">
        <v>-0.23900000000003274</v>
      </c>
    </row>
    <row r="75" spans="1:9" x14ac:dyDescent="0.25">
      <c r="A75" t="s">
        <v>75</v>
      </c>
      <c r="B75">
        <v>370</v>
      </c>
      <c r="C75">
        <v>3882.701</v>
      </c>
      <c r="D75">
        <f t="shared" si="2"/>
        <v>370</v>
      </c>
      <c r="E75">
        <f t="shared" si="3"/>
        <v>-0.73799999999982901</v>
      </c>
      <c r="F75">
        <v>342.2</v>
      </c>
      <c r="G75">
        <v>-0.73799999999982901</v>
      </c>
    </row>
    <row r="76" spans="1:9" x14ac:dyDescent="0.25">
      <c r="A76" t="s">
        <v>76</v>
      </c>
      <c r="B76">
        <v>375</v>
      </c>
      <c r="C76">
        <v>3882.8020000000001</v>
      </c>
      <c r="D76">
        <f t="shared" si="2"/>
        <v>375</v>
      </c>
      <c r="E76">
        <f t="shared" si="3"/>
        <v>-0.63699999999971624</v>
      </c>
      <c r="F76">
        <v>347.2</v>
      </c>
      <c r="G76">
        <v>-0.63699999999971624</v>
      </c>
    </row>
  </sheetData>
  <mergeCells count="1">
    <mergeCell ref="B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D9AC-A3B2-439C-AB9A-7F562614841A}">
  <dimension ref="A1:S50"/>
  <sheetViews>
    <sheetView workbookViewId="0">
      <selection activeCell="I34" sqref="I34"/>
    </sheetView>
  </sheetViews>
  <sheetFormatPr defaultRowHeight="15" x14ac:dyDescent="0.25"/>
  <cols>
    <col min="13" max="13" width="9.140625" style="12"/>
    <col min="16" max="16" width="9.140625" style="12"/>
  </cols>
  <sheetData>
    <row r="1" spans="1:19" s="1" customFormat="1" x14ac:dyDescent="0.25">
      <c r="A1" s="1" t="s">
        <v>183</v>
      </c>
      <c r="B1" s="1" t="s">
        <v>216</v>
      </c>
      <c r="D1" s="1" t="s">
        <v>302</v>
      </c>
      <c r="F1" s="1" t="s">
        <v>229</v>
      </c>
      <c r="M1" s="42" t="s">
        <v>303</v>
      </c>
      <c r="N1" s="43"/>
      <c r="O1" s="43"/>
      <c r="P1" s="44"/>
      <c r="Q1" s="43"/>
      <c r="R1" s="43" t="s">
        <v>304</v>
      </c>
      <c r="S1" s="45">
        <f>MAX(J2:J27)</f>
        <v>-44.2</v>
      </c>
    </row>
    <row r="2" spans="1:19" x14ac:dyDescent="0.25">
      <c r="G2" s="1"/>
      <c r="H2" s="1" t="s">
        <v>175</v>
      </c>
      <c r="I2" s="1">
        <f>I3-7.5</f>
        <v>-7.5</v>
      </c>
      <c r="J2">
        <v>-68.900000000000006</v>
      </c>
      <c r="M2" s="46" t="s">
        <v>305</v>
      </c>
      <c r="N2" s="1"/>
      <c r="P2" s="12" t="s">
        <v>306</v>
      </c>
      <c r="S2" s="4"/>
    </row>
    <row r="3" spans="1:19" x14ac:dyDescent="0.25">
      <c r="A3" t="s">
        <v>5</v>
      </c>
      <c r="B3">
        <v>0</v>
      </c>
      <c r="C3">
        <v>0</v>
      </c>
      <c r="D3">
        <f>B3</f>
        <v>0</v>
      </c>
      <c r="E3">
        <f>C3-MAX(C3:C50)</f>
        <v>-68.900000000000006</v>
      </c>
      <c r="F3">
        <v>0</v>
      </c>
      <c r="G3">
        <f>E3</f>
        <v>-68.900000000000006</v>
      </c>
      <c r="H3" t="s">
        <v>103</v>
      </c>
      <c r="I3">
        <f>F3</f>
        <v>0</v>
      </c>
      <c r="J3">
        <f>G3</f>
        <v>-68.900000000000006</v>
      </c>
      <c r="M3" s="15">
        <f>I2</f>
        <v>-7.5</v>
      </c>
      <c r="N3">
        <f>J2-$S$1</f>
        <v>-24.700000000000003</v>
      </c>
      <c r="P3" s="12">
        <f>F3</f>
        <v>0</v>
      </c>
      <c r="Q3">
        <f>G3-$S$1</f>
        <v>-24.700000000000003</v>
      </c>
      <c r="S3" s="4"/>
    </row>
    <row r="4" spans="1:19" x14ac:dyDescent="0.25">
      <c r="A4" t="s">
        <v>6</v>
      </c>
      <c r="B4">
        <v>5</v>
      </c>
      <c r="C4">
        <v>0.4</v>
      </c>
      <c r="D4">
        <f t="shared" ref="D4:D50" si="0">B4</f>
        <v>5</v>
      </c>
      <c r="E4">
        <f>C4-MAX($C$4:$C$51)</f>
        <v>-68.5</v>
      </c>
      <c r="F4" s="31">
        <f>F3+(SQRT((D4-D3)^2-(E4-E3)^2))</f>
        <v>4.9839743177508442</v>
      </c>
      <c r="G4">
        <f t="shared" ref="G4:G50" si="1">E4</f>
        <v>-68.5</v>
      </c>
      <c r="H4" t="s">
        <v>104</v>
      </c>
      <c r="I4">
        <f t="shared" ref="I4:I26" si="2">F4</f>
        <v>4.9839743177508442</v>
      </c>
      <c r="J4">
        <f t="shared" ref="J4:J27" si="3">G4</f>
        <v>-68.5</v>
      </c>
      <c r="M4" s="15">
        <f t="shared" ref="M4:M28" si="4">I3</f>
        <v>0</v>
      </c>
      <c r="N4">
        <f t="shared" ref="N4:N28" si="5">J3-$S$1</f>
        <v>-24.700000000000003</v>
      </c>
      <c r="P4" s="12">
        <f t="shared" ref="P4:P50" si="6">F4</f>
        <v>4.9839743177508442</v>
      </c>
      <c r="Q4">
        <f t="shared" ref="Q4:Q50" si="7">G4-$S$1</f>
        <v>-24.299999999999997</v>
      </c>
      <c r="S4" s="4"/>
    </row>
    <row r="5" spans="1:19" x14ac:dyDescent="0.25">
      <c r="A5" t="s">
        <v>7</v>
      </c>
      <c r="B5">
        <v>10</v>
      </c>
      <c r="C5">
        <v>0.6</v>
      </c>
      <c r="D5">
        <f t="shared" si="0"/>
        <v>10</v>
      </c>
      <c r="E5">
        <f t="shared" ref="E5:E50" si="8">C5-MAX($C$4:$C$51)</f>
        <v>-68.300000000000011</v>
      </c>
      <c r="F5" s="31">
        <f t="shared" ref="F5:F50" si="9">F4+(SQRT((D5-D4)^2-(E5-E4)^2))</f>
        <v>9.9799727164695629</v>
      </c>
      <c r="G5">
        <f t="shared" si="1"/>
        <v>-68.300000000000011</v>
      </c>
      <c r="H5" t="s">
        <v>105</v>
      </c>
      <c r="I5">
        <f t="shared" si="2"/>
        <v>9.9799727164695629</v>
      </c>
      <c r="J5">
        <f t="shared" si="3"/>
        <v>-68.300000000000011</v>
      </c>
      <c r="M5" s="15">
        <f t="shared" si="4"/>
        <v>4.9839743177508442</v>
      </c>
      <c r="N5">
        <f t="shared" si="5"/>
        <v>-24.299999999999997</v>
      </c>
      <c r="P5" s="12">
        <f t="shared" si="6"/>
        <v>9.9799727164695629</v>
      </c>
      <c r="Q5">
        <f t="shared" si="7"/>
        <v>-24.100000000000009</v>
      </c>
      <c r="S5" s="4"/>
    </row>
    <row r="6" spans="1:19" x14ac:dyDescent="0.25">
      <c r="A6" t="s">
        <v>8</v>
      </c>
      <c r="B6">
        <v>15</v>
      </c>
      <c r="C6">
        <v>0.9</v>
      </c>
      <c r="D6">
        <f t="shared" si="0"/>
        <v>15</v>
      </c>
      <c r="E6">
        <f t="shared" si="8"/>
        <v>-68</v>
      </c>
      <c r="F6" s="31">
        <f t="shared" si="9"/>
        <v>14.970964601856675</v>
      </c>
      <c r="G6">
        <f t="shared" si="1"/>
        <v>-68</v>
      </c>
      <c r="H6" t="s">
        <v>106</v>
      </c>
      <c r="I6">
        <f t="shared" si="2"/>
        <v>14.970964601856675</v>
      </c>
      <c r="J6">
        <f t="shared" si="3"/>
        <v>-68</v>
      </c>
      <c r="M6" s="15">
        <f t="shared" si="4"/>
        <v>9.9799727164695629</v>
      </c>
      <c r="N6">
        <f t="shared" si="5"/>
        <v>-24.100000000000009</v>
      </c>
      <c r="P6" s="12">
        <f t="shared" si="6"/>
        <v>14.970964601856675</v>
      </c>
      <c r="Q6">
        <f t="shared" si="7"/>
        <v>-23.799999999999997</v>
      </c>
      <c r="S6" s="4"/>
    </row>
    <row r="7" spans="1:19" x14ac:dyDescent="0.25">
      <c r="A7" t="s">
        <v>9</v>
      </c>
      <c r="B7">
        <v>20</v>
      </c>
      <c r="C7">
        <v>1</v>
      </c>
      <c r="D7">
        <f t="shared" si="0"/>
        <v>20</v>
      </c>
      <c r="E7">
        <f t="shared" si="8"/>
        <v>-67.900000000000006</v>
      </c>
      <c r="F7" s="31">
        <f t="shared" si="9"/>
        <v>19.969964501836671</v>
      </c>
      <c r="G7">
        <f t="shared" si="1"/>
        <v>-67.900000000000006</v>
      </c>
      <c r="H7" t="s">
        <v>107</v>
      </c>
      <c r="I7">
        <f t="shared" si="2"/>
        <v>19.969964501836671</v>
      </c>
      <c r="J7">
        <f t="shared" si="3"/>
        <v>-67.900000000000006</v>
      </c>
      <c r="M7" s="15">
        <f t="shared" si="4"/>
        <v>14.970964601856675</v>
      </c>
      <c r="N7">
        <f t="shared" si="5"/>
        <v>-23.799999999999997</v>
      </c>
      <c r="P7" s="12">
        <f t="shared" si="6"/>
        <v>19.969964501836671</v>
      </c>
      <c r="Q7">
        <f t="shared" si="7"/>
        <v>-23.700000000000003</v>
      </c>
      <c r="S7" s="4"/>
    </row>
    <row r="8" spans="1:19" x14ac:dyDescent="0.25">
      <c r="A8" t="s">
        <v>10</v>
      </c>
      <c r="B8">
        <v>25</v>
      </c>
      <c r="C8">
        <v>1.5</v>
      </c>
      <c r="D8">
        <f t="shared" si="0"/>
        <v>25</v>
      </c>
      <c r="E8">
        <f t="shared" si="8"/>
        <v>-67.400000000000006</v>
      </c>
      <c r="F8" s="31">
        <f t="shared" si="9"/>
        <v>24.944901687369772</v>
      </c>
      <c r="G8">
        <f t="shared" si="1"/>
        <v>-67.400000000000006</v>
      </c>
      <c r="H8" t="s">
        <v>108</v>
      </c>
      <c r="I8">
        <f t="shared" si="2"/>
        <v>24.944901687369772</v>
      </c>
      <c r="J8">
        <f t="shared" si="3"/>
        <v>-67.400000000000006</v>
      </c>
      <c r="M8" s="15">
        <f t="shared" si="4"/>
        <v>19.969964501836671</v>
      </c>
      <c r="N8">
        <f t="shared" si="5"/>
        <v>-23.700000000000003</v>
      </c>
      <c r="P8" s="12">
        <f t="shared" si="6"/>
        <v>24.944901687369772</v>
      </c>
      <c r="Q8">
        <f t="shared" si="7"/>
        <v>-23.200000000000003</v>
      </c>
      <c r="S8" s="4"/>
    </row>
    <row r="9" spans="1:19" x14ac:dyDescent="0.25">
      <c r="A9" t="s">
        <v>11</v>
      </c>
      <c r="B9">
        <v>30</v>
      </c>
      <c r="C9">
        <v>2.1</v>
      </c>
      <c r="D9">
        <f t="shared" si="0"/>
        <v>30</v>
      </c>
      <c r="E9">
        <f t="shared" si="8"/>
        <v>-66.800000000000011</v>
      </c>
      <c r="F9" s="31">
        <f t="shared" si="9"/>
        <v>29.908771145766114</v>
      </c>
      <c r="G9">
        <f t="shared" si="1"/>
        <v>-66.800000000000011</v>
      </c>
      <c r="H9" t="s">
        <v>109</v>
      </c>
      <c r="I9">
        <f t="shared" si="2"/>
        <v>29.908771145766114</v>
      </c>
      <c r="J9">
        <f t="shared" si="3"/>
        <v>-66.800000000000011</v>
      </c>
      <c r="M9" s="15">
        <f t="shared" si="4"/>
        <v>24.944901687369772</v>
      </c>
      <c r="N9">
        <f t="shared" si="5"/>
        <v>-23.200000000000003</v>
      </c>
      <c r="P9" s="12">
        <f t="shared" si="6"/>
        <v>29.908771145766114</v>
      </c>
      <c r="Q9">
        <f t="shared" si="7"/>
        <v>-22.600000000000009</v>
      </c>
      <c r="S9" s="4"/>
    </row>
    <row r="10" spans="1:19" x14ac:dyDescent="0.25">
      <c r="A10" t="s">
        <v>12</v>
      </c>
      <c r="B10">
        <v>35</v>
      </c>
      <c r="C10">
        <v>2.5</v>
      </c>
      <c r="D10">
        <f t="shared" si="0"/>
        <v>35</v>
      </c>
      <c r="E10">
        <f t="shared" si="8"/>
        <v>-66.400000000000006</v>
      </c>
      <c r="F10" s="31">
        <f t="shared" si="9"/>
        <v>34.89274546351696</v>
      </c>
      <c r="G10">
        <f t="shared" si="1"/>
        <v>-66.400000000000006</v>
      </c>
      <c r="H10" t="s">
        <v>110</v>
      </c>
      <c r="I10">
        <f t="shared" si="2"/>
        <v>34.89274546351696</v>
      </c>
      <c r="J10">
        <f t="shared" si="3"/>
        <v>-66.400000000000006</v>
      </c>
      <c r="M10" s="15">
        <f t="shared" si="4"/>
        <v>29.908771145766114</v>
      </c>
      <c r="N10">
        <f t="shared" si="5"/>
        <v>-22.600000000000009</v>
      </c>
      <c r="P10" s="12">
        <f t="shared" si="6"/>
        <v>34.89274546351696</v>
      </c>
      <c r="Q10">
        <f t="shared" si="7"/>
        <v>-22.200000000000003</v>
      </c>
      <c r="S10" s="4"/>
    </row>
    <row r="11" spans="1:19" x14ac:dyDescent="0.25">
      <c r="A11" t="s">
        <v>13</v>
      </c>
      <c r="B11">
        <v>40</v>
      </c>
      <c r="C11">
        <v>3</v>
      </c>
      <c r="D11">
        <f t="shared" si="0"/>
        <v>40</v>
      </c>
      <c r="E11">
        <f t="shared" si="8"/>
        <v>-65.900000000000006</v>
      </c>
      <c r="F11" s="31">
        <f t="shared" si="9"/>
        <v>39.86768264905006</v>
      </c>
      <c r="G11">
        <f t="shared" si="1"/>
        <v>-65.900000000000006</v>
      </c>
      <c r="H11" t="s">
        <v>111</v>
      </c>
      <c r="I11">
        <f t="shared" si="2"/>
        <v>39.86768264905006</v>
      </c>
      <c r="J11">
        <f t="shared" si="3"/>
        <v>-65.900000000000006</v>
      </c>
      <c r="M11" s="15">
        <f t="shared" si="4"/>
        <v>34.89274546351696</v>
      </c>
      <c r="N11">
        <f t="shared" si="5"/>
        <v>-22.200000000000003</v>
      </c>
      <c r="P11" s="12">
        <f t="shared" si="6"/>
        <v>39.86768264905006</v>
      </c>
      <c r="Q11">
        <f t="shared" si="7"/>
        <v>-21.700000000000003</v>
      </c>
      <c r="S11" s="4"/>
    </row>
    <row r="12" spans="1:19" x14ac:dyDescent="0.25">
      <c r="A12" t="s">
        <v>14</v>
      </c>
      <c r="B12">
        <v>45</v>
      </c>
      <c r="C12">
        <v>3.9</v>
      </c>
      <c r="D12">
        <f t="shared" si="0"/>
        <v>45</v>
      </c>
      <c r="E12">
        <f t="shared" si="8"/>
        <v>-65</v>
      </c>
      <c r="F12" s="31">
        <f t="shared" si="9"/>
        <v>44.786015699993236</v>
      </c>
      <c r="G12">
        <f t="shared" si="1"/>
        <v>-65</v>
      </c>
      <c r="H12" t="s">
        <v>112</v>
      </c>
      <c r="I12">
        <f t="shared" si="2"/>
        <v>44.786015699993236</v>
      </c>
      <c r="J12">
        <f t="shared" si="3"/>
        <v>-65</v>
      </c>
      <c r="M12" s="15">
        <f t="shared" si="4"/>
        <v>39.86768264905006</v>
      </c>
      <c r="N12">
        <f t="shared" si="5"/>
        <v>-21.700000000000003</v>
      </c>
      <c r="P12" s="12">
        <f t="shared" si="6"/>
        <v>44.786015699993236</v>
      </c>
      <c r="Q12">
        <f t="shared" si="7"/>
        <v>-20.799999999999997</v>
      </c>
      <c r="S12" s="4"/>
    </row>
    <row r="13" spans="1:19" x14ac:dyDescent="0.25">
      <c r="A13" t="s">
        <v>15</v>
      </c>
      <c r="B13">
        <v>50</v>
      </c>
      <c r="C13">
        <v>4.5999999999999996</v>
      </c>
      <c r="D13">
        <f t="shared" si="0"/>
        <v>50</v>
      </c>
      <c r="E13">
        <f t="shared" si="8"/>
        <v>-64.300000000000011</v>
      </c>
      <c r="F13" s="31">
        <f t="shared" si="9"/>
        <v>49.736773217787864</v>
      </c>
      <c r="G13">
        <f t="shared" si="1"/>
        <v>-64.300000000000011</v>
      </c>
      <c r="H13" t="s">
        <v>113</v>
      </c>
      <c r="I13">
        <f t="shared" si="2"/>
        <v>49.736773217787864</v>
      </c>
      <c r="J13">
        <f t="shared" si="3"/>
        <v>-64.300000000000011</v>
      </c>
      <c r="M13" s="15">
        <f t="shared" si="4"/>
        <v>44.786015699993236</v>
      </c>
      <c r="N13">
        <f t="shared" si="5"/>
        <v>-20.799999999999997</v>
      </c>
      <c r="P13" s="12">
        <f t="shared" si="6"/>
        <v>49.736773217787864</v>
      </c>
      <c r="Q13">
        <f t="shared" si="7"/>
        <v>-20.100000000000009</v>
      </c>
      <c r="S13" s="4"/>
    </row>
    <row r="14" spans="1:19" x14ac:dyDescent="0.25">
      <c r="A14" t="s">
        <v>16</v>
      </c>
      <c r="B14">
        <v>55</v>
      </c>
      <c r="C14">
        <v>6.4</v>
      </c>
      <c r="D14">
        <f t="shared" si="0"/>
        <v>55</v>
      </c>
      <c r="E14">
        <f t="shared" si="8"/>
        <v>-62.500000000000007</v>
      </c>
      <c r="F14" s="31">
        <f t="shared" si="9"/>
        <v>54.4015347336641</v>
      </c>
      <c r="G14">
        <f t="shared" si="1"/>
        <v>-62.500000000000007</v>
      </c>
      <c r="H14" t="s">
        <v>114</v>
      </c>
      <c r="I14">
        <f t="shared" si="2"/>
        <v>54.4015347336641</v>
      </c>
      <c r="J14">
        <f t="shared" si="3"/>
        <v>-62.500000000000007</v>
      </c>
      <c r="M14" s="15">
        <f t="shared" si="4"/>
        <v>49.736773217787864</v>
      </c>
      <c r="N14">
        <f t="shared" si="5"/>
        <v>-20.100000000000009</v>
      </c>
      <c r="P14" s="12">
        <f t="shared" si="6"/>
        <v>54.4015347336641</v>
      </c>
      <c r="Q14">
        <f t="shared" si="7"/>
        <v>-18.300000000000004</v>
      </c>
      <c r="S14" s="4"/>
    </row>
    <row r="15" spans="1:19" x14ac:dyDescent="0.25">
      <c r="A15" t="s">
        <v>17</v>
      </c>
      <c r="B15">
        <v>60</v>
      </c>
      <c r="C15">
        <v>8.1999999999999993</v>
      </c>
      <c r="D15">
        <f t="shared" si="0"/>
        <v>60</v>
      </c>
      <c r="E15">
        <f t="shared" si="8"/>
        <v>-60.7</v>
      </c>
      <c r="F15" s="31">
        <f t="shared" si="9"/>
        <v>59.066296249540336</v>
      </c>
      <c r="G15">
        <f t="shared" si="1"/>
        <v>-60.7</v>
      </c>
      <c r="H15" t="s">
        <v>115</v>
      </c>
      <c r="I15">
        <f t="shared" si="2"/>
        <v>59.066296249540336</v>
      </c>
      <c r="J15">
        <f t="shared" si="3"/>
        <v>-60.7</v>
      </c>
      <c r="M15" s="15">
        <f t="shared" si="4"/>
        <v>54.4015347336641</v>
      </c>
      <c r="N15">
        <f t="shared" si="5"/>
        <v>-18.300000000000004</v>
      </c>
      <c r="P15" s="12">
        <f t="shared" si="6"/>
        <v>59.066296249540336</v>
      </c>
      <c r="Q15">
        <f t="shared" si="7"/>
        <v>-16.5</v>
      </c>
      <c r="S15" s="4"/>
    </row>
    <row r="16" spans="1:19" x14ac:dyDescent="0.25">
      <c r="A16" t="s">
        <v>18</v>
      </c>
      <c r="B16">
        <v>65</v>
      </c>
      <c r="C16">
        <v>9.3000000000000007</v>
      </c>
      <c r="D16">
        <f t="shared" si="0"/>
        <v>65</v>
      </c>
      <c r="E16">
        <f t="shared" si="8"/>
        <v>-59.600000000000009</v>
      </c>
      <c r="F16" s="31">
        <f t="shared" si="9"/>
        <v>63.943795608843217</v>
      </c>
      <c r="G16">
        <f t="shared" si="1"/>
        <v>-59.600000000000009</v>
      </c>
      <c r="H16" t="s">
        <v>116</v>
      </c>
      <c r="I16">
        <f t="shared" si="2"/>
        <v>63.943795608843217</v>
      </c>
      <c r="J16">
        <f t="shared" si="3"/>
        <v>-59.600000000000009</v>
      </c>
      <c r="M16" s="15">
        <f t="shared" si="4"/>
        <v>59.066296249540336</v>
      </c>
      <c r="N16">
        <f t="shared" si="5"/>
        <v>-16.5</v>
      </c>
      <c r="P16" s="12">
        <f t="shared" si="6"/>
        <v>63.943795608843217</v>
      </c>
      <c r="Q16">
        <f t="shared" si="7"/>
        <v>-15.400000000000006</v>
      </c>
      <c r="S16" s="4"/>
    </row>
    <row r="17" spans="1:19" x14ac:dyDescent="0.25">
      <c r="A17" t="s">
        <v>19</v>
      </c>
      <c r="B17">
        <v>70</v>
      </c>
      <c r="C17">
        <v>10.4</v>
      </c>
      <c r="D17">
        <f t="shared" si="0"/>
        <v>70</v>
      </c>
      <c r="E17">
        <f t="shared" si="8"/>
        <v>-58.500000000000007</v>
      </c>
      <c r="F17" s="31">
        <f t="shared" si="9"/>
        <v>68.821294968146091</v>
      </c>
      <c r="G17">
        <f t="shared" si="1"/>
        <v>-58.500000000000007</v>
      </c>
      <c r="H17" t="s">
        <v>117</v>
      </c>
      <c r="I17">
        <f t="shared" si="2"/>
        <v>68.821294968146091</v>
      </c>
      <c r="J17">
        <f t="shared" si="3"/>
        <v>-58.500000000000007</v>
      </c>
      <c r="M17" s="15">
        <f t="shared" si="4"/>
        <v>63.943795608843217</v>
      </c>
      <c r="N17">
        <f t="shared" si="5"/>
        <v>-15.400000000000006</v>
      </c>
      <c r="P17" s="12">
        <f t="shared" si="6"/>
        <v>68.821294968146091</v>
      </c>
      <c r="Q17">
        <f t="shared" si="7"/>
        <v>-14.300000000000004</v>
      </c>
      <c r="S17" s="4"/>
    </row>
    <row r="18" spans="1:19" x14ac:dyDescent="0.25">
      <c r="A18" t="s">
        <v>20</v>
      </c>
      <c r="B18">
        <v>75</v>
      </c>
      <c r="C18">
        <v>11.6</v>
      </c>
      <c r="D18">
        <f t="shared" si="0"/>
        <v>75</v>
      </c>
      <c r="E18">
        <f t="shared" si="8"/>
        <v>-57.300000000000004</v>
      </c>
      <c r="F18" s="31">
        <f t="shared" si="9"/>
        <v>73.67515940795073</v>
      </c>
      <c r="G18">
        <f t="shared" si="1"/>
        <v>-57.300000000000004</v>
      </c>
      <c r="H18" t="s">
        <v>118</v>
      </c>
      <c r="I18">
        <f t="shared" si="2"/>
        <v>73.67515940795073</v>
      </c>
      <c r="J18">
        <f t="shared" si="3"/>
        <v>-57.300000000000004</v>
      </c>
      <c r="M18" s="15">
        <f t="shared" si="4"/>
        <v>68.821294968146091</v>
      </c>
      <c r="N18">
        <f t="shared" si="5"/>
        <v>-14.300000000000004</v>
      </c>
      <c r="P18" s="12">
        <f t="shared" si="6"/>
        <v>73.67515940795073</v>
      </c>
      <c r="Q18">
        <f t="shared" si="7"/>
        <v>-13.100000000000001</v>
      </c>
      <c r="S18" s="4"/>
    </row>
    <row r="19" spans="1:19" x14ac:dyDescent="0.25">
      <c r="A19" t="s">
        <v>21</v>
      </c>
      <c r="B19">
        <v>80</v>
      </c>
      <c r="C19">
        <v>13.1</v>
      </c>
      <c r="D19">
        <f t="shared" si="0"/>
        <v>80</v>
      </c>
      <c r="E19">
        <f t="shared" si="8"/>
        <v>-55.800000000000004</v>
      </c>
      <c r="F19" s="31">
        <f t="shared" si="9"/>
        <v>78.444855415035462</v>
      </c>
      <c r="G19">
        <f t="shared" si="1"/>
        <v>-55.800000000000004</v>
      </c>
      <c r="H19" t="s">
        <v>119</v>
      </c>
      <c r="I19">
        <f t="shared" si="2"/>
        <v>78.444855415035462</v>
      </c>
      <c r="J19">
        <f t="shared" si="3"/>
        <v>-55.800000000000004</v>
      </c>
      <c r="M19" s="15">
        <f t="shared" si="4"/>
        <v>73.67515940795073</v>
      </c>
      <c r="N19">
        <f t="shared" si="5"/>
        <v>-13.100000000000001</v>
      </c>
      <c r="P19" s="12">
        <f t="shared" si="6"/>
        <v>78.444855415035462</v>
      </c>
      <c r="Q19">
        <f t="shared" si="7"/>
        <v>-11.600000000000001</v>
      </c>
      <c r="S19" s="4"/>
    </row>
    <row r="20" spans="1:19" x14ac:dyDescent="0.25">
      <c r="A20" t="s">
        <v>22</v>
      </c>
      <c r="B20">
        <v>85</v>
      </c>
      <c r="C20">
        <v>14.6</v>
      </c>
      <c r="D20">
        <f t="shared" si="0"/>
        <v>85</v>
      </c>
      <c r="E20">
        <f t="shared" si="8"/>
        <v>-54.300000000000004</v>
      </c>
      <c r="F20" s="31">
        <f t="shared" si="9"/>
        <v>83.214551422120195</v>
      </c>
      <c r="G20">
        <f t="shared" si="1"/>
        <v>-54.300000000000004</v>
      </c>
      <c r="H20" t="s">
        <v>120</v>
      </c>
      <c r="I20">
        <f t="shared" si="2"/>
        <v>83.214551422120195</v>
      </c>
      <c r="J20">
        <f t="shared" si="3"/>
        <v>-54.300000000000004</v>
      </c>
      <c r="M20" s="15">
        <f t="shared" si="4"/>
        <v>78.444855415035462</v>
      </c>
      <c r="N20">
        <f t="shared" si="5"/>
        <v>-11.600000000000001</v>
      </c>
      <c r="P20" s="12">
        <f t="shared" si="6"/>
        <v>83.214551422120195</v>
      </c>
      <c r="Q20">
        <f t="shared" si="7"/>
        <v>-10.100000000000001</v>
      </c>
      <c r="S20" s="4"/>
    </row>
    <row r="21" spans="1:19" x14ac:dyDescent="0.25">
      <c r="A21" t="s">
        <v>23</v>
      </c>
      <c r="B21">
        <v>90</v>
      </c>
      <c r="C21">
        <v>16.100000000000001</v>
      </c>
      <c r="D21">
        <f t="shared" si="0"/>
        <v>90</v>
      </c>
      <c r="E21">
        <f t="shared" si="8"/>
        <v>-52.800000000000004</v>
      </c>
      <c r="F21" s="31">
        <f t="shared" si="9"/>
        <v>87.984247429204927</v>
      </c>
      <c r="G21">
        <f t="shared" si="1"/>
        <v>-52.800000000000004</v>
      </c>
      <c r="H21" t="s">
        <v>121</v>
      </c>
      <c r="I21">
        <f t="shared" si="2"/>
        <v>87.984247429204927</v>
      </c>
      <c r="J21">
        <f t="shared" si="3"/>
        <v>-52.800000000000004</v>
      </c>
      <c r="M21" s="15">
        <f t="shared" si="4"/>
        <v>83.214551422120195</v>
      </c>
      <c r="N21">
        <f t="shared" si="5"/>
        <v>-10.100000000000001</v>
      </c>
      <c r="P21" s="12">
        <f t="shared" si="6"/>
        <v>87.984247429204927</v>
      </c>
      <c r="Q21">
        <f t="shared" si="7"/>
        <v>-8.6000000000000014</v>
      </c>
      <c r="S21" s="4"/>
    </row>
    <row r="22" spans="1:19" x14ac:dyDescent="0.25">
      <c r="A22" t="s">
        <v>24</v>
      </c>
      <c r="B22">
        <v>95</v>
      </c>
      <c r="C22">
        <v>17.5</v>
      </c>
      <c r="D22">
        <f t="shared" si="0"/>
        <v>95</v>
      </c>
      <c r="E22">
        <f t="shared" si="8"/>
        <v>-51.400000000000006</v>
      </c>
      <c r="F22" s="31">
        <f t="shared" si="9"/>
        <v>92.784247429204925</v>
      </c>
      <c r="G22">
        <f t="shared" si="1"/>
        <v>-51.400000000000006</v>
      </c>
      <c r="H22" t="s">
        <v>122</v>
      </c>
      <c r="I22">
        <f t="shared" si="2"/>
        <v>92.784247429204925</v>
      </c>
      <c r="J22">
        <f t="shared" si="3"/>
        <v>-51.400000000000006</v>
      </c>
      <c r="M22" s="15">
        <f t="shared" si="4"/>
        <v>87.984247429204927</v>
      </c>
      <c r="N22">
        <f t="shared" si="5"/>
        <v>-8.6000000000000014</v>
      </c>
      <c r="P22" s="12">
        <f t="shared" si="6"/>
        <v>92.784247429204925</v>
      </c>
      <c r="Q22">
        <f t="shared" si="7"/>
        <v>-7.2000000000000028</v>
      </c>
      <c r="S22" s="4"/>
    </row>
    <row r="23" spans="1:19" x14ac:dyDescent="0.25">
      <c r="A23" t="s">
        <v>25</v>
      </c>
      <c r="B23">
        <v>100</v>
      </c>
      <c r="C23">
        <v>19.100000000000001</v>
      </c>
      <c r="D23">
        <f t="shared" si="0"/>
        <v>100</v>
      </c>
      <c r="E23">
        <f t="shared" si="8"/>
        <v>-49.800000000000004</v>
      </c>
      <c r="F23" s="31">
        <f t="shared" si="9"/>
        <v>97.521335142135726</v>
      </c>
      <c r="G23">
        <f t="shared" si="1"/>
        <v>-49.800000000000004</v>
      </c>
      <c r="H23" t="s">
        <v>123</v>
      </c>
      <c r="I23">
        <f t="shared" si="2"/>
        <v>97.521335142135726</v>
      </c>
      <c r="J23">
        <f t="shared" si="3"/>
        <v>-49.800000000000004</v>
      </c>
      <c r="M23" s="15">
        <f t="shared" si="4"/>
        <v>92.784247429204925</v>
      </c>
      <c r="N23">
        <f t="shared" si="5"/>
        <v>-7.2000000000000028</v>
      </c>
      <c r="P23" s="12">
        <f t="shared" si="6"/>
        <v>97.521335142135726</v>
      </c>
      <c r="Q23">
        <f t="shared" si="7"/>
        <v>-5.6000000000000014</v>
      </c>
      <c r="S23" s="4"/>
    </row>
    <row r="24" spans="1:19" x14ac:dyDescent="0.25">
      <c r="A24" t="s">
        <v>26</v>
      </c>
      <c r="B24">
        <v>105</v>
      </c>
      <c r="C24">
        <v>20.6</v>
      </c>
      <c r="D24">
        <f t="shared" si="0"/>
        <v>105</v>
      </c>
      <c r="E24">
        <f t="shared" si="8"/>
        <v>-48.300000000000004</v>
      </c>
      <c r="F24" s="31">
        <f t="shared" si="9"/>
        <v>102.29103114922046</v>
      </c>
      <c r="G24">
        <f t="shared" si="1"/>
        <v>-48.300000000000004</v>
      </c>
      <c r="H24" t="s">
        <v>124</v>
      </c>
      <c r="I24">
        <f t="shared" si="2"/>
        <v>102.29103114922046</v>
      </c>
      <c r="J24">
        <f t="shared" si="3"/>
        <v>-48.300000000000004</v>
      </c>
      <c r="M24" s="15">
        <f t="shared" si="4"/>
        <v>97.521335142135726</v>
      </c>
      <c r="N24">
        <f t="shared" si="5"/>
        <v>-5.6000000000000014</v>
      </c>
      <c r="P24" s="12">
        <f t="shared" si="6"/>
        <v>102.29103114922046</v>
      </c>
      <c r="Q24">
        <f t="shared" si="7"/>
        <v>-4.1000000000000014</v>
      </c>
      <c r="S24" s="4"/>
    </row>
    <row r="25" spans="1:19" x14ac:dyDescent="0.25">
      <c r="A25" t="s">
        <v>27</v>
      </c>
      <c r="B25">
        <v>110</v>
      </c>
      <c r="C25">
        <v>22.1</v>
      </c>
      <c r="D25">
        <f t="shared" si="0"/>
        <v>110</v>
      </c>
      <c r="E25">
        <f t="shared" si="8"/>
        <v>-46.800000000000004</v>
      </c>
      <c r="F25" s="31">
        <f t="shared" si="9"/>
        <v>107.06072715630519</v>
      </c>
      <c r="G25">
        <f t="shared" si="1"/>
        <v>-46.800000000000004</v>
      </c>
      <c r="H25" t="s">
        <v>125</v>
      </c>
      <c r="I25">
        <f t="shared" si="2"/>
        <v>107.06072715630519</v>
      </c>
      <c r="J25">
        <f t="shared" si="3"/>
        <v>-46.800000000000004</v>
      </c>
      <c r="M25" s="15">
        <f t="shared" si="4"/>
        <v>102.29103114922046</v>
      </c>
      <c r="N25">
        <f t="shared" si="5"/>
        <v>-4.1000000000000014</v>
      </c>
      <c r="P25" s="12">
        <f t="shared" si="6"/>
        <v>107.06072715630519</v>
      </c>
      <c r="Q25">
        <f t="shared" si="7"/>
        <v>-2.6000000000000014</v>
      </c>
      <c r="S25" s="4"/>
    </row>
    <row r="26" spans="1:19" x14ac:dyDescent="0.25">
      <c r="A26" t="s">
        <v>28</v>
      </c>
      <c r="B26">
        <v>115</v>
      </c>
      <c r="C26">
        <v>23.5</v>
      </c>
      <c r="D26">
        <f t="shared" si="0"/>
        <v>115</v>
      </c>
      <c r="E26">
        <f t="shared" si="8"/>
        <v>-45.400000000000006</v>
      </c>
      <c r="F26" s="31">
        <f t="shared" si="9"/>
        <v>111.86072715630519</v>
      </c>
      <c r="G26">
        <f t="shared" si="1"/>
        <v>-45.400000000000006</v>
      </c>
      <c r="H26" t="s">
        <v>126</v>
      </c>
      <c r="I26">
        <f t="shared" si="2"/>
        <v>111.86072715630519</v>
      </c>
      <c r="J26">
        <f t="shared" si="3"/>
        <v>-45.400000000000006</v>
      </c>
      <c r="M26" s="15">
        <f t="shared" si="4"/>
        <v>107.06072715630519</v>
      </c>
      <c r="N26">
        <f t="shared" si="5"/>
        <v>-2.6000000000000014</v>
      </c>
      <c r="P26" s="12">
        <f t="shared" si="6"/>
        <v>111.86072715630519</v>
      </c>
      <c r="Q26">
        <f t="shared" si="7"/>
        <v>-1.2000000000000028</v>
      </c>
      <c r="S26" s="4"/>
    </row>
    <row r="27" spans="1:19" x14ac:dyDescent="0.25">
      <c r="A27" t="s">
        <v>29</v>
      </c>
      <c r="B27">
        <v>120</v>
      </c>
      <c r="C27">
        <v>24.7</v>
      </c>
      <c r="D27">
        <f t="shared" si="0"/>
        <v>120</v>
      </c>
      <c r="E27">
        <f t="shared" si="8"/>
        <v>-44.2</v>
      </c>
      <c r="F27" s="31">
        <f t="shared" si="9"/>
        <v>116.71459159610983</v>
      </c>
      <c r="G27">
        <f t="shared" si="1"/>
        <v>-44.2</v>
      </c>
      <c r="H27" s="1" t="s">
        <v>175</v>
      </c>
      <c r="I27">
        <f>I26+7.5</f>
        <v>119.36072715630519</v>
      </c>
      <c r="J27">
        <f t="shared" si="3"/>
        <v>-44.2</v>
      </c>
      <c r="M27" s="15">
        <f t="shared" si="4"/>
        <v>111.86072715630519</v>
      </c>
      <c r="N27">
        <f t="shared" si="5"/>
        <v>-1.2000000000000028</v>
      </c>
      <c r="P27" s="12">
        <f t="shared" si="6"/>
        <v>116.71459159610983</v>
      </c>
      <c r="Q27">
        <f t="shared" si="7"/>
        <v>0</v>
      </c>
      <c r="S27" s="4"/>
    </row>
    <row r="28" spans="1:19" x14ac:dyDescent="0.25">
      <c r="A28" t="s">
        <v>30</v>
      </c>
      <c r="B28">
        <v>125</v>
      </c>
      <c r="C28">
        <v>26.1</v>
      </c>
      <c r="D28">
        <f t="shared" si="0"/>
        <v>125</v>
      </c>
      <c r="E28">
        <f t="shared" si="8"/>
        <v>-42.800000000000004</v>
      </c>
      <c r="F28" s="31">
        <f t="shared" si="9"/>
        <v>121.51459159610982</v>
      </c>
      <c r="G28">
        <f t="shared" si="1"/>
        <v>-42.800000000000004</v>
      </c>
      <c r="M28" s="15">
        <f t="shared" si="4"/>
        <v>119.36072715630519</v>
      </c>
      <c r="N28">
        <f t="shared" si="5"/>
        <v>0</v>
      </c>
      <c r="P28" s="12">
        <f t="shared" si="6"/>
        <v>121.51459159610982</v>
      </c>
      <c r="Q28">
        <f t="shared" si="7"/>
        <v>1.3999999999999986</v>
      </c>
      <c r="S28" s="4"/>
    </row>
    <row r="29" spans="1:19" x14ac:dyDescent="0.25">
      <c r="A29" t="s">
        <v>31</v>
      </c>
      <c r="B29">
        <v>130</v>
      </c>
      <c r="C29">
        <v>27.8</v>
      </c>
      <c r="D29">
        <f t="shared" si="0"/>
        <v>130</v>
      </c>
      <c r="E29">
        <f t="shared" si="8"/>
        <v>-41.100000000000009</v>
      </c>
      <c r="F29" s="31">
        <f t="shared" si="9"/>
        <v>126.21671877431332</v>
      </c>
      <c r="G29">
        <f t="shared" si="1"/>
        <v>-41.100000000000009</v>
      </c>
      <c r="M29" s="15"/>
      <c r="P29" s="12">
        <f t="shared" si="6"/>
        <v>126.21671877431332</v>
      </c>
      <c r="Q29">
        <f t="shared" si="7"/>
        <v>3.0999999999999943</v>
      </c>
      <c r="S29" s="4"/>
    </row>
    <row r="30" spans="1:19" x14ac:dyDescent="0.25">
      <c r="A30" t="s">
        <v>32</v>
      </c>
      <c r="B30">
        <v>135</v>
      </c>
      <c r="C30">
        <v>29.7</v>
      </c>
      <c r="D30">
        <f t="shared" si="0"/>
        <v>135</v>
      </c>
      <c r="E30">
        <f t="shared" si="8"/>
        <v>-39.200000000000003</v>
      </c>
      <c r="F30" s="31">
        <f t="shared" si="9"/>
        <v>130.84165120625218</v>
      </c>
      <c r="G30">
        <f t="shared" si="1"/>
        <v>-39.200000000000003</v>
      </c>
      <c r="M30" s="15"/>
      <c r="P30" s="12">
        <f t="shared" si="6"/>
        <v>130.84165120625218</v>
      </c>
      <c r="Q30">
        <f t="shared" si="7"/>
        <v>5</v>
      </c>
      <c r="S30" s="4"/>
    </row>
    <row r="31" spans="1:19" x14ac:dyDescent="0.25">
      <c r="A31" t="s">
        <v>33</v>
      </c>
      <c r="B31">
        <v>140</v>
      </c>
      <c r="C31">
        <v>31.6</v>
      </c>
      <c r="D31">
        <f t="shared" si="0"/>
        <v>140</v>
      </c>
      <c r="E31">
        <f t="shared" si="8"/>
        <v>-37.300000000000004</v>
      </c>
      <c r="F31" s="31">
        <f t="shared" si="9"/>
        <v>135.46658363819105</v>
      </c>
      <c r="G31">
        <f t="shared" si="1"/>
        <v>-37.300000000000004</v>
      </c>
      <c r="M31" s="15"/>
      <c r="P31" s="12">
        <f t="shared" si="6"/>
        <v>135.46658363819105</v>
      </c>
      <c r="Q31">
        <f t="shared" si="7"/>
        <v>6.8999999999999986</v>
      </c>
      <c r="S31" s="4"/>
    </row>
    <row r="32" spans="1:19" x14ac:dyDescent="0.25">
      <c r="A32" t="s">
        <v>34</v>
      </c>
      <c r="B32">
        <v>145</v>
      </c>
      <c r="C32">
        <v>33.299999999999997</v>
      </c>
      <c r="D32">
        <f t="shared" si="0"/>
        <v>145</v>
      </c>
      <c r="E32">
        <f t="shared" si="8"/>
        <v>-35.600000000000009</v>
      </c>
      <c r="F32" s="31">
        <f t="shared" si="9"/>
        <v>140.16871081639457</v>
      </c>
      <c r="G32">
        <f t="shared" si="1"/>
        <v>-35.600000000000009</v>
      </c>
      <c r="M32" s="15"/>
      <c r="P32" s="12">
        <f t="shared" si="6"/>
        <v>140.16871081639457</v>
      </c>
      <c r="Q32">
        <f t="shared" si="7"/>
        <v>8.5999999999999943</v>
      </c>
      <c r="S32" s="4"/>
    </row>
    <row r="33" spans="1:19" x14ac:dyDescent="0.25">
      <c r="A33" t="s">
        <v>35</v>
      </c>
      <c r="B33">
        <v>150</v>
      </c>
      <c r="C33">
        <v>34.700000000000003</v>
      </c>
      <c r="D33">
        <f t="shared" si="0"/>
        <v>150</v>
      </c>
      <c r="E33">
        <f t="shared" si="8"/>
        <v>-34.200000000000003</v>
      </c>
      <c r="F33" s="31">
        <f t="shared" si="9"/>
        <v>144.96871081639458</v>
      </c>
      <c r="G33">
        <f t="shared" si="1"/>
        <v>-34.200000000000003</v>
      </c>
      <c r="M33" s="15"/>
      <c r="P33" s="12">
        <f t="shared" si="6"/>
        <v>144.96871081639458</v>
      </c>
      <c r="Q33">
        <f t="shared" si="7"/>
        <v>10</v>
      </c>
      <c r="S33" s="4"/>
    </row>
    <row r="34" spans="1:19" x14ac:dyDescent="0.25">
      <c r="A34" t="s">
        <v>36</v>
      </c>
      <c r="B34">
        <v>155</v>
      </c>
      <c r="C34">
        <v>36.200000000000003</v>
      </c>
      <c r="D34">
        <f t="shared" si="0"/>
        <v>155</v>
      </c>
      <c r="E34">
        <f t="shared" si="8"/>
        <v>-32.700000000000003</v>
      </c>
      <c r="F34" s="31">
        <f t="shared" si="9"/>
        <v>149.73840682347929</v>
      </c>
      <c r="G34">
        <f t="shared" si="1"/>
        <v>-32.700000000000003</v>
      </c>
      <c r="M34" s="15"/>
      <c r="P34" s="12">
        <f t="shared" si="6"/>
        <v>149.73840682347929</v>
      </c>
      <c r="Q34">
        <f t="shared" si="7"/>
        <v>11.5</v>
      </c>
      <c r="S34" s="4"/>
    </row>
    <row r="35" spans="1:19" x14ac:dyDescent="0.25">
      <c r="A35" t="s">
        <v>37</v>
      </c>
      <c r="B35">
        <v>160</v>
      </c>
      <c r="C35">
        <v>37.6</v>
      </c>
      <c r="D35">
        <f t="shared" si="0"/>
        <v>160</v>
      </c>
      <c r="E35">
        <f t="shared" si="8"/>
        <v>-31.300000000000004</v>
      </c>
      <c r="F35" s="31">
        <f t="shared" si="9"/>
        <v>154.53840682347931</v>
      </c>
      <c r="G35">
        <f t="shared" si="1"/>
        <v>-31.300000000000004</v>
      </c>
      <c r="M35" s="15"/>
      <c r="P35" s="12">
        <f t="shared" si="6"/>
        <v>154.53840682347931</v>
      </c>
      <c r="Q35">
        <f t="shared" si="7"/>
        <v>12.899999999999999</v>
      </c>
      <c r="S35" s="4"/>
    </row>
    <row r="36" spans="1:19" x14ac:dyDescent="0.25">
      <c r="A36" t="s">
        <v>38</v>
      </c>
      <c r="B36">
        <v>165</v>
      </c>
      <c r="C36">
        <v>39.299999999999997</v>
      </c>
      <c r="D36">
        <f t="shared" si="0"/>
        <v>165</v>
      </c>
      <c r="E36">
        <f t="shared" si="8"/>
        <v>-29.600000000000009</v>
      </c>
      <c r="F36" s="31">
        <f t="shared" si="9"/>
        <v>159.24053400168282</v>
      </c>
      <c r="G36">
        <f t="shared" si="1"/>
        <v>-29.600000000000009</v>
      </c>
      <c r="M36" s="15"/>
      <c r="P36" s="12">
        <f t="shared" si="6"/>
        <v>159.24053400168282</v>
      </c>
      <c r="Q36">
        <f t="shared" si="7"/>
        <v>14.599999999999994</v>
      </c>
      <c r="S36" s="4"/>
    </row>
    <row r="37" spans="1:19" x14ac:dyDescent="0.25">
      <c r="A37" t="s">
        <v>39</v>
      </c>
      <c r="B37">
        <v>170</v>
      </c>
      <c r="C37">
        <v>40.799999999999997</v>
      </c>
      <c r="D37">
        <f t="shared" si="0"/>
        <v>170</v>
      </c>
      <c r="E37">
        <f t="shared" si="8"/>
        <v>-28.100000000000009</v>
      </c>
      <c r="F37" s="31">
        <f t="shared" si="9"/>
        <v>164.01023000876754</v>
      </c>
      <c r="G37">
        <f t="shared" si="1"/>
        <v>-28.100000000000009</v>
      </c>
      <c r="M37" s="15"/>
      <c r="P37" s="12">
        <f t="shared" si="6"/>
        <v>164.01023000876754</v>
      </c>
      <c r="Q37">
        <f t="shared" si="7"/>
        <v>16.099999999999994</v>
      </c>
      <c r="S37" s="4"/>
    </row>
    <row r="38" spans="1:19" x14ac:dyDescent="0.25">
      <c r="A38" t="s">
        <v>40</v>
      </c>
      <c r="B38">
        <v>175</v>
      </c>
      <c r="C38">
        <v>42.7</v>
      </c>
      <c r="D38">
        <f t="shared" si="0"/>
        <v>175</v>
      </c>
      <c r="E38">
        <f t="shared" si="8"/>
        <v>-26.200000000000003</v>
      </c>
      <c r="F38" s="31">
        <f t="shared" si="9"/>
        <v>168.63516244070641</v>
      </c>
      <c r="G38">
        <f t="shared" si="1"/>
        <v>-26.200000000000003</v>
      </c>
      <c r="M38" s="15"/>
      <c r="P38" s="12">
        <f t="shared" si="6"/>
        <v>168.63516244070641</v>
      </c>
      <c r="Q38">
        <f t="shared" si="7"/>
        <v>18</v>
      </c>
      <c r="S38" s="4"/>
    </row>
    <row r="39" spans="1:19" x14ac:dyDescent="0.25">
      <c r="A39" t="s">
        <v>41</v>
      </c>
      <c r="B39">
        <v>180</v>
      </c>
      <c r="C39">
        <v>44.6</v>
      </c>
      <c r="D39">
        <f t="shared" si="0"/>
        <v>180</v>
      </c>
      <c r="E39">
        <f t="shared" si="8"/>
        <v>-24.300000000000004</v>
      </c>
      <c r="F39" s="31">
        <f t="shared" si="9"/>
        <v>173.26009487264528</v>
      </c>
      <c r="G39">
        <f t="shared" si="1"/>
        <v>-24.300000000000004</v>
      </c>
      <c r="M39" s="15"/>
      <c r="P39" s="12">
        <f t="shared" si="6"/>
        <v>173.26009487264528</v>
      </c>
      <c r="Q39">
        <f t="shared" si="7"/>
        <v>19.899999999999999</v>
      </c>
      <c r="S39" s="4"/>
    </row>
    <row r="40" spans="1:19" x14ac:dyDescent="0.25">
      <c r="A40" t="s">
        <v>42</v>
      </c>
      <c r="B40">
        <v>185</v>
      </c>
      <c r="C40">
        <v>46.3</v>
      </c>
      <c r="D40">
        <f t="shared" si="0"/>
        <v>185</v>
      </c>
      <c r="E40">
        <f t="shared" si="8"/>
        <v>-22.600000000000009</v>
      </c>
      <c r="F40" s="31">
        <f t="shared" si="9"/>
        <v>177.96222205084879</v>
      </c>
      <c r="G40">
        <f t="shared" si="1"/>
        <v>-22.600000000000009</v>
      </c>
      <c r="M40" s="15"/>
      <c r="P40" s="12">
        <f t="shared" si="6"/>
        <v>177.96222205084879</v>
      </c>
      <c r="Q40">
        <f t="shared" si="7"/>
        <v>21.599999999999994</v>
      </c>
      <c r="S40" s="4"/>
    </row>
    <row r="41" spans="1:19" x14ac:dyDescent="0.25">
      <c r="A41" t="s">
        <v>43</v>
      </c>
      <c r="B41">
        <v>190</v>
      </c>
      <c r="C41">
        <v>48</v>
      </c>
      <c r="D41">
        <f t="shared" si="0"/>
        <v>190</v>
      </c>
      <c r="E41">
        <f t="shared" si="8"/>
        <v>-20.900000000000006</v>
      </c>
      <c r="F41" s="31">
        <f t="shared" si="9"/>
        <v>182.66434922905231</v>
      </c>
      <c r="G41">
        <f t="shared" si="1"/>
        <v>-20.900000000000006</v>
      </c>
      <c r="M41" s="15"/>
      <c r="P41" s="12">
        <f t="shared" si="6"/>
        <v>182.66434922905231</v>
      </c>
      <c r="Q41">
        <f t="shared" si="7"/>
        <v>23.299999999999997</v>
      </c>
      <c r="S41" s="4"/>
    </row>
    <row r="42" spans="1:19" x14ac:dyDescent="0.25">
      <c r="A42" t="s">
        <v>44</v>
      </c>
      <c r="B42">
        <v>195</v>
      </c>
      <c r="C42">
        <v>50</v>
      </c>
      <c r="D42">
        <f t="shared" si="0"/>
        <v>195</v>
      </c>
      <c r="E42">
        <f t="shared" si="8"/>
        <v>-18.900000000000006</v>
      </c>
      <c r="F42" s="31">
        <f t="shared" si="9"/>
        <v>187.24692492400814</v>
      </c>
      <c r="G42">
        <f t="shared" si="1"/>
        <v>-18.900000000000006</v>
      </c>
      <c r="M42" s="15"/>
      <c r="P42" s="12">
        <f t="shared" si="6"/>
        <v>187.24692492400814</v>
      </c>
      <c r="Q42">
        <f t="shared" si="7"/>
        <v>25.299999999999997</v>
      </c>
      <c r="S42" s="4"/>
    </row>
    <row r="43" spans="1:19" x14ac:dyDescent="0.25">
      <c r="A43" t="s">
        <v>45</v>
      </c>
      <c r="B43">
        <v>200</v>
      </c>
      <c r="C43">
        <v>52</v>
      </c>
      <c r="D43">
        <f t="shared" si="0"/>
        <v>200</v>
      </c>
      <c r="E43">
        <f t="shared" si="8"/>
        <v>-16.900000000000006</v>
      </c>
      <c r="F43" s="31">
        <f t="shared" si="9"/>
        <v>191.82950061896398</v>
      </c>
      <c r="G43">
        <f t="shared" si="1"/>
        <v>-16.900000000000006</v>
      </c>
      <c r="M43" s="15"/>
      <c r="P43" s="12">
        <f t="shared" si="6"/>
        <v>191.82950061896398</v>
      </c>
      <c r="Q43">
        <f t="shared" si="7"/>
        <v>27.299999999999997</v>
      </c>
      <c r="S43" s="4"/>
    </row>
    <row r="44" spans="1:19" x14ac:dyDescent="0.25">
      <c r="A44" t="s">
        <v>46</v>
      </c>
      <c r="B44">
        <v>205</v>
      </c>
      <c r="C44">
        <v>54</v>
      </c>
      <c r="D44">
        <f t="shared" si="0"/>
        <v>205</v>
      </c>
      <c r="E44">
        <f t="shared" si="8"/>
        <v>-14.900000000000006</v>
      </c>
      <c r="F44" s="31">
        <f t="shared" si="9"/>
        <v>196.41207631391981</v>
      </c>
      <c r="G44">
        <f t="shared" si="1"/>
        <v>-14.900000000000006</v>
      </c>
      <c r="M44" s="15"/>
      <c r="P44" s="12">
        <f t="shared" si="6"/>
        <v>196.41207631391981</v>
      </c>
      <c r="Q44">
        <f t="shared" si="7"/>
        <v>29.299999999999997</v>
      </c>
      <c r="S44" s="4"/>
    </row>
    <row r="45" spans="1:19" x14ac:dyDescent="0.25">
      <c r="A45" t="s">
        <v>47</v>
      </c>
      <c r="B45">
        <v>210</v>
      </c>
      <c r="C45">
        <v>57</v>
      </c>
      <c r="D45">
        <f t="shared" si="0"/>
        <v>210</v>
      </c>
      <c r="E45">
        <f t="shared" si="8"/>
        <v>-11.900000000000006</v>
      </c>
      <c r="F45" s="31">
        <f t="shared" si="9"/>
        <v>200.41207631391981</v>
      </c>
      <c r="G45">
        <f t="shared" si="1"/>
        <v>-11.900000000000006</v>
      </c>
      <c r="M45" s="15"/>
      <c r="P45" s="12">
        <f t="shared" si="6"/>
        <v>200.41207631391981</v>
      </c>
      <c r="Q45">
        <f t="shared" si="7"/>
        <v>32.299999999999997</v>
      </c>
      <c r="S45" s="4"/>
    </row>
    <row r="46" spans="1:19" x14ac:dyDescent="0.25">
      <c r="A46" t="s">
        <v>48</v>
      </c>
      <c r="B46">
        <v>215</v>
      </c>
      <c r="C46">
        <v>59.6</v>
      </c>
      <c r="D46">
        <f t="shared" si="0"/>
        <v>215</v>
      </c>
      <c r="E46">
        <f t="shared" si="8"/>
        <v>-9.3000000000000043</v>
      </c>
      <c r="F46" s="31">
        <f t="shared" si="9"/>
        <v>204.68290761473233</v>
      </c>
      <c r="G46">
        <f t="shared" si="1"/>
        <v>-9.3000000000000043</v>
      </c>
      <c r="M46" s="15"/>
      <c r="P46" s="12">
        <f t="shared" si="6"/>
        <v>204.68290761473233</v>
      </c>
      <c r="Q46">
        <f t="shared" si="7"/>
        <v>34.9</v>
      </c>
      <c r="S46" s="4"/>
    </row>
    <row r="47" spans="1:19" x14ac:dyDescent="0.25">
      <c r="A47" t="s">
        <v>49</v>
      </c>
      <c r="B47">
        <v>220</v>
      </c>
      <c r="C47">
        <v>61.7</v>
      </c>
      <c r="D47">
        <f t="shared" si="0"/>
        <v>220</v>
      </c>
      <c r="E47">
        <f t="shared" si="8"/>
        <v>-7.2000000000000028</v>
      </c>
      <c r="F47" s="31">
        <f t="shared" si="9"/>
        <v>209.2205281365477</v>
      </c>
      <c r="G47">
        <f t="shared" si="1"/>
        <v>-7.2000000000000028</v>
      </c>
      <c r="M47" s="15"/>
      <c r="P47" s="12">
        <f t="shared" si="6"/>
        <v>209.2205281365477</v>
      </c>
      <c r="Q47">
        <f t="shared" si="7"/>
        <v>37</v>
      </c>
      <c r="S47" s="4"/>
    </row>
    <row r="48" spans="1:19" x14ac:dyDescent="0.25">
      <c r="A48" t="s">
        <v>50</v>
      </c>
      <c r="B48">
        <v>225</v>
      </c>
      <c r="C48">
        <v>63.6</v>
      </c>
      <c r="D48">
        <f t="shared" si="0"/>
        <v>225</v>
      </c>
      <c r="E48">
        <f t="shared" si="8"/>
        <v>-5.3000000000000043</v>
      </c>
      <c r="F48" s="31">
        <f t="shared" si="9"/>
        <v>213.84546056848657</v>
      </c>
      <c r="G48">
        <f t="shared" si="1"/>
        <v>-5.3000000000000043</v>
      </c>
      <c r="M48" s="15"/>
      <c r="P48" s="12">
        <f t="shared" si="6"/>
        <v>213.84546056848657</v>
      </c>
      <c r="Q48">
        <f t="shared" si="7"/>
        <v>38.9</v>
      </c>
      <c r="S48" s="4"/>
    </row>
    <row r="49" spans="1:19" x14ac:dyDescent="0.25">
      <c r="A49" t="s">
        <v>51</v>
      </c>
      <c r="B49">
        <v>230</v>
      </c>
      <c r="C49">
        <v>66.099999999999994</v>
      </c>
      <c r="D49">
        <f t="shared" si="0"/>
        <v>230</v>
      </c>
      <c r="E49">
        <f t="shared" si="8"/>
        <v>-2.8000000000000114</v>
      </c>
      <c r="F49" s="31">
        <f t="shared" si="9"/>
        <v>218.17558758740876</v>
      </c>
      <c r="G49">
        <f t="shared" si="1"/>
        <v>-2.8000000000000114</v>
      </c>
      <c r="M49" s="15"/>
      <c r="P49" s="12">
        <f t="shared" si="6"/>
        <v>218.17558758740876</v>
      </c>
      <c r="Q49">
        <f t="shared" si="7"/>
        <v>41.399999999999991</v>
      </c>
      <c r="S49" s="4"/>
    </row>
    <row r="50" spans="1:19" ht="15.75" thickBot="1" x14ac:dyDescent="0.3">
      <c r="A50" t="s">
        <v>52</v>
      </c>
      <c r="B50">
        <v>235</v>
      </c>
      <c r="C50">
        <v>68.900000000000006</v>
      </c>
      <c r="D50">
        <f t="shared" si="0"/>
        <v>235</v>
      </c>
      <c r="E50">
        <f t="shared" si="8"/>
        <v>0</v>
      </c>
      <c r="F50" s="31">
        <f t="shared" si="9"/>
        <v>222.31805062285034</v>
      </c>
      <c r="G50">
        <f t="shared" si="1"/>
        <v>0</v>
      </c>
      <c r="M50" s="16"/>
      <c r="N50" s="47"/>
      <c r="O50" s="47"/>
      <c r="P50" s="48">
        <f t="shared" si="6"/>
        <v>222.31805062285034</v>
      </c>
      <c r="Q50" s="47">
        <f t="shared" si="7"/>
        <v>44.2</v>
      </c>
      <c r="R50" s="47"/>
      <c r="S50" s="5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75D2-0D58-48BE-9924-B042D2681499}">
  <dimension ref="A1:F97"/>
  <sheetViews>
    <sheetView workbookViewId="0">
      <selection activeCell="D1" sqref="D1:E1048576"/>
    </sheetView>
  </sheetViews>
  <sheetFormatPr defaultRowHeight="15" x14ac:dyDescent="0.25"/>
  <sheetData>
    <row r="1" spans="1:6" x14ac:dyDescent="0.25">
      <c r="A1" t="s">
        <v>4</v>
      </c>
      <c r="E1" t="s">
        <v>216</v>
      </c>
    </row>
    <row r="2" spans="1:6" x14ac:dyDescent="0.25">
      <c r="A2">
        <f>-7.5</f>
        <v>-7.5</v>
      </c>
      <c r="B2">
        <v>-0.5</v>
      </c>
      <c r="E2" s="12">
        <v>0</v>
      </c>
      <c r="F2">
        <v>0</v>
      </c>
    </row>
    <row r="3" spans="1:6" x14ac:dyDescent="0.25">
      <c r="A3">
        <f>-3.75</f>
        <v>-3.75</v>
      </c>
      <c r="B3">
        <v>-0.25</v>
      </c>
      <c r="E3" s="12">
        <v>4.9183330509431471</v>
      </c>
      <c r="F3">
        <v>-0.9</v>
      </c>
    </row>
    <row r="4" spans="1:6" x14ac:dyDescent="0.25">
      <c r="A4">
        <v>0</v>
      </c>
      <c r="B4">
        <v>0</v>
      </c>
      <c r="E4" s="12">
        <v>9.8366661018862942</v>
      </c>
      <c r="F4">
        <v>-1.8</v>
      </c>
    </row>
    <row r="5" spans="1:6" x14ac:dyDescent="0.25">
      <c r="A5">
        <v>2.4500000000000002</v>
      </c>
      <c r="B5">
        <v>-0.45</v>
      </c>
      <c r="E5" s="12">
        <v>14.754999152829555</v>
      </c>
      <c r="F5">
        <v>-2.7</v>
      </c>
    </row>
    <row r="6" spans="1:6" x14ac:dyDescent="0.25">
      <c r="A6">
        <v>4.9000000000000004</v>
      </c>
      <c r="B6">
        <v>-0.9</v>
      </c>
      <c r="E6" s="12">
        <v>19.673332203772702</v>
      </c>
      <c r="F6">
        <v>-3.6</v>
      </c>
    </row>
    <row r="7" spans="1:6" x14ac:dyDescent="0.25">
      <c r="A7">
        <v>7.35</v>
      </c>
      <c r="B7">
        <v>-1.35</v>
      </c>
      <c r="E7" s="12">
        <v>24.572311689339131</v>
      </c>
      <c r="F7">
        <v>-4.5999999999999996</v>
      </c>
    </row>
    <row r="8" spans="1:6" x14ac:dyDescent="0.25">
      <c r="A8">
        <v>9.8000000000000007</v>
      </c>
      <c r="B8">
        <v>-1.8</v>
      </c>
      <c r="E8" s="12">
        <v>29.507896761040229</v>
      </c>
      <c r="F8">
        <v>-5.4</v>
      </c>
    </row>
    <row r="9" spans="1:6" x14ac:dyDescent="0.25">
      <c r="A9">
        <v>12.3</v>
      </c>
      <c r="B9">
        <v>-2.25</v>
      </c>
      <c r="E9" s="12">
        <v>34.458654278834956</v>
      </c>
      <c r="F9">
        <v>-6.1</v>
      </c>
    </row>
    <row r="10" spans="1:6" x14ac:dyDescent="0.25">
      <c r="A10">
        <v>14.8</v>
      </c>
      <c r="B10">
        <v>-2.7</v>
      </c>
      <c r="E10" s="12">
        <v>39.394239350536054</v>
      </c>
      <c r="F10">
        <v>-6.9</v>
      </c>
    </row>
    <row r="11" spans="1:6" x14ac:dyDescent="0.25">
      <c r="A11">
        <v>17.25</v>
      </c>
      <c r="B11">
        <v>-3.15</v>
      </c>
      <c r="E11" s="12">
        <v>44.312572401479201</v>
      </c>
      <c r="F11">
        <v>-7.8</v>
      </c>
    </row>
    <row r="12" spans="1:6" x14ac:dyDescent="0.25">
      <c r="A12">
        <v>19.7</v>
      </c>
      <c r="B12">
        <v>-3.6</v>
      </c>
      <c r="E12" s="12">
        <v>49.211551887045516</v>
      </c>
      <c r="F12">
        <v>-8.8000000000000007</v>
      </c>
    </row>
    <row r="13" spans="1:6" x14ac:dyDescent="0.25">
      <c r="A13">
        <v>22.15</v>
      </c>
      <c r="B13">
        <v>-4.0999999999999996</v>
      </c>
      <c r="E13" s="12">
        <v>54.195526204796352</v>
      </c>
      <c r="F13">
        <v>-9.1999999999999993</v>
      </c>
    </row>
    <row r="14" spans="1:6" x14ac:dyDescent="0.25">
      <c r="A14">
        <v>24.6</v>
      </c>
      <c r="B14">
        <v>-4.5999999999999996</v>
      </c>
      <c r="E14" s="12">
        <v>59.17046339032936</v>
      </c>
      <c r="F14">
        <v>-9.6999999999999993</v>
      </c>
    </row>
    <row r="15" spans="1:6" x14ac:dyDescent="0.25">
      <c r="A15">
        <v>27.05</v>
      </c>
      <c r="B15">
        <v>-5</v>
      </c>
      <c r="E15" s="12">
        <v>63.998506472158624</v>
      </c>
      <c r="F15">
        <v>-11</v>
      </c>
    </row>
    <row r="16" spans="1:6" x14ac:dyDescent="0.25">
      <c r="A16">
        <v>29.5</v>
      </c>
      <c r="B16">
        <v>-5.4</v>
      </c>
      <c r="E16" s="12">
        <v>68.876005831461498</v>
      </c>
      <c r="F16">
        <v>-12.1</v>
      </c>
    </row>
    <row r="17" spans="1:6" x14ac:dyDescent="0.25">
      <c r="A17">
        <v>32</v>
      </c>
      <c r="B17">
        <v>-5.75</v>
      </c>
      <c r="E17" s="12">
        <v>73.774985317027813</v>
      </c>
      <c r="F17">
        <v>-13.1</v>
      </c>
    </row>
    <row r="18" spans="1:6" x14ac:dyDescent="0.25">
      <c r="A18">
        <v>34.5</v>
      </c>
      <c r="B18">
        <v>-6.1</v>
      </c>
      <c r="E18" s="12">
        <v>78.770983715746524</v>
      </c>
      <c r="F18">
        <v>-13.3</v>
      </c>
    </row>
    <row r="19" spans="1:6" x14ac:dyDescent="0.25">
      <c r="A19">
        <v>36.950000000000003</v>
      </c>
      <c r="B19">
        <v>-6.5</v>
      </c>
      <c r="E19" s="12">
        <v>83.689316766689672</v>
      </c>
      <c r="F19">
        <v>-14.2</v>
      </c>
    </row>
    <row r="20" spans="1:6" x14ac:dyDescent="0.25">
      <c r="A20">
        <v>39.4</v>
      </c>
      <c r="B20">
        <v>-6.9</v>
      </c>
      <c r="E20" s="12">
        <v>88.653186225086074</v>
      </c>
      <c r="F20">
        <v>-14.8</v>
      </c>
    </row>
    <row r="21" spans="1:6" x14ac:dyDescent="0.25">
      <c r="A21">
        <v>41.85</v>
      </c>
      <c r="B21">
        <v>-7.35</v>
      </c>
      <c r="E21" s="12">
        <v>93.628123410619082</v>
      </c>
      <c r="F21">
        <v>-15.3</v>
      </c>
    </row>
    <row r="22" spans="1:6" x14ac:dyDescent="0.25">
      <c r="A22">
        <v>44.3</v>
      </c>
      <c r="B22">
        <v>-7.8</v>
      </c>
      <c r="E22" s="12">
        <v>98.563708482320408</v>
      </c>
      <c r="F22">
        <v>-16.100000000000001</v>
      </c>
    </row>
    <row r="23" spans="1:6" x14ac:dyDescent="0.25">
      <c r="A23">
        <v>46.75</v>
      </c>
      <c r="B23">
        <v>-8.3000000000000007</v>
      </c>
      <c r="E23" s="12">
        <v>103.54768280007124</v>
      </c>
      <c r="F23">
        <v>-16.5</v>
      </c>
    </row>
    <row r="24" spans="1:6" x14ac:dyDescent="0.25">
      <c r="A24">
        <v>49.2</v>
      </c>
      <c r="B24">
        <v>-8.8000000000000007</v>
      </c>
      <c r="E24" s="12">
        <v>108.40154723987598</v>
      </c>
      <c r="F24">
        <v>-17.7</v>
      </c>
    </row>
    <row r="25" spans="1:6" x14ac:dyDescent="0.25">
      <c r="A25">
        <v>51.7</v>
      </c>
      <c r="B25">
        <v>-9</v>
      </c>
      <c r="E25" s="12">
        <v>113.37648442540899</v>
      </c>
      <c r="F25">
        <v>-18.2</v>
      </c>
    </row>
    <row r="26" spans="1:6" x14ac:dyDescent="0.25">
      <c r="A26">
        <v>54.2</v>
      </c>
      <c r="B26">
        <v>-9.1999999999999993</v>
      </c>
      <c r="E26" s="12">
        <v>118.37648442540899</v>
      </c>
      <c r="F26">
        <v>-18.399999999999999</v>
      </c>
    </row>
    <row r="27" spans="1:6" x14ac:dyDescent="0.25">
      <c r="A27">
        <v>56.7</v>
      </c>
      <c r="B27">
        <v>-9.4499999999999993</v>
      </c>
      <c r="E27" s="12">
        <v>123.29481747635214</v>
      </c>
      <c r="F27">
        <v>-19.100000000000001</v>
      </c>
    </row>
    <row r="28" spans="1:6" x14ac:dyDescent="0.25">
      <c r="A28">
        <v>59.2</v>
      </c>
      <c r="B28">
        <v>-9.6999999999999993</v>
      </c>
      <c r="E28" s="12">
        <v>128.24557499414664</v>
      </c>
      <c r="F28">
        <v>-19.8</v>
      </c>
    </row>
    <row r="29" spans="1:6" x14ac:dyDescent="0.25">
      <c r="A29">
        <v>61.6</v>
      </c>
      <c r="B29">
        <v>-10.35</v>
      </c>
      <c r="E29" s="12">
        <v>133.24157339286535</v>
      </c>
      <c r="F29">
        <v>-20</v>
      </c>
    </row>
    <row r="30" spans="1:6" x14ac:dyDescent="0.25">
      <c r="A30">
        <v>64</v>
      </c>
      <c r="B30">
        <v>-11</v>
      </c>
      <c r="E30" s="12">
        <v>138.23256527825242</v>
      </c>
      <c r="F30">
        <v>-20.3</v>
      </c>
    </row>
    <row r="31" spans="1:6" x14ac:dyDescent="0.25">
      <c r="A31">
        <v>66.45</v>
      </c>
      <c r="B31">
        <v>-11.55</v>
      </c>
      <c r="E31" s="12">
        <v>143.23256527825242</v>
      </c>
      <c r="F31">
        <v>-20.3</v>
      </c>
    </row>
    <row r="32" spans="1:6" x14ac:dyDescent="0.25">
      <c r="A32">
        <v>68.900000000000006</v>
      </c>
      <c r="B32">
        <v>-12.1</v>
      </c>
      <c r="E32" s="12">
        <v>148.20750246378543</v>
      </c>
      <c r="F32">
        <v>-20.8</v>
      </c>
    </row>
    <row r="33" spans="1:6" x14ac:dyDescent="0.25">
      <c r="A33">
        <v>71.349999999999994</v>
      </c>
      <c r="B33">
        <v>-12.6</v>
      </c>
      <c r="E33" s="12">
        <v>153.20350086250414</v>
      </c>
      <c r="F33">
        <v>-20.6</v>
      </c>
    </row>
    <row r="34" spans="1:6" x14ac:dyDescent="0.25">
      <c r="A34">
        <v>73.8</v>
      </c>
      <c r="B34">
        <v>-13.1</v>
      </c>
      <c r="E34" s="12">
        <v>158.08100022180702</v>
      </c>
      <c r="F34">
        <v>-21.7</v>
      </c>
    </row>
    <row r="35" spans="1:6" x14ac:dyDescent="0.25">
      <c r="A35">
        <v>76.3</v>
      </c>
      <c r="B35">
        <v>-13.2</v>
      </c>
      <c r="E35" s="12">
        <v>162.88100022180697</v>
      </c>
      <c r="F35">
        <v>-23.1</v>
      </c>
    </row>
    <row r="36" spans="1:6" x14ac:dyDescent="0.25">
      <c r="A36">
        <v>78.8</v>
      </c>
      <c r="B36">
        <v>-13.3</v>
      </c>
      <c r="E36" s="12">
        <v>167.85593740733998</v>
      </c>
      <c r="F36">
        <v>-23.6</v>
      </c>
    </row>
    <row r="37" spans="1:6" x14ac:dyDescent="0.25">
      <c r="A37">
        <v>81.25</v>
      </c>
      <c r="B37">
        <v>-13.75</v>
      </c>
      <c r="E37" s="12">
        <v>172.80669492513448</v>
      </c>
      <c r="F37">
        <v>-24.3</v>
      </c>
    </row>
    <row r="38" spans="1:6" x14ac:dyDescent="0.25">
      <c r="A38">
        <v>83.7</v>
      </c>
      <c r="B38">
        <v>-14.2</v>
      </c>
      <c r="E38" s="12">
        <v>177.66055936493922</v>
      </c>
      <c r="F38">
        <v>-25.5</v>
      </c>
    </row>
    <row r="39" spans="1:6" x14ac:dyDescent="0.25">
      <c r="A39">
        <v>86.2</v>
      </c>
      <c r="B39">
        <v>-14.5</v>
      </c>
      <c r="E39" s="12">
        <v>182.64453368269005</v>
      </c>
      <c r="F39">
        <v>-25.9</v>
      </c>
    </row>
    <row r="40" spans="1:6" x14ac:dyDescent="0.25">
      <c r="A40">
        <v>88.7</v>
      </c>
      <c r="B40">
        <v>-14.8</v>
      </c>
      <c r="E40" s="12">
        <v>187.63552556807713</v>
      </c>
      <c r="F40">
        <v>-26.2</v>
      </c>
    </row>
    <row r="41" spans="1:6" x14ac:dyDescent="0.25">
      <c r="A41">
        <v>91.15</v>
      </c>
      <c r="B41">
        <v>-15.05</v>
      </c>
      <c r="E41" s="12">
        <v>192.43552556807708</v>
      </c>
      <c r="F41">
        <v>-27.6</v>
      </c>
    </row>
    <row r="42" spans="1:6" x14ac:dyDescent="0.25">
      <c r="A42">
        <v>93.6</v>
      </c>
      <c r="B42">
        <v>-15.3</v>
      </c>
      <c r="E42" s="12">
        <v>197.43152396679579</v>
      </c>
      <c r="F42">
        <v>-27.8</v>
      </c>
    </row>
    <row r="43" spans="1:6" x14ac:dyDescent="0.25">
      <c r="A43">
        <v>96.1</v>
      </c>
      <c r="B43">
        <v>-15.7</v>
      </c>
      <c r="E43" s="12">
        <v>202.3953934251922</v>
      </c>
      <c r="F43">
        <v>-28.4</v>
      </c>
    </row>
    <row r="44" spans="1:6" x14ac:dyDescent="0.25">
      <c r="A44">
        <v>98.6</v>
      </c>
      <c r="B44">
        <v>-16.100000000000001</v>
      </c>
      <c r="E44" s="12">
        <v>207.37936774294303</v>
      </c>
      <c r="F44">
        <v>-28.8</v>
      </c>
    </row>
    <row r="45" spans="1:6" x14ac:dyDescent="0.25">
      <c r="A45">
        <v>101.05</v>
      </c>
      <c r="B45">
        <v>-16.3</v>
      </c>
      <c r="E45" s="12">
        <v>212.20741082477252</v>
      </c>
      <c r="F45">
        <v>-30.1</v>
      </c>
    </row>
    <row r="46" spans="1:6" x14ac:dyDescent="0.25">
      <c r="A46">
        <v>103.5</v>
      </c>
      <c r="B46">
        <v>-16.5</v>
      </c>
      <c r="E46" s="12">
        <v>216.97710683185733</v>
      </c>
      <c r="F46">
        <v>-31.6</v>
      </c>
    </row>
    <row r="47" spans="1:6" x14ac:dyDescent="0.25">
      <c r="A47">
        <v>105.95</v>
      </c>
      <c r="B47">
        <v>-17.100000000000001</v>
      </c>
      <c r="E47" s="12">
        <v>221.67923401006078</v>
      </c>
      <c r="F47">
        <v>-33.299999999999997</v>
      </c>
    </row>
    <row r="48" spans="1:6" x14ac:dyDescent="0.25">
      <c r="A48">
        <v>108.4</v>
      </c>
      <c r="B48">
        <v>-17.7</v>
      </c>
      <c r="E48" s="12">
        <v>226.30416644199977</v>
      </c>
      <c r="F48">
        <v>-35.200000000000003</v>
      </c>
    </row>
    <row r="49" spans="1:6" x14ac:dyDescent="0.25">
      <c r="A49">
        <v>110.9</v>
      </c>
      <c r="B49">
        <v>-17.95</v>
      </c>
      <c r="E49" s="12">
        <v>231.04125415493036</v>
      </c>
      <c r="F49">
        <v>-36.799999999999997</v>
      </c>
    </row>
    <row r="50" spans="1:6" x14ac:dyDescent="0.25">
      <c r="A50">
        <v>113.4</v>
      </c>
      <c r="B50">
        <v>-18.2</v>
      </c>
      <c r="E50" s="12">
        <v>235.57887467674573</v>
      </c>
      <c r="F50">
        <v>-38.9</v>
      </c>
    </row>
    <row r="51" spans="1:6" x14ac:dyDescent="0.25">
      <c r="A51">
        <v>117.15</v>
      </c>
      <c r="B51">
        <v>-18.3</v>
      </c>
      <c r="E51" s="12">
        <v>240.1164951985611</v>
      </c>
      <c r="F51">
        <v>-41</v>
      </c>
    </row>
    <row r="52" spans="1:6" x14ac:dyDescent="0.25">
      <c r="A52">
        <v>120.9</v>
      </c>
      <c r="B52">
        <v>-18.399999999999999</v>
      </c>
      <c r="E52" s="12">
        <v>244.65411572037647</v>
      </c>
      <c r="F52">
        <v>-43.1</v>
      </c>
    </row>
    <row r="53" spans="1:6" x14ac:dyDescent="0.25">
      <c r="A53">
        <v>122.8</v>
      </c>
      <c r="B53">
        <v>-18.75</v>
      </c>
      <c r="E53" s="12">
        <v>249.19173624219184</v>
      </c>
      <c r="F53">
        <v>-45.2</v>
      </c>
    </row>
    <row r="54" spans="1:6" x14ac:dyDescent="0.25">
      <c r="A54">
        <v>124.7</v>
      </c>
      <c r="B54">
        <v>-19.100000000000001</v>
      </c>
      <c r="E54" s="12">
        <v>253.72935676400698</v>
      </c>
      <c r="F54">
        <v>-47.3</v>
      </c>
    </row>
    <row r="55" spans="1:6" x14ac:dyDescent="0.25">
      <c r="A55">
        <v>127.15</v>
      </c>
      <c r="B55">
        <v>-19.45</v>
      </c>
      <c r="E55" s="12">
        <v>258.26697728582235</v>
      </c>
      <c r="F55">
        <v>-49.4</v>
      </c>
    </row>
    <row r="56" spans="1:6" x14ac:dyDescent="0.25">
      <c r="A56">
        <v>129.6</v>
      </c>
      <c r="B56">
        <v>-19.8</v>
      </c>
      <c r="E56" s="12">
        <v>262.75696614995127</v>
      </c>
      <c r="F56">
        <v>-51.6</v>
      </c>
    </row>
    <row r="57" spans="1:6" x14ac:dyDescent="0.25">
      <c r="A57">
        <v>132.1</v>
      </c>
      <c r="B57">
        <v>-19.899999999999999</v>
      </c>
      <c r="E57" s="12">
        <v>267.29458667176664</v>
      </c>
      <c r="F57">
        <v>-53.7</v>
      </c>
    </row>
    <row r="58" spans="1:6" x14ac:dyDescent="0.25">
      <c r="A58">
        <v>134.6</v>
      </c>
      <c r="B58">
        <v>-20</v>
      </c>
      <c r="E58" s="12">
        <v>272.29058507048535</v>
      </c>
      <c r="F58">
        <v>-53.9</v>
      </c>
    </row>
    <row r="59" spans="1:6" x14ac:dyDescent="0.25">
      <c r="A59">
        <v>137.1</v>
      </c>
      <c r="B59">
        <v>-20.149999999999999</v>
      </c>
      <c r="E59" s="12">
        <v>277.28157695587242</v>
      </c>
      <c r="F59">
        <v>-54.2</v>
      </c>
    </row>
    <row r="60" spans="1:6" x14ac:dyDescent="0.25">
      <c r="A60">
        <v>139.6</v>
      </c>
      <c r="B60">
        <v>-20.3</v>
      </c>
      <c r="E60" s="12">
        <v>282.28157695587242</v>
      </c>
      <c r="F60">
        <v>-54.2</v>
      </c>
    </row>
    <row r="61" spans="1:6" x14ac:dyDescent="0.25">
      <c r="A61">
        <v>142.1</v>
      </c>
      <c r="B61">
        <v>-20.3</v>
      </c>
      <c r="E61" s="12">
        <v>287.28157695587242</v>
      </c>
      <c r="F61">
        <v>-54.2</v>
      </c>
    </row>
    <row r="62" spans="1:6" x14ac:dyDescent="0.25">
      <c r="A62">
        <v>144.6</v>
      </c>
      <c r="B62">
        <v>-20.3</v>
      </c>
      <c r="E62" s="12">
        <v>292.28157695587242</v>
      </c>
      <c r="F62">
        <v>-54.2</v>
      </c>
    </row>
    <row r="63" spans="1:6" x14ac:dyDescent="0.25">
      <c r="A63">
        <v>147.1</v>
      </c>
      <c r="B63">
        <v>-20.55</v>
      </c>
      <c r="E63" s="12">
        <v>297.28157695587242</v>
      </c>
      <c r="F63">
        <v>-54.2</v>
      </c>
    </row>
    <row r="64" spans="1:6" x14ac:dyDescent="0.25">
      <c r="A64">
        <v>149.6</v>
      </c>
      <c r="B64">
        <v>-20.8</v>
      </c>
      <c r="E64" s="12">
        <v>302.28057685585236</v>
      </c>
      <c r="F64">
        <v>-54.1</v>
      </c>
    </row>
    <row r="65" spans="1:6" x14ac:dyDescent="0.25">
      <c r="A65">
        <v>152.1</v>
      </c>
      <c r="B65">
        <v>-20.7</v>
      </c>
      <c r="E65" s="12">
        <v>307.2795767558323</v>
      </c>
      <c r="F65">
        <v>-54</v>
      </c>
    </row>
    <row r="66" spans="1:6" x14ac:dyDescent="0.25">
      <c r="A66">
        <v>154.6</v>
      </c>
      <c r="B66">
        <v>-20.6</v>
      </c>
      <c r="E66" s="12">
        <v>312.27557515455101</v>
      </c>
      <c r="F66">
        <v>-53.8</v>
      </c>
    </row>
    <row r="67" spans="1:6" x14ac:dyDescent="0.25">
      <c r="A67">
        <v>157.05000000000001</v>
      </c>
      <c r="B67">
        <v>-21.15</v>
      </c>
      <c r="E67" s="12">
        <v>317.26656703993808</v>
      </c>
      <c r="F67">
        <v>-53.5</v>
      </c>
    </row>
    <row r="68" spans="1:6" x14ac:dyDescent="0.25">
      <c r="A68">
        <v>159.5</v>
      </c>
      <c r="B68">
        <v>-21.7</v>
      </c>
      <c r="E68" s="12">
        <v>322.25755892532516</v>
      </c>
      <c r="F68">
        <v>-53.2</v>
      </c>
    </row>
    <row r="69" spans="1:6" x14ac:dyDescent="0.25">
      <c r="A69">
        <v>161.9</v>
      </c>
      <c r="B69">
        <v>-22.4</v>
      </c>
      <c r="E69" s="12">
        <v>327.25355732404387</v>
      </c>
      <c r="F69">
        <v>-53</v>
      </c>
    </row>
    <row r="70" spans="1:6" x14ac:dyDescent="0.25">
      <c r="A70">
        <v>164.3</v>
      </c>
      <c r="B70">
        <v>-23.1</v>
      </c>
      <c r="E70" s="12">
        <v>332.24454920943094</v>
      </c>
      <c r="F70">
        <v>-52.7</v>
      </c>
    </row>
    <row r="71" spans="1:6" x14ac:dyDescent="0.25">
      <c r="A71">
        <v>166.75</v>
      </c>
      <c r="B71">
        <v>-23.35</v>
      </c>
      <c r="E71" s="12">
        <v>337.23554109481802</v>
      </c>
      <c r="F71">
        <v>-52.4</v>
      </c>
    </row>
    <row r="72" spans="1:6" x14ac:dyDescent="0.25">
      <c r="A72">
        <v>169.2</v>
      </c>
      <c r="B72">
        <v>-23.6</v>
      </c>
      <c r="E72" s="12">
        <v>342.22653298020509</v>
      </c>
      <c r="F72">
        <v>-52.1</v>
      </c>
    </row>
    <row r="73" spans="1:6" x14ac:dyDescent="0.25">
      <c r="A73">
        <v>171.7</v>
      </c>
      <c r="B73">
        <v>-23.95</v>
      </c>
      <c r="E73" s="12">
        <v>347.21050729795593</v>
      </c>
      <c r="F73">
        <v>-51.7</v>
      </c>
    </row>
    <row r="74" spans="1:6" x14ac:dyDescent="0.25">
      <c r="A74">
        <v>174.2</v>
      </c>
      <c r="B74">
        <v>-24.3</v>
      </c>
      <c r="E74" s="12">
        <v>352.18544448348894</v>
      </c>
      <c r="F74">
        <v>-51.2</v>
      </c>
    </row>
    <row r="75" spans="1:6" x14ac:dyDescent="0.25">
      <c r="A75">
        <v>176.6</v>
      </c>
      <c r="B75">
        <v>-24.9</v>
      </c>
      <c r="E75" s="12">
        <v>357.16038166902194</v>
      </c>
      <c r="F75">
        <v>-50.7</v>
      </c>
    </row>
    <row r="76" spans="1:6" x14ac:dyDescent="0.25">
      <c r="A76">
        <v>179</v>
      </c>
      <c r="B76">
        <v>-25.5</v>
      </c>
      <c r="E76" s="12">
        <v>362.14435598677278</v>
      </c>
      <c r="F76">
        <v>-50.3</v>
      </c>
    </row>
    <row r="77" spans="1:6" x14ac:dyDescent="0.25">
      <c r="A77">
        <v>181.5</v>
      </c>
      <c r="B77">
        <v>-25.7</v>
      </c>
      <c r="E77" s="12">
        <v>367.14435598677278</v>
      </c>
      <c r="F77">
        <v>-50.3</v>
      </c>
    </row>
    <row r="78" spans="1:6" x14ac:dyDescent="0.25">
      <c r="A78">
        <v>184</v>
      </c>
      <c r="B78">
        <v>-25.9</v>
      </c>
      <c r="E78" s="12">
        <v>372.14435598677278</v>
      </c>
      <c r="F78">
        <v>-50.3</v>
      </c>
    </row>
    <row r="79" spans="1:6" x14ac:dyDescent="0.25">
      <c r="A79">
        <v>186.5</v>
      </c>
      <c r="B79">
        <v>-26.05</v>
      </c>
      <c r="E79" s="12">
        <v>377.14335588675272</v>
      </c>
      <c r="F79">
        <v>-50.4</v>
      </c>
    </row>
    <row r="80" spans="1:6" x14ac:dyDescent="0.25">
      <c r="A80">
        <v>189</v>
      </c>
      <c r="B80">
        <v>-26.2</v>
      </c>
      <c r="E80" s="12">
        <v>382.14335588675272</v>
      </c>
      <c r="F80">
        <v>-50.4</v>
      </c>
    </row>
    <row r="81" spans="1:6" x14ac:dyDescent="0.25">
      <c r="A81">
        <v>191.4</v>
      </c>
      <c r="B81">
        <v>-26.9</v>
      </c>
      <c r="E81" s="12">
        <v>387.09411340454744</v>
      </c>
      <c r="F81">
        <v>-51.1</v>
      </c>
    </row>
    <row r="82" spans="1:6" x14ac:dyDescent="0.25">
      <c r="A82">
        <v>193.8</v>
      </c>
      <c r="B82">
        <v>-27.6</v>
      </c>
      <c r="E82" s="12">
        <v>392.02969847624854</v>
      </c>
      <c r="F82">
        <v>-51.9</v>
      </c>
    </row>
    <row r="83" spans="1:6" x14ac:dyDescent="0.25">
      <c r="A83">
        <v>196.3</v>
      </c>
      <c r="B83">
        <v>-27.7</v>
      </c>
      <c r="E83" s="12">
        <v>396.92867796181486</v>
      </c>
      <c r="F83">
        <v>-52.9</v>
      </c>
    </row>
    <row r="84" spans="1:6" x14ac:dyDescent="0.25">
      <c r="A84">
        <v>198.8</v>
      </c>
      <c r="B84">
        <v>-27.8</v>
      </c>
      <c r="E84" s="12">
        <v>401.86426303351618</v>
      </c>
      <c r="F84">
        <v>-53.7</v>
      </c>
    </row>
    <row r="85" spans="1:6" x14ac:dyDescent="0.25">
      <c r="A85">
        <v>201.3</v>
      </c>
      <c r="B85">
        <v>-28.1</v>
      </c>
      <c r="E85" s="12">
        <v>406.79984810521728</v>
      </c>
      <c r="F85">
        <v>-54.5</v>
      </c>
    </row>
    <row r="86" spans="1:6" x14ac:dyDescent="0.25">
      <c r="A86">
        <v>203.8</v>
      </c>
      <c r="B86">
        <v>-28.4</v>
      </c>
      <c r="E86" s="12">
        <v>411.67734746452015</v>
      </c>
      <c r="F86">
        <v>-55.6</v>
      </c>
    </row>
    <row r="87" spans="1:6" x14ac:dyDescent="0.25">
      <c r="A87">
        <v>208.15</v>
      </c>
      <c r="B87">
        <v>-28.4</v>
      </c>
      <c r="E87" s="12">
        <v>416.5956805154633</v>
      </c>
      <c r="F87">
        <v>-56.5</v>
      </c>
    </row>
    <row r="88" spans="1:6" x14ac:dyDescent="0.25">
      <c r="A88">
        <v>212.5</v>
      </c>
      <c r="B88">
        <v>-30</v>
      </c>
      <c r="E88" s="12">
        <v>421.5595499738597</v>
      </c>
      <c r="F88">
        <v>-57.1</v>
      </c>
    </row>
    <row r="89" spans="1:6" x14ac:dyDescent="0.25">
      <c r="E89" s="12">
        <v>426.53448715939271</v>
      </c>
      <c r="F89">
        <v>-57.6</v>
      </c>
    </row>
    <row r="90" spans="1:6" x14ac:dyDescent="0.25">
      <c r="E90" s="12">
        <v>431.50942434492572</v>
      </c>
      <c r="F90">
        <v>-58.1</v>
      </c>
    </row>
    <row r="91" spans="1:6" x14ac:dyDescent="0.25">
      <c r="E91" s="12">
        <v>436.50041623031279</v>
      </c>
      <c r="F91">
        <v>-58.4</v>
      </c>
    </row>
    <row r="92" spans="1:6" x14ac:dyDescent="0.25">
      <c r="E92" s="12">
        <v>441.48439054806363</v>
      </c>
      <c r="F92">
        <v>-58.8</v>
      </c>
    </row>
    <row r="93" spans="1:6" x14ac:dyDescent="0.25">
      <c r="E93" s="12">
        <v>446.46836486581446</v>
      </c>
      <c r="F93">
        <v>-59.2</v>
      </c>
    </row>
    <row r="94" spans="1:6" x14ac:dyDescent="0.25">
      <c r="E94" s="12">
        <v>451.44330205134747</v>
      </c>
      <c r="F94">
        <v>-59.7</v>
      </c>
    </row>
    <row r="95" spans="1:6" x14ac:dyDescent="0.25">
      <c r="E95" s="12">
        <v>456.42727636909831</v>
      </c>
      <c r="F95">
        <v>-60.1</v>
      </c>
    </row>
    <row r="96" spans="1:6" x14ac:dyDescent="0.25">
      <c r="E96" s="12">
        <v>461.41125068684914</v>
      </c>
      <c r="F96">
        <v>-60.5</v>
      </c>
    </row>
    <row r="97" spans="5:6" x14ac:dyDescent="0.25">
      <c r="E97" s="12">
        <v>466.38618787238215</v>
      </c>
      <c r="F97">
        <v>-61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5FA3-D91E-4041-BE0B-9D1120298F5B}">
  <dimension ref="A1:L77"/>
  <sheetViews>
    <sheetView tabSelected="1" workbookViewId="0">
      <selection activeCell="E18" sqref="E18"/>
    </sheetView>
  </sheetViews>
  <sheetFormatPr defaultRowHeight="15" x14ac:dyDescent="0.25"/>
  <sheetData>
    <row r="1" spans="1:12" x14ac:dyDescent="0.25">
      <c r="A1" s="1" t="s">
        <v>181</v>
      </c>
      <c r="B1" s="1"/>
      <c r="C1" s="1" t="s">
        <v>184</v>
      </c>
    </row>
    <row r="2" spans="1:12" ht="15.75" thickBot="1" x14ac:dyDescent="0.3"/>
    <row r="3" spans="1:12" x14ac:dyDescent="0.25">
      <c r="A3" s="1"/>
      <c r="B3" s="1"/>
      <c r="C3" s="146" t="s">
        <v>178</v>
      </c>
      <c r="D3" s="146"/>
      <c r="E3" s="3"/>
      <c r="F3" s="146" t="s">
        <v>4</v>
      </c>
      <c r="G3" s="146"/>
      <c r="H3" s="146"/>
      <c r="I3" s="147" t="s">
        <v>179</v>
      </c>
      <c r="J3" s="148"/>
    </row>
    <row r="4" spans="1:12" x14ac:dyDescent="0.25">
      <c r="A4" s="1" t="s">
        <v>101</v>
      </c>
      <c r="B4" s="1" t="s">
        <v>102</v>
      </c>
      <c r="C4" s="1" t="s">
        <v>2</v>
      </c>
      <c r="D4" s="1" t="s">
        <v>3</v>
      </c>
      <c r="E4" s="1" t="s">
        <v>177</v>
      </c>
      <c r="F4" s="1" t="s">
        <v>2</v>
      </c>
      <c r="G4" s="1" t="s">
        <v>176</v>
      </c>
      <c r="H4" s="1" t="s">
        <v>177</v>
      </c>
      <c r="I4" s="6" t="s">
        <v>2</v>
      </c>
      <c r="J4" s="7" t="s">
        <v>3</v>
      </c>
    </row>
    <row r="5" spans="1:12" x14ac:dyDescent="0.25">
      <c r="A5" t="s">
        <v>5</v>
      </c>
      <c r="C5" s="12">
        <v>0</v>
      </c>
      <c r="D5">
        <v>3864.1869999999999</v>
      </c>
      <c r="E5">
        <f>D5-MAX(D5:D76)</f>
        <v>-31.563000000000102</v>
      </c>
      <c r="K5" s="12">
        <f>C5</f>
        <v>0</v>
      </c>
      <c r="L5">
        <f>E5</f>
        <v>-31.563000000000102</v>
      </c>
    </row>
    <row r="6" spans="1:12" x14ac:dyDescent="0.25">
      <c r="A6" s="1" t="s">
        <v>6</v>
      </c>
      <c r="C6" s="12">
        <v>4.9942366784124488</v>
      </c>
      <c r="D6">
        <v>3864.4270000000001</v>
      </c>
      <c r="E6">
        <f t="shared" ref="E6:E69" si="0">D6-MAX(D6:D77)</f>
        <v>-31.322999999999865</v>
      </c>
      <c r="K6" s="12">
        <f t="shared" ref="K6:K69" si="1">C6</f>
        <v>4.9942366784124488</v>
      </c>
      <c r="L6">
        <f t="shared" ref="L6:L69" si="2">E6</f>
        <v>-31.322999999999865</v>
      </c>
    </row>
    <row r="7" spans="1:12" x14ac:dyDescent="0.25">
      <c r="A7" t="s">
        <v>7</v>
      </c>
      <c r="C7" s="12">
        <v>9.9596602253014908</v>
      </c>
      <c r="D7">
        <v>3865.0140000000001</v>
      </c>
      <c r="E7">
        <f t="shared" si="0"/>
        <v>-30.735999999999876</v>
      </c>
      <c r="K7" s="12">
        <f t="shared" si="1"/>
        <v>9.9596602253014908</v>
      </c>
      <c r="L7">
        <f t="shared" si="2"/>
        <v>-30.735999999999876</v>
      </c>
    </row>
    <row r="8" spans="1:12" x14ac:dyDescent="0.25">
      <c r="A8" s="1" t="s">
        <v>8</v>
      </c>
      <c r="C8" s="12">
        <v>14.911122130638205</v>
      </c>
      <c r="D8">
        <v>3865.7089999999998</v>
      </c>
      <c r="E8">
        <f t="shared" si="0"/>
        <v>-30.041000000000167</v>
      </c>
      <c r="K8" s="12">
        <f t="shared" si="1"/>
        <v>14.911122130638205</v>
      </c>
      <c r="L8">
        <f t="shared" si="2"/>
        <v>-30.041000000000167</v>
      </c>
    </row>
    <row r="9" spans="1:12" x14ac:dyDescent="0.25">
      <c r="A9" t="s">
        <v>9</v>
      </c>
      <c r="C9" s="12">
        <v>19.867370711974672</v>
      </c>
      <c r="D9">
        <v>3866.3690000000001</v>
      </c>
      <c r="E9">
        <f t="shared" si="0"/>
        <v>-29.380999999999858</v>
      </c>
      <c r="K9" s="12">
        <f t="shared" si="1"/>
        <v>19.867370711974672</v>
      </c>
      <c r="L9">
        <f t="shared" si="2"/>
        <v>-29.380999999999858</v>
      </c>
    </row>
    <row r="10" spans="1:12" x14ac:dyDescent="0.25">
      <c r="A10" s="1" t="s">
        <v>10</v>
      </c>
      <c r="C10" s="12">
        <v>24.855591938023053</v>
      </c>
      <c r="D10">
        <v>3866.712</v>
      </c>
      <c r="E10">
        <f t="shared" si="0"/>
        <v>-29.038000000000011</v>
      </c>
      <c r="K10" s="12">
        <f t="shared" si="1"/>
        <v>24.855591938023053</v>
      </c>
      <c r="L10">
        <f t="shared" si="2"/>
        <v>-29.038000000000011</v>
      </c>
    </row>
    <row r="11" spans="1:12" x14ac:dyDescent="0.25">
      <c r="A11" t="s">
        <v>11</v>
      </c>
      <c r="C11" s="12">
        <v>29.844953019364084</v>
      </c>
      <c r="D11">
        <v>3867.038</v>
      </c>
      <c r="E11">
        <f t="shared" si="0"/>
        <v>-28.711999999999989</v>
      </c>
      <c r="K11" s="12">
        <f t="shared" si="1"/>
        <v>29.844953019364084</v>
      </c>
      <c r="L11">
        <f t="shared" si="2"/>
        <v>-28.711999999999989</v>
      </c>
    </row>
    <row r="12" spans="1:12" x14ac:dyDescent="0.25">
      <c r="A12" s="1" t="s">
        <v>12</v>
      </c>
      <c r="C12" s="12">
        <v>34.841417369281999</v>
      </c>
      <c r="D12">
        <v>3866.85</v>
      </c>
      <c r="E12">
        <f t="shared" si="0"/>
        <v>-28.900000000000091</v>
      </c>
      <c r="K12" s="12">
        <f t="shared" si="1"/>
        <v>34.841417369281999</v>
      </c>
      <c r="L12">
        <f t="shared" si="2"/>
        <v>-28.900000000000091</v>
      </c>
    </row>
    <row r="13" spans="1:12" x14ac:dyDescent="0.25">
      <c r="A13" t="s">
        <v>13</v>
      </c>
      <c r="C13" s="12">
        <v>39.837729609324697</v>
      </c>
      <c r="D13">
        <v>3866.6579999999999</v>
      </c>
      <c r="E13">
        <f t="shared" si="0"/>
        <v>-29.092000000000098</v>
      </c>
      <c r="K13" s="12">
        <f t="shared" si="1"/>
        <v>39.837729609324697</v>
      </c>
      <c r="L13">
        <f t="shared" si="2"/>
        <v>-29.092000000000098</v>
      </c>
    </row>
    <row r="14" spans="1:12" x14ac:dyDescent="0.25">
      <c r="A14" s="1" t="s">
        <v>14</v>
      </c>
      <c r="C14" s="12">
        <v>44.830965033375833</v>
      </c>
      <c r="D14">
        <v>3866.3980000000001</v>
      </c>
      <c r="E14">
        <f t="shared" si="0"/>
        <v>-29.351999999999862</v>
      </c>
      <c r="K14" s="12">
        <f t="shared" si="1"/>
        <v>44.830965033375833</v>
      </c>
      <c r="L14">
        <f t="shared" si="2"/>
        <v>-29.351999999999862</v>
      </c>
    </row>
    <row r="15" spans="1:12" x14ac:dyDescent="0.25">
      <c r="A15" t="s">
        <v>15</v>
      </c>
      <c r="C15" s="12">
        <v>49.827831151254031</v>
      </c>
      <c r="D15">
        <v>3866.221</v>
      </c>
      <c r="E15">
        <f t="shared" si="0"/>
        <v>-29.528999999999996</v>
      </c>
      <c r="K15" s="12">
        <f t="shared" si="1"/>
        <v>49.827831151254031</v>
      </c>
      <c r="L15">
        <f t="shared" si="2"/>
        <v>-29.528999999999996</v>
      </c>
    </row>
    <row r="16" spans="1:12" x14ac:dyDescent="0.25">
      <c r="A16" s="1" t="s">
        <v>16</v>
      </c>
      <c r="C16" s="12">
        <v>54.802465911716354</v>
      </c>
      <c r="D16">
        <v>3865.7179999999998</v>
      </c>
      <c r="E16">
        <f t="shared" si="0"/>
        <v>-30.032000000000153</v>
      </c>
      <c r="K16" s="12">
        <f t="shared" si="1"/>
        <v>54.802465911716354</v>
      </c>
      <c r="L16">
        <f t="shared" si="2"/>
        <v>-30.032000000000153</v>
      </c>
    </row>
    <row r="17" spans="1:12" x14ac:dyDescent="0.25">
      <c r="A17" t="s">
        <v>17</v>
      </c>
      <c r="C17" s="12">
        <v>59.745287373189512</v>
      </c>
      <c r="D17">
        <v>3864.9639999999999</v>
      </c>
      <c r="E17">
        <f t="shared" si="0"/>
        <v>-30.786000000000058</v>
      </c>
      <c r="K17" s="12">
        <f t="shared" si="1"/>
        <v>59.745287373189512</v>
      </c>
      <c r="L17">
        <f t="shared" si="2"/>
        <v>-30.786000000000058</v>
      </c>
    </row>
    <row r="18" spans="1:12" x14ac:dyDescent="0.25">
      <c r="A18" s="1" t="s">
        <v>18</v>
      </c>
      <c r="C18" s="12">
        <v>64.642832778798265</v>
      </c>
      <c r="D18">
        <v>3863.9569999999999</v>
      </c>
      <c r="E18">
        <f t="shared" si="0"/>
        <v>-31.79300000000012</v>
      </c>
      <c r="K18" s="12">
        <f t="shared" si="1"/>
        <v>64.642832778798265</v>
      </c>
      <c r="L18">
        <f t="shared" si="2"/>
        <v>-31.79300000000012</v>
      </c>
    </row>
    <row r="19" spans="1:12" x14ac:dyDescent="0.25">
      <c r="A19" t="s">
        <v>19</v>
      </c>
      <c r="C19" s="12">
        <v>69.526781898107402</v>
      </c>
      <c r="D19">
        <v>3862.886</v>
      </c>
      <c r="E19">
        <f t="shared" si="0"/>
        <v>-32.864000000000033</v>
      </c>
      <c r="K19" s="12">
        <f t="shared" si="1"/>
        <v>69.526781898107402</v>
      </c>
      <c r="L19">
        <f t="shared" si="2"/>
        <v>-32.864000000000033</v>
      </c>
    </row>
    <row r="20" spans="1:12" x14ac:dyDescent="0.25">
      <c r="A20" s="1" t="s">
        <v>20</v>
      </c>
      <c r="C20" s="12">
        <v>74.460899752395107</v>
      </c>
      <c r="D20">
        <v>3862.0770000000002</v>
      </c>
      <c r="E20">
        <f t="shared" si="0"/>
        <v>-33.672999999999774</v>
      </c>
      <c r="K20" s="12">
        <f t="shared" si="1"/>
        <v>74.460899752395107</v>
      </c>
      <c r="L20">
        <f t="shared" si="2"/>
        <v>-33.672999999999774</v>
      </c>
    </row>
    <row r="21" spans="1:12" x14ac:dyDescent="0.25">
      <c r="A21" t="s">
        <v>21</v>
      </c>
      <c r="C21" s="12">
        <v>79.441147135808933</v>
      </c>
      <c r="D21">
        <v>3861.6329999999998</v>
      </c>
      <c r="E21">
        <f t="shared" si="0"/>
        <v>-34.117000000000189</v>
      </c>
      <c r="K21" s="12">
        <f t="shared" si="1"/>
        <v>79.441147135808933</v>
      </c>
      <c r="L21">
        <f t="shared" si="2"/>
        <v>-34.117000000000189</v>
      </c>
    </row>
    <row r="22" spans="1:12" x14ac:dyDescent="0.25">
      <c r="A22" s="1" t="s">
        <v>22</v>
      </c>
      <c r="C22" s="12">
        <v>84.434486299134505</v>
      </c>
      <c r="D22">
        <v>3861.375</v>
      </c>
      <c r="E22">
        <f t="shared" si="0"/>
        <v>-34.375</v>
      </c>
      <c r="K22" s="12">
        <f t="shared" si="1"/>
        <v>84.434486299134505</v>
      </c>
      <c r="L22">
        <f t="shared" si="2"/>
        <v>-34.375</v>
      </c>
    </row>
    <row r="23" spans="1:12" x14ac:dyDescent="0.25">
      <c r="A23" t="s">
        <v>23</v>
      </c>
      <c r="C23" s="12">
        <v>89.420328655246522</v>
      </c>
      <c r="D23">
        <v>3861.7510000000002</v>
      </c>
      <c r="E23">
        <f t="shared" si="0"/>
        <v>-33.998999999999796</v>
      </c>
      <c r="K23" s="12">
        <f t="shared" si="1"/>
        <v>89.420328655246522</v>
      </c>
      <c r="L23">
        <f t="shared" si="2"/>
        <v>-33.998999999999796</v>
      </c>
    </row>
    <row r="24" spans="1:12" x14ac:dyDescent="0.25">
      <c r="A24" s="1" t="s">
        <v>24</v>
      </c>
      <c r="C24" s="12">
        <v>94.372489799636014</v>
      </c>
      <c r="D24">
        <v>3862.4409999999998</v>
      </c>
      <c r="E24">
        <f t="shared" si="0"/>
        <v>-33.309000000000196</v>
      </c>
      <c r="K24" s="12">
        <f t="shared" si="1"/>
        <v>94.372489799636014</v>
      </c>
      <c r="L24">
        <f t="shared" si="2"/>
        <v>-33.309000000000196</v>
      </c>
    </row>
    <row r="25" spans="1:12" x14ac:dyDescent="0.25">
      <c r="A25" t="s">
        <v>25</v>
      </c>
      <c r="C25" s="12">
        <v>99.290639756682822</v>
      </c>
      <c r="D25">
        <v>3863.3420000000001</v>
      </c>
      <c r="E25">
        <f t="shared" si="0"/>
        <v>-32.407999999999902</v>
      </c>
      <c r="K25" s="12">
        <f t="shared" si="1"/>
        <v>99.290639756682822</v>
      </c>
      <c r="L25">
        <f t="shared" si="2"/>
        <v>-32.407999999999902</v>
      </c>
    </row>
    <row r="26" spans="1:12" x14ac:dyDescent="0.25">
      <c r="A26" s="1" t="s">
        <v>26</v>
      </c>
      <c r="C26" s="12">
        <v>104.20583161458626</v>
      </c>
      <c r="D26">
        <v>3864.259</v>
      </c>
      <c r="E26">
        <f t="shared" si="0"/>
        <v>-31.490999999999985</v>
      </c>
      <c r="K26" s="12">
        <f t="shared" si="1"/>
        <v>104.20583161458626</v>
      </c>
      <c r="L26">
        <f t="shared" si="2"/>
        <v>-31.490999999999985</v>
      </c>
    </row>
    <row r="27" spans="1:12" x14ac:dyDescent="0.25">
      <c r="A27" t="s">
        <v>27</v>
      </c>
      <c r="C27" s="12">
        <v>109.11221837064204</v>
      </c>
      <c r="D27">
        <v>3865.2220000000002</v>
      </c>
      <c r="E27">
        <f t="shared" si="0"/>
        <v>-30.527999999999793</v>
      </c>
      <c r="K27" s="12">
        <f t="shared" si="1"/>
        <v>109.11221837064204</v>
      </c>
      <c r="L27">
        <f t="shared" si="2"/>
        <v>-30.527999999999793</v>
      </c>
    </row>
    <row r="28" spans="1:12" x14ac:dyDescent="0.25">
      <c r="A28" s="1" t="s">
        <v>28</v>
      </c>
      <c r="C28" s="12">
        <v>114.04877222935761</v>
      </c>
      <c r="D28">
        <v>3866.0160000000001</v>
      </c>
      <c r="E28">
        <f t="shared" si="0"/>
        <v>-29.733999999999924</v>
      </c>
      <c r="K28" s="12">
        <f t="shared" si="1"/>
        <v>114.04877222935761</v>
      </c>
      <c r="L28">
        <f t="shared" si="2"/>
        <v>-29.733999999999924</v>
      </c>
    </row>
    <row r="29" spans="1:12" x14ac:dyDescent="0.25">
      <c r="A29" t="s">
        <v>29</v>
      </c>
      <c r="C29" s="12">
        <v>118.94815953799116</v>
      </c>
      <c r="D29">
        <v>3867.0140000000001</v>
      </c>
      <c r="E29">
        <f t="shared" si="0"/>
        <v>-28.735999999999876</v>
      </c>
      <c r="K29" s="12">
        <f t="shared" si="1"/>
        <v>118.94815953799116</v>
      </c>
      <c r="L29">
        <f t="shared" si="2"/>
        <v>-28.735999999999876</v>
      </c>
    </row>
    <row r="30" spans="1:12" x14ac:dyDescent="0.25">
      <c r="A30" s="1" t="s">
        <v>30</v>
      </c>
      <c r="C30" s="12">
        <v>123.88567470252474</v>
      </c>
      <c r="D30">
        <v>3867.8020000000001</v>
      </c>
      <c r="E30">
        <f t="shared" si="0"/>
        <v>-27.947999999999865</v>
      </c>
      <c r="K30" s="12">
        <f t="shared" si="1"/>
        <v>123.88567470252474</v>
      </c>
      <c r="L30">
        <f t="shared" si="2"/>
        <v>-27.947999999999865</v>
      </c>
    </row>
    <row r="31" spans="1:12" x14ac:dyDescent="0.25">
      <c r="A31" t="s">
        <v>31</v>
      </c>
      <c r="C31" s="12">
        <v>128.83529448590207</v>
      </c>
      <c r="D31">
        <v>3868.51</v>
      </c>
      <c r="E31">
        <f t="shared" si="0"/>
        <v>-27.239999999999782</v>
      </c>
      <c r="K31" s="12">
        <f t="shared" si="1"/>
        <v>128.83529448590207</v>
      </c>
      <c r="L31">
        <f t="shared" si="2"/>
        <v>-27.239999999999782</v>
      </c>
    </row>
    <row r="32" spans="1:12" x14ac:dyDescent="0.25">
      <c r="A32" s="1" t="s">
        <v>32</v>
      </c>
      <c r="C32" s="12">
        <v>133.80992924636439</v>
      </c>
      <c r="D32">
        <v>3869.0129999999999</v>
      </c>
      <c r="E32">
        <f t="shared" si="0"/>
        <v>-26.73700000000008</v>
      </c>
      <c r="K32" s="12">
        <f t="shared" si="1"/>
        <v>133.80992924636439</v>
      </c>
      <c r="L32">
        <f t="shared" si="2"/>
        <v>-26.73700000000008</v>
      </c>
    </row>
    <row r="33" spans="1:12" x14ac:dyDescent="0.25">
      <c r="A33" t="s">
        <v>33</v>
      </c>
      <c r="C33" s="12">
        <v>138.80846493194281</v>
      </c>
      <c r="D33">
        <v>3869.134</v>
      </c>
      <c r="E33">
        <f t="shared" si="0"/>
        <v>-26.615999999999985</v>
      </c>
      <c r="K33" s="12">
        <f t="shared" si="1"/>
        <v>138.80846493194281</v>
      </c>
      <c r="L33">
        <f t="shared" si="2"/>
        <v>-26.615999999999985</v>
      </c>
    </row>
    <row r="34" spans="1:12" x14ac:dyDescent="0.25">
      <c r="A34" s="1" t="s">
        <v>34</v>
      </c>
      <c r="C34" s="12">
        <v>143.80533104982101</v>
      </c>
      <c r="D34">
        <v>3868.9569999999999</v>
      </c>
      <c r="E34">
        <f t="shared" si="0"/>
        <v>-26.79300000000012</v>
      </c>
      <c r="K34" s="12">
        <f t="shared" si="1"/>
        <v>143.80533104982101</v>
      </c>
      <c r="L34">
        <f t="shared" si="2"/>
        <v>-26.79300000000012</v>
      </c>
    </row>
    <row r="35" spans="1:12" x14ac:dyDescent="0.25">
      <c r="A35" t="s">
        <v>35</v>
      </c>
      <c r="C35" s="12">
        <v>148.7983036113319</v>
      </c>
      <c r="D35">
        <v>3868.692</v>
      </c>
      <c r="E35">
        <f t="shared" si="0"/>
        <v>-27.057999999999993</v>
      </c>
      <c r="K35" s="12">
        <f t="shared" si="1"/>
        <v>148.7983036113319</v>
      </c>
      <c r="L35">
        <f t="shared" si="2"/>
        <v>-27.057999999999993</v>
      </c>
    </row>
    <row r="36" spans="1:12" x14ac:dyDescent="0.25">
      <c r="A36" s="1" t="s">
        <v>36</v>
      </c>
      <c r="C36" s="12">
        <v>153.79683929691032</v>
      </c>
      <c r="D36">
        <v>3868.5709999999999</v>
      </c>
      <c r="E36">
        <f t="shared" si="0"/>
        <v>-27.179000000000087</v>
      </c>
      <c r="K36" s="12">
        <f t="shared" si="1"/>
        <v>153.79683929691032</v>
      </c>
      <c r="L36">
        <f t="shared" si="2"/>
        <v>-27.179000000000087</v>
      </c>
    </row>
    <row r="37" spans="1:12" x14ac:dyDescent="0.25">
      <c r="A37" t="s">
        <v>37</v>
      </c>
      <c r="C37" s="12">
        <v>158.78342570446398</v>
      </c>
      <c r="D37">
        <v>3868.2049999999999</v>
      </c>
      <c r="E37">
        <f t="shared" si="0"/>
        <v>-27.545000000000073</v>
      </c>
      <c r="K37" s="12">
        <f t="shared" si="1"/>
        <v>158.78342570446398</v>
      </c>
      <c r="L37">
        <f t="shared" si="2"/>
        <v>-27.545000000000073</v>
      </c>
    </row>
    <row r="38" spans="1:12" x14ac:dyDescent="0.25">
      <c r="A38" s="1" t="s">
        <v>38</v>
      </c>
      <c r="C38" s="12">
        <v>163.77790015129017</v>
      </c>
      <c r="D38">
        <v>3867.97</v>
      </c>
      <c r="E38">
        <f t="shared" si="0"/>
        <v>-27.7800000000002</v>
      </c>
      <c r="K38" s="12">
        <f t="shared" si="1"/>
        <v>163.77790015129017</v>
      </c>
      <c r="L38">
        <f t="shared" si="2"/>
        <v>-27.7800000000002</v>
      </c>
    </row>
    <row r="39" spans="1:12" x14ac:dyDescent="0.25">
      <c r="A39" t="s">
        <v>39</v>
      </c>
      <c r="C39" s="12">
        <v>168.76777750449241</v>
      </c>
      <c r="D39">
        <v>3867.652</v>
      </c>
      <c r="E39">
        <f t="shared" si="0"/>
        <v>-28.097999999999956</v>
      </c>
      <c r="K39" s="12">
        <f t="shared" si="1"/>
        <v>168.76777750449241</v>
      </c>
      <c r="L39">
        <f t="shared" si="2"/>
        <v>-28.097999999999956</v>
      </c>
    </row>
    <row r="40" spans="1:12" x14ac:dyDescent="0.25">
      <c r="A40" s="1" t="s">
        <v>40</v>
      </c>
      <c r="C40" s="12">
        <v>173.76340749479391</v>
      </c>
      <c r="D40">
        <v>3867.4430000000002</v>
      </c>
      <c r="E40">
        <f t="shared" si="0"/>
        <v>-28.306999999999789</v>
      </c>
      <c r="K40" s="12">
        <f t="shared" si="1"/>
        <v>173.76340749479391</v>
      </c>
      <c r="L40">
        <f t="shared" si="2"/>
        <v>-28.306999999999789</v>
      </c>
    </row>
    <row r="41" spans="1:12" x14ac:dyDescent="0.25">
      <c r="A41" t="s">
        <v>41</v>
      </c>
      <c r="C41" s="12">
        <v>178.76127544022825</v>
      </c>
      <c r="D41">
        <v>3867.297</v>
      </c>
      <c r="E41">
        <f t="shared" si="0"/>
        <v>-28.452999999999975</v>
      </c>
      <c r="K41" s="12">
        <f t="shared" si="1"/>
        <v>178.76127544022825</v>
      </c>
      <c r="L41">
        <f t="shared" si="2"/>
        <v>-28.452999999999975</v>
      </c>
    </row>
    <row r="42" spans="1:12" x14ac:dyDescent="0.25">
      <c r="A42" s="1" t="s">
        <v>42</v>
      </c>
      <c r="C42" s="12">
        <v>183.75507149133</v>
      </c>
      <c r="D42">
        <v>3867.0479999999998</v>
      </c>
      <c r="E42">
        <f t="shared" si="0"/>
        <v>-28.702000000000226</v>
      </c>
      <c r="K42" s="12">
        <f t="shared" si="1"/>
        <v>183.75507149133</v>
      </c>
      <c r="L42">
        <f t="shared" si="2"/>
        <v>-28.702000000000226</v>
      </c>
    </row>
    <row r="43" spans="1:12" x14ac:dyDescent="0.25">
      <c r="A43" t="s">
        <v>43</v>
      </c>
      <c r="C43" s="12">
        <v>188.75146018717828</v>
      </c>
      <c r="D43">
        <v>3867.2379999999998</v>
      </c>
      <c r="E43">
        <f t="shared" si="0"/>
        <v>-28.512000000000171</v>
      </c>
      <c r="K43" s="12">
        <f t="shared" si="1"/>
        <v>188.75146018717828</v>
      </c>
      <c r="L43">
        <f t="shared" si="2"/>
        <v>-28.512000000000171</v>
      </c>
    </row>
    <row r="44" spans="1:12" x14ac:dyDescent="0.25">
      <c r="A44" s="1" t="s">
        <v>44</v>
      </c>
      <c r="C44" s="12">
        <v>193.74088650690692</v>
      </c>
      <c r="D44">
        <v>3866.913</v>
      </c>
      <c r="E44">
        <f t="shared" si="0"/>
        <v>-28.836999999999989</v>
      </c>
      <c r="K44" s="12">
        <f t="shared" si="1"/>
        <v>193.74088650690692</v>
      </c>
      <c r="L44">
        <f t="shared" si="2"/>
        <v>-28.836999999999989</v>
      </c>
    </row>
    <row r="45" spans="1:12" x14ac:dyDescent="0.25">
      <c r="A45" t="s">
        <v>45</v>
      </c>
      <c r="C45" s="12">
        <v>198.73448150450122</v>
      </c>
      <c r="D45">
        <v>3867.1660000000002</v>
      </c>
      <c r="E45">
        <f t="shared" si="0"/>
        <v>-28.583999999999833</v>
      </c>
      <c r="K45" s="12">
        <f t="shared" si="1"/>
        <v>198.73448150450122</v>
      </c>
      <c r="L45">
        <f t="shared" si="2"/>
        <v>-28.583999999999833</v>
      </c>
    </row>
    <row r="46" spans="1:12" x14ac:dyDescent="0.25">
      <c r="A46" s="1" t="s">
        <v>46</v>
      </c>
      <c r="C46" s="12">
        <v>203.70402866696986</v>
      </c>
      <c r="D46">
        <v>3867.7170000000001</v>
      </c>
      <c r="E46">
        <f t="shared" si="0"/>
        <v>-28.032999999999902</v>
      </c>
      <c r="K46" s="12">
        <f t="shared" si="1"/>
        <v>203.70402866696986</v>
      </c>
      <c r="L46">
        <f t="shared" si="2"/>
        <v>-28.032999999999902</v>
      </c>
    </row>
    <row r="47" spans="1:12" x14ac:dyDescent="0.25">
      <c r="A47" t="s">
        <v>47</v>
      </c>
      <c r="C47" s="12">
        <v>208.61658797958899</v>
      </c>
      <c r="D47">
        <v>3868.6480000000001</v>
      </c>
      <c r="E47">
        <f t="shared" si="0"/>
        <v>-27.101999999999862</v>
      </c>
      <c r="K47" s="12">
        <f t="shared" si="1"/>
        <v>208.61658797958899</v>
      </c>
      <c r="L47">
        <f t="shared" si="2"/>
        <v>-27.101999999999862</v>
      </c>
    </row>
    <row r="48" spans="1:12" x14ac:dyDescent="0.25">
      <c r="A48" s="1" t="s">
        <v>48</v>
      </c>
      <c r="C48" s="12">
        <v>213.18949908740638</v>
      </c>
      <c r="D48">
        <v>3870.67</v>
      </c>
      <c r="E48">
        <f t="shared" si="0"/>
        <v>-25.079999999999927</v>
      </c>
      <c r="K48" s="12">
        <f t="shared" si="1"/>
        <v>213.18949908740638</v>
      </c>
      <c r="L48">
        <f t="shared" si="2"/>
        <v>-25.079999999999927</v>
      </c>
    </row>
    <row r="49" spans="1:12" x14ac:dyDescent="0.25">
      <c r="A49" t="s">
        <v>49</v>
      </c>
      <c r="C49" s="12">
        <v>218.08476986643382</v>
      </c>
      <c r="D49">
        <v>3871.6880000000001</v>
      </c>
      <c r="E49">
        <f t="shared" si="0"/>
        <v>-24.061999999999898</v>
      </c>
      <c r="K49" s="12">
        <f t="shared" si="1"/>
        <v>218.08476986643382</v>
      </c>
      <c r="L49">
        <f t="shared" si="2"/>
        <v>-24.061999999999898</v>
      </c>
    </row>
    <row r="50" spans="1:12" x14ac:dyDescent="0.25">
      <c r="A50" s="1" t="s">
        <v>50</v>
      </c>
      <c r="C50" s="12">
        <v>222.97392020161487</v>
      </c>
      <c r="D50">
        <v>3872.7350000000001</v>
      </c>
      <c r="E50">
        <f t="shared" si="0"/>
        <v>-23.014999999999873</v>
      </c>
      <c r="K50" s="12">
        <f t="shared" si="1"/>
        <v>222.97392020161487</v>
      </c>
      <c r="L50">
        <f t="shared" si="2"/>
        <v>-23.014999999999873</v>
      </c>
    </row>
    <row r="51" spans="1:12" ht="15.75" thickBot="1" x14ac:dyDescent="0.3">
      <c r="A51" t="s">
        <v>51</v>
      </c>
      <c r="B51" t="s">
        <v>175</v>
      </c>
      <c r="C51" s="12">
        <v>227.85874476345953</v>
      </c>
      <c r="D51">
        <v>3873.8020000000001</v>
      </c>
      <c r="E51">
        <f t="shared" si="0"/>
        <v>-21.947999999999865</v>
      </c>
      <c r="K51" s="12">
        <f t="shared" si="1"/>
        <v>227.85874476345953</v>
      </c>
      <c r="L51">
        <f t="shared" si="2"/>
        <v>-21.947999999999865</v>
      </c>
    </row>
    <row r="52" spans="1:12" ht="15.75" thickBot="1" x14ac:dyDescent="0.3">
      <c r="A52" s="1" t="s">
        <v>52</v>
      </c>
      <c r="B52" t="s">
        <v>103</v>
      </c>
      <c r="C52" s="12">
        <v>232.84689712681006</v>
      </c>
      <c r="D52">
        <v>3874.1460000000002</v>
      </c>
      <c r="E52">
        <f t="shared" si="0"/>
        <v>-21.603999999999814</v>
      </c>
      <c r="F52" s="13">
        <f>C52</f>
        <v>232.84689712681006</v>
      </c>
      <c r="G52" s="14">
        <f>D52</f>
        <v>3874.1460000000002</v>
      </c>
      <c r="H52">
        <f>E52</f>
        <v>-21.603999999999814</v>
      </c>
      <c r="I52" s="12">
        <f>I53-7.5</f>
        <v>226.39925448056442</v>
      </c>
      <c r="J52" s="14">
        <v>-22</v>
      </c>
      <c r="K52" s="12">
        <f t="shared" si="1"/>
        <v>232.84689712681006</v>
      </c>
      <c r="L52">
        <f t="shared" si="2"/>
        <v>-21.603999999999814</v>
      </c>
    </row>
    <row r="53" spans="1:12" ht="15.75" thickBot="1" x14ac:dyDescent="0.3">
      <c r="A53" t="s">
        <v>53</v>
      </c>
      <c r="B53" t="s">
        <v>104</v>
      </c>
      <c r="C53" s="12">
        <v>233.89925448056442</v>
      </c>
      <c r="D53">
        <v>3877.0340000000001</v>
      </c>
      <c r="E53">
        <f>D53-MAX(D53:D124)</f>
        <v>-18.715999999999894</v>
      </c>
      <c r="F53" s="15">
        <f t="shared" ref="F53:F75" si="3">C53</f>
        <v>233.89925448056442</v>
      </c>
      <c r="G53" s="4">
        <f t="shared" ref="G53:G75" si="4">D53</f>
        <v>3877.0340000000001</v>
      </c>
      <c r="H53">
        <f t="shared" ref="H53:H76" si="5">E53</f>
        <v>-18.715999999999894</v>
      </c>
      <c r="I53" s="13">
        <f>F53</f>
        <v>233.89925448056442</v>
      </c>
      <c r="J53" s="14">
        <f>H53</f>
        <v>-18.715999999999894</v>
      </c>
      <c r="K53" s="12">
        <f t="shared" si="1"/>
        <v>233.89925448056442</v>
      </c>
      <c r="L53">
        <f t="shared" si="2"/>
        <v>-18.715999999999894</v>
      </c>
    </row>
    <row r="54" spans="1:12" ht="15.75" thickBot="1" x14ac:dyDescent="0.3">
      <c r="A54" s="1" t="s">
        <v>54</v>
      </c>
      <c r="B54" t="s">
        <v>105</v>
      </c>
      <c r="C54" s="12">
        <v>238.69396781923228</v>
      </c>
      <c r="D54">
        <v>3880.4520000000002</v>
      </c>
      <c r="E54">
        <f t="shared" si="0"/>
        <v>-15.297999999999774</v>
      </c>
      <c r="F54" s="15">
        <f t="shared" si="3"/>
        <v>238.69396781923228</v>
      </c>
      <c r="G54" s="4">
        <f t="shared" si="4"/>
        <v>3880.4520000000002</v>
      </c>
      <c r="H54">
        <f t="shared" si="5"/>
        <v>-15.297999999999774</v>
      </c>
      <c r="I54" s="13">
        <f t="shared" ref="I54:I75" si="6">F54</f>
        <v>238.69396781923228</v>
      </c>
      <c r="J54" s="14">
        <f t="shared" ref="J54:J77" si="7">H54</f>
        <v>-15.297999999999774</v>
      </c>
      <c r="K54" s="12">
        <f t="shared" si="1"/>
        <v>238.69396781923228</v>
      </c>
      <c r="L54">
        <f t="shared" si="2"/>
        <v>-15.297999999999774</v>
      </c>
    </row>
    <row r="55" spans="1:12" ht="15.75" thickBot="1" x14ac:dyDescent="0.3">
      <c r="A55" t="s">
        <v>55</v>
      </c>
      <c r="B55" t="s">
        <v>106</v>
      </c>
      <c r="C55" s="12">
        <v>243.52201090106178</v>
      </c>
      <c r="D55">
        <v>3881.752</v>
      </c>
      <c r="E55">
        <f t="shared" si="0"/>
        <v>-13.998000000000047</v>
      </c>
      <c r="F55" s="15">
        <f t="shared" si="3"/>
        <v>243.52201090106178</v>
      </c>
      <c r="G55" s="4">
        <f t="shared" si="4"/>
        <v>3881.752</v>
      </c>
      <c r="H55">
        <f t="shared" si="5"/>
        <v>-13.998000000000047</v>
      </c>
      <c r="I55" s="13">
        <f t="shared" si="6"/>
        <v>243.52201090106178</v>
      </c>
      <c r="J55" s="14">
        <f t="shared" si="7"/>
        <v>-13.998000000000047</v>
      </c>
      <c r="K55" s="12">
        <f t="shared" si="1"/>
        <v>243.52201090106178</v>
      </c>
      <c r="L55">
        <f t="shared" si="2"/>
        <v>-13.998000000000047</v>
      </c>
    </row>
    <row r="56" spans="1:12" ht="15.75" thickBot="1" x14ac:dyDescent="0.3">
      <c r="A56" s="1" t="s">
        <v>56</v>
      </c>
      <c r="B56" t="s">
        <v>107</v>
      </c>
      <c r="C56" s="12">
        <v>248.50946355747874</v>
      </c>
      <c r="D56">
        <v>3882.1060000000002</v>
      </c>
      <c r="E56">
        <f t="shared" si="0"/>
        <v>-13.643999999999778</v>
      </c>
      <c r="F56" s="15">
        <f t="shared" si="3"/>
        <v>248.50946355747874</v>
      </c>
      <c r="G56" s="4">
        <f t="shared" si="4"/>
        <v>3882.1060000000002</v>
      </c>
      <c r="H56">
        <f t="shared" si="5"/>
        <v>-13.643999999999778</v>
      </c>
      <c r="I56" s="13">
        <f t="shared" si="6"/>
        <v>248.50946355747874</v>
      </c>
      <c r="J56" s="14">
        <f t="shared" si="7"/>
        <v>-13.643999999999778</v>
      </c>
      <c r="K56" s="12">
        <f t="shared" si="1"/>
        <v>248.50946355747874</v>
      </c>
      <c r="L56">
        <f t="shared" si="2"/>
        <v>-13.643999999999778</v>
      </c>
    </row>
    <row r="57" spans="1:12" ht="15.75" thickBot="1" x14ac:dyDescent="0.3">
      <c r="A57" t="s">
        <v>57</v>
      </c>
      <c r="B57" t="s">
        <v>108</v>
      </c>
      <c r="C57" s="12">
        <v>253.45304515385192</v>
      </c>
      <c r="D57">
        <v>3882.855</v>
      </c>
      <c r="E57">
        <f t="shared" si="0"/>
        <v>-12.894999999999982</v>
      </c>
      <c r="F57" s="15">
        <f t="shared" si="3"/>
        <v>253.45304515385192</v>
      </c>
      <c r="G57" s="4">
        <f t="shared" si="4"/>
        <v>3882.855</v>
      </c>
      <c r="H57">
        <f t="shared" si="5"/>
        <v>-12.894999999999982</v>
      </c>
      <c r="I57" s="13">
        <f t="shared" si="6"/>
        <v>253.45304515385192</v>
      </c>
      <c r="J57" s="14">
        <f t="shared" si="7"/>
        <v>-12.894999999999982</v>
      </c>
      <c r="K57" s="12">
        <f t="shared" si="1"/>
        <v>253.45304515385192</v>
      </c>
      <c r="L57">
        <f t="shared" si="2"/>
        <v>-12.894999999999982</v>
      </c>
    </row>
    <row r="58" spans="1:12" ht="15.75" thickBot="1" x14ac:dyDescent="0.3">
      <c r="A58" s="1" t="s">
        <v>58</v>
      </c>
      <c r="B58" t="s">
        <v>109</v>
      </c>
      <c r="C58" s="12">
        <v>258.45088378670107</v>
      </c>
      <c r="D58">
        <v>3883.002</v>
      </c>
      <c r="E58">
        <f t="shared" si="0"/>
        <v>-12.748000000000047</v>
      </c>
      <c r="F58" s="15">
        <f t="shared" si="3"/>
        <v>258.45088378670107</v>
      </c>
      <c r="G58" s="4">
        <f t="shared" si="4"/>
        <v>3883.002</v>
      </c>
      <c r="H58">
        <f t="shared" si="5"/>
        <v>-12.748000000000047</v>
      </c>
      <c r="I58" s="13">
        <f t="shared" si="6"/>
        <v>258.45088378670107</v>
      </c>
      <c r="J58" s="14">
        <f t="shared" si="7"/>
        <v>-12.748000000000047</v>
      </c>
      <c r="K58" s="12">
        <f t="shared" si="1"/>
        <v>258.45088378670107</v>
      </c>
      <c r="L58">
        <f t="shared" si="2"/>
        <v>-12.748000000000047</v>
      </c>
    </row>
    <row r="59" spans="1:12" ht="15.75" thickBot="1" x14ac:dyDescent="0.3">
      <c r="A59" t="s">
        <v>59</v>
      </c>
      <c r="B59" t="s">
        <v>110</v>
      </c>
      <c r="C59" s="12">
        <v>263.34216490722565</v>
      </c>
      <c r="D59">
        <v>3884.0390000000002</v>
      </c>
      <c r="E59">
        <f t="shared" si="0"/>
        <v>-11.710999999999785</v>
      </c>
      <c r="F59" s="15">
        <f t="shared" si="3"/>
        <v>263.34216490722565</v>
      </c>
      <c r="G59" s="4">
        <f t="shared" si="4"/>
        <v>3884.0390000000002</v>
      </c>
      <c r="H59">
        <f t="shared" si="5"/>
        <v>-11.710999999999785</v>
      </c>
      <c r="I59" s="13">
        <f t="shared" si="6"/>
        <v>263.34216490722565</v>
      </c>
      <c r="J59" s="14">
        <f t="shared" si="7"/>
        <v>-11.710999999999785</v>
      </c>
      <c r="K59" s="12">
        <f t="shared" si="1"/>
        <v>263.34216490722565</v>
      </c>
      <c r="L59">
        <f t="shared" si="2"/>
        <v>-11.710999999999785</v>
      </c>
    </row>
    <row r="60" spans="1:12" ht="15.75" thickBot="1" x14ac:dyDescent="0.3">
      <c r="A60" s="1" t="s">
        <v>60</v>
      </c>
      <c r="B60" t="s">
        <v>111</v>
      </c>
      <c r="C60" s="12">
        <v>268.17288949055683</v>
      </c>
      <c r="D60">
        <v>3885.3290000000002</v>
      </c>
      <c r="E60">
        <f t="shared" si="0"/>
        <v>-10.420999999999822</v>
      </c>
      <c r="F60" s="15">
        <f t="shared" si="3"/>
        <v>268.17288949055683</v>
      </c>
      <c r="G60" s="4">
        <f t="shared" si="4"/>
        <v>3885.3290000000002</v>
      </c>
      <c r="H60">
        <f t="shared" si="5"/>
        <v>-10.420999999999822</v>
      </c>
      <c r="I60" s="13">
        <f t="shared" si="6"/>
        <v>268.17288949055683</v>
      </c>
      <c r="J60" s="14">
        <f t="shared" si="7"/>
        <v>-10.420999999999822</v>
      </c>
      <c r="K60" s="12">
        <f t="shared" si="1"/>
        <v>268.17288949055683</v>
      </c>
      <c r="L60">
        <f t="shared" si="2"/>
        <v>-10.420999999999822</v>
      </c>
    </row>
    <row r="61" spans="1:12" ht="15.75" thickBot="1" x14ac:dyDescent="0.3">
      <c r="A61" t="s">
        <v>61</v>
      </c>
      <c r="B61" t="s">
        <v>112</v>
      </c>
      <c r="C61" s="12">
        <v>273.13541697158917</v>
      </c>
      <c r="D61">
        <v>3885.94</v>
      </c>
      <c r="E61">
        <f t="shared" si="0"/>
        <v>-9.8099999999999454</v>
      </c>
      <c r="F61" s="15">
        <f t="shared" si="3"/>
        <v>273.13541697158917</v>
      </c>
      <c r="G61" s="4">
        <f t="shared" si="4"/>
        <v>3885.94</v>
      </c>
      <c r="H61">
        <f t="shared" si="5"/>
        <v>-9.8099999999999454</v>
      </c>
      <c r="I61" s="13">
        <f t="shared" si="6"/>
        <v>273.13541697158917</v>
      </c>
      <c r="J61" s="14">
        <f t="shared" si="7"/>
        <v>-9.8099999999999454</v>
      </c>
      <c r="K61" s="12">
        <f t="shared" si="1"/>
        <v>273.13541697158917</v>
      </c>
      <c r="L61">
        <f t="shared" si="2"/>
        <v>-9.8099999999999454</v>
      </c>
    </row>
    <row r="62" spans="1:12" ht="15.75" thickBot="1" x14ac:dyDescent="0.3">
      <c r="A62" s="1" t="s">
        <v>62</v>
      </c>
      <c r="B62" t="s">
        <v>113</v>
      </c>
      <c r="C62" s="12">
        <v>278.13506885947095</v>
      </c>
      <c r="D62">
        <v>3885.9989999999998</v>
      </c>
      <c r="E62">
        <f t="shared" si="0"/>
        <v>-9.7510000000002037</v>
      </c>
      <c r="F62" s="15">
        <f t="shared" si="3"/>
        <v>278.13506885947095</v>
      </c>
      <c r="G62" s="4">
        <f t="shared" si="4"/>
        <v>3885.9989999999998</v>
      </c>
      <c r="H62">
        <f t="shared" si="5"/>
        <v>-9.7510000000002037</v>
      </c>
      <c r="I62" s="13">
        <f t="shared" si="6"/>
        <v>278.13506885947095</v>
      </c>
      <c r="J62" s="14">
        <f t="shared" si="7"/>
        <v>-9.7510000000002037</v>
      </c>
      <c r="K62" s="12">
        <f t="shared" si="1"/>
        <v>278.13506885947095</v>
      </c>
      <c r="L62">
        <f t="shared" si="2"/>
        <v>-9.7510000000002037</v>
      </c>
    </row>
    <row r="63" spans="1:12" ht="15.75" thickBot="1" x14ac:dyDescent="0.3">
      <c r="A63" t="s">
        <v>63</v>
      </c>
      <c r="B63" t="s">
        <v>114</v>
      </c>
      <c r="C63" s="12">
        <v>282.29898240324201</v>
      </c>
      <c r="D63">
        <v>3888.7669999999998</v>
      </c>
      <c r="E63">
        <f t="shared" si="0"/>
        <v>-6.9830000000001746</v>
      </c>
      <c r="F63" s="15">
        <f t="shared" si="3"/>
        <v>282.29898240324201</v>
      </c>
      <c r="G63" s="4">
        <f t="shared" si="4"/>
        <v>3888.7669999999998</v>
      </c>
      <c r="H63">
        <f t="shared" si="5"/>
        <v>-6.9830000000001746</v>
      </c>
      <c r="I63" s="13">
        <f t="shared" si="6"/>
        <v>282.29898240324201</v>
      </c>
      <c r="J63" s="14">
        <f t="shared" si="7"/>
        <v>-6.9830000000001746</v>
      </c>
      <c r="K63" s="12">
        <f t="shared" si="1"/>
        <v>282.29898240324201</v>
      </c>
      <c r="L63">
        <f t="shared" si="2"/>
        <v>-6.9830000000001746</v>
      </c>
    </row>
    <row r="64" spans="1:12" ht="15.75" thickBot="1" x14ac:dyDescent="0.3">
      <c r="A64" s="1" t="s">
        <v>64</v>
      </c>
      <c r="B64" t="s">
        <v>115</v>
      </c>
      <c r="C64" s="12">
        <v>287.15604231639918</v>
      </c>
      <c r="D64">
        <v>3889.9540000000002</v>
      </c>
      <c r="E64">
        <f t="shared" si="0"/>
        <v>-5.7959999999998217</v>
      </c>
      <c r="F64" s="15">
        <f t="shared" si="3"/>
        <v>287.15604231639918</v>
      </c>
      <c r="G64" s="4">
        <f t="shared" si="4"/>
        <v>3889.9540000000002</v>
      </c>
      <c r="H64">
        <f t="shared" si="5"/>
        <v>-5.7959999999998217</v>
      </c>
      <c r="I64" s="13">
        <f t="shared" si="6"/>
        <v>287.15604231639918</v>
      </c>
      <c r="J64" s="14">
        <f t="shared" si="7"/>
        <v>-5.7959999999998217</v>
      </c>
      <c r="K64" s="12">
        <f t="shared" si="1"/>
        <v>287.15604231639918</v>
      </c>
      <c r="L64">
        <f t="shared" si="2"/>
        <v>-5.7959999999998217</v>
      </c>
    </row>
    <row r="65" spans="1:12" ht="15.75" thickBot="1" x14ac:dyDescent="0.3">
      <c r="A65" t="s">
        <v>65</v>
      </c>
      <c r="B65" t="s">
        <v>116</v>
      </c>
      <c r="C65" s="12">
        <v>292.14932971049143</v>
      </c>
      <c r="D65">
        <v>3889.6950000000002</v>
      </c>
      <c r="E65">
        <f t="shared" si="0"/>
        <v>-6.0549999999998363</v>
      </c>
      <c r="F65" s="15">
        <f t="shared" si="3"/>
        <v>292.14932971049143</v>
      </c>
      <c r="G65" s="4">
        <f t="shared" si="4"/>
        <v>3889.6950000000002</v>
      </c>
      <c r="H65">
        <f t="shared" si="5"/>
        <v>-6.0549999999998363</v>
      </c>
      <c r="I65" s="13">
        <f t="shared" si="6"/>
        <v>292.14932971049143</v>
      </c>
      <c r="J65" s="14">
        <f t="shared" si="7"/>
        <v>-6.0549999999998363</v>
      </c>
      <c r="K65" s="12">
        <f t="shared" si="1"/>
        <v>292.14932971049143</v>
      </c>
      <c r="L65">
        <f t="shared" si="2"/>
        <v>-6.0549999999998363</v>
      </c>
    </row>
    <row r="66" spans="1:12" ht="15.75" thickBot="1" x14ac:dyDescent="0.3">
      <c r="A66" s="1" t="s">
        <v>66</v>
      </c>
      <c r="B66" t="s">
        <v>117</v>
      </c>
      <c r="C66" s="12">
        <v>297.11920858225494</v>
      </c>
      <c r="D66">
        <v>3890.2429999999999</v>
      </c>
      <c r="E66">
        <f t="shared" si="0"/>
        <v>-5.5070000000000618</v>
      </c>
      <c r="F66" s="15">
        <f t="shared" si="3"/>
        <v>297.11920858225494</v>
      </c>
      <c r="G66" s="4">
        <f t="shared" si="4"/>
        <v>3890.2429999999999</v>
      </c>
      <c r="H66">
        <f t="shared" si="5"/>
        <v>-5.5070000000000618</v>
      </c>
      <c r="I66" s="13">
        <f t="shared" si="6"/>
        <v>297.11920858225494</v>
      </c>
      <c r="J66" s="14">
        <f t="shared" si="7"/>
        <v>-5.5070000000000618</v>
      </c>
      <c r="K66" s="12">
        <f t="shared" si="1"/>
        <v>297.11920858225494</v>
      </c>
      <c r="L66">
        <f t="shared" si="2"/>
        <v>-5.5070000000000618</v>
      </c>
    </row>
    <row r="67" spans="1:12" ht="15.75" thickBot="1" x14ac:dyDescent="0.3">
      <c r="A67" t="s">
        <v>67</v>
      </c>
      <c r="B67" t="s">
        <v>118</v>
      </c>
      <c r="C67" s="12">
        <v>302.11290450811975</v>
      </c>
      <c r="D67">
        <v>3890.4940000000001</v>
      </c>
      <c r="E67">
        <f t="shared" si="0"/>
        <v>-5.2559999999998581</v>
      </c>
      <c r="F67" s="15">
        <f t="shared" si="3"/>
        <v>302.11290450811975</v>
      </c>
      <c r="G67" s="4">
        <f t="shared" si="4"/>
        <v>3890.4940000000001</v>
      </c>
      <c r="H67">
        <f t="shared" si="5"/>
        <v>-5.2559999999998581</v>
      </c>
      <c r="I67" s="13">
        <f t="shared" si="6"/>
        <v>302.11290450811975</v>
      </c>
      <c r="J67" s="14">
        <f t="shared" si="7"/>
        <v>-5.2559999999998581</v>
      </c>
      <c r="K67" s="12">
        <f t="shared" si="1"/>
        <v>302.11290450811975</v>
      </c>
      <c r="L67">
        <f t="shared" si="2"/>
        <v>-5.2559999999998581</v>
      </c>
    </row>
    <row r="68" spans="1:12" ht="15.75" thickBot="1" x14ac:dyDescent="0.3">
      <c r="A68" s="1" t="s">
        <v>68</v>
      </c>
      <c r="B68" t="s">
        <v>119</v>
      </c>
      <c r="C68" s="12">
        <v>307.11267410281107</v>
      </c>
      <c r="D68">
        <v>3890.4459999999999</v>
      </c>
      <c r="E68">
        <f t="shared" si="0"/>
        <v>-5.3040000000000873</v>
      </c>
      <c r="F68" s="15">
        <f t="shared" si="3"/>
        <v>307.11267410281107</v>
      </c>
      <c r="G68" s="4">
        <f t="shared" si="4"/>
        <v>3890.4459999999999</v>
      </c>
      <c r="H68">
        <f t="shared" si="5"/>
        <v>-5.3040000000000873</v>
      </c>
      <c r="I68" s="13">
        <f t="shared" si="6"/>
        <v>307.11267410281107</v>
      </c>
      <c r="J68" s="14">
        <f t="shared" si="7"/>
        <v>-5.3040000000000873</v>
      </c>
      <c r="K68" s="12">
        <f t="shared" si="1"/>
        <v>307.11267410281107</v>
      </c>
      <c r="L68">
        <f t="shared" si="2"/>
        <v>-5.3040000000000873</v>
      </c>
    </row>
    <row r="69" spans="1:12" ht="15.75" thickBot="1" x14ac:dyDescent="0.3">
      <c r="A69" t="s">
        <v>69</v>
      </c>
      <c r="B69" t="s">
        <v>120</v>
      </c>
      <c r="C69" s="12">
        <v>312.1115923857999</v>
      </c>
      <c r="D69">
        <v>3890.55</v>
      </c>
      <c r="E69">
        <f t="shared" si="0"/>
        <v>-5.1999999999998181</v>
      </c>
      <c r="F69" s="15">
        <f t="shared" si="3"/>
        <v>312.1115923857999</v>
      </c>
      <c r="G69" s="4">
        <f t="shared" si="4"/>
        <v>3890.55</v>
      </c>
      <c r="H69">
        <f t="shared" si="5"/>
        <v>-5.1999999999998181</v>
      </c>
      <c r="I69" s="13">
        <f t="shared" si="6"/>
        <v>312.1115923857999</v>
      </c>
      <c r="J69" s="14">
        <f t="shared" si="7"/>
        <v>-5.1999999999998181</v>
      </c>
      <c r="K69" s="12">
        <f t="shared" si="1"/>
        <v>312.1115923857999</v>
      </c>
      <c r="L69">
        <f t="shared" si="2"/>
        <v>-5.1999999999998181</v>
      </c>
    </row>
    <row r="70" spans="1:12" ht="15.75" thickBot="1" x14ac:dyDescent="0.3">
      <c r="A70" s="1" t="s">
        <v>70</v>
      </c>
      <c r="B70" t="s">
        <v>121</v>
      </c>
      <c r="C70" s="12">
        <v>317.10620708565421</v>
      </c>
      <c r="D70">
        <v>3890.7820000000002</v>
      </c>
      <c r="E70">
        <f t="shared" ref="E70:E76" si="8">D70-MAX(D70:D141)</f>
        <v>-4.9679999999998472</v>
      </c>
      <c r="F70" s="15">
        <f t="shared" si="3"/>
        <v>317.10620708565421</v>
      </c>
      <c r="G70" s="4">
        <f t="shared" si="4"/>
        <v>3890.7820000000002</v>
      </c>
      <c r="H70">
        <f t="shared" si="5"/>
        <v>-4.9679999999998472</v>
      </c>
      <c r="I70" s="13">
        <f t="shared" si="6"/>
        <v>317.10620708565421</v>
      </c>
      <c r="J70" s="14">
        <f t="shared" si="7"/>
        <v>-4.9679999999998472</v>
      </c>
      <c r="K70" s="12">
        <f t="shared" ref="K70:K76" si="9">C70</f>
        <v>317.10620708565421</v>
      </c>
      <c r="L70">
        <f t="shared" ref="L70:L76" si="10">E70</f>
        <v>-4.9679999999998472</v>
      </c>
    </row>
    <row r="71" spans="1:12" ht="15.75" thickBot="1" x14ac:dyDescent="0.3">
      <c r="A71" t="s">
        <v>71</v>
      </c>
      <c r="B71" t="s">
        <v>122</v>
      </c>
      <c r="C71" s="12">
        <v>322.08002644304952</v>
      </c>
      <c r="D71">
        <v>3891.2930000000001</v>
      </c>
      <c r="E71">
        <f t="shared" si="8"/>
        <v>-4.4569999999998799</v>
      </c>
      <c r="F71" s="15">
        <f t="shared" si="3"/>
        <v>322.08002644304952</v>
      </c>
      <c r="G71" s="4">
        <f t="shared" si="4"/>
        <v>3891.2930000000001</v>
      </c>
      <c r="H71">
        <f t="shared" si="5"/>
        <v>-4.4569999999998799</v>
      </c>
      <c r="I71" s="13">
        <f t="shared" si="6"/>
        <v>322.08002644304952</v>
      </c>
      <c r="J71" s="14">
        <f t="shared" si="7"/>
        <v>-4.4569999999998799</v>
      </c>
      <c r="K71" s="12">
        <f t="shared" si="9"/>
        <v>322.08002644304952</v>
      </c>
      <c r="L71">
        <f t="shared" si="10"/>
        <v>-4.4569999999998799</v>
      </c>
    </row>
    <row r="72" spans="1:12" ht="15.75" thickBot="1" x14ac:dyDescent="0.3">
      <c r="A72" s="1" t="s">
        <v>72</v>
      </c>
      <c r="B72" t="s">
        <v>123</v>
      </c>
      <c r="C72" s="12">
        <v>326.95932311367733</v>
      </c>
      <c r="D72">
        <v>3892.3850000000002</v>
      </c>
      <c r="E72">
        <f t="shared" si="8"/>
        <v>-3.3649999999997817</v>
      </c>
      <c r="F72" s="15">
        <f t="shared" si="3"/>
        <v>326.95932311367733</v>
      </c>
      <c r="G72" s="4">
        <f t="shared" si="4"/>
        <v>3892.3850000000002</v>
      </c>
      <c r="H72">
        <f t="shared" si="5"/>
        <v>-3.3649999999997817</v>
      </c>
      <c r="I72" s="13">
        <f t="shared" si="6"/>
        <v>326.95932311367733</v>
      </c>
      <c r="J72" s="14">
        <f t="shared" si="7"/>
        <v>-3.3649999999997817</v>
      </c>
      <c r="K72" s="12">
        <f t="shared" si="9"/>
        <v>326.95932311367733</v>
      </c>
      <c r="L72">
        <f t="shared" si="10"/>
        <v>-3.3649999999997817</v>
      </c>
    </row>
    <row r="73" spans="1:12" ht="15.75" thickBot="1" x14ac:dyDescent="0.3">
      <c r="A73" t="s">
        <v>73</v>
      </c>
      <c r="B73" t="s">
        <v>124</v>
      </c>
      <c r="C73" s="12">
        <v>331.86997673615974</v>
      </c>
      <c r="D73">
        <v>3893.326</v>
      </c>
      <c r="E73">
        <f t="shared" si="8"/>
        <v>-2.4239999999999782</v>
      </c>
      <c r="F73" s="15">
        <f t="shared" si="3"/>
        <v>331.86997673615974</v>
      </c>
      <c r="G73" s="4">
        <f t="shared" si="4"/>
        <v>3893.326</v>
      </c>
      <c r="H73">
        <f t="shared" si="5"/>
        <v>-2.4239999999999782</v>
      </c>
      <c r="I73" s="13">
        <f t="shared" si="6"/>
        <v>331.86997673615974</v>
      </c>
      <c r="J73" s="14">
        <f t="shared" si="7"/>
        <v>-2.4239999999999782</v>
      </c>
      <c r="K73" s="12">
        <f t="shared" si="9"/>
        <v>331.86997673615974</v>
      </c>
      <c r="L73">
        <f t="shared" si="10"/>
        <v>-2.4239999999999782</v>
      </c>
    </row>
    <row r="74" spans="1:12" ht="15.75" thickBot="1" x14ac:dyDescent="0.3">
      <c r="A74" s="1" t="s">
        <v>74</v>
      </c>
      <c r="B74" t="s">
        <v>125</v>
      </c>
      <c r="C74" s="12">
        <v>336.75632506594548</v>
      </c>
      <c r="D74">
        <v>3894.386</v>
      </c>
      <c r="E74">
        <f t="shared" si="8"/>
        <v>-1.3640000000000327</v>
      </c>
      <c r="F74" s="15">
        <f t="shared" si="3"/>
        <v>336.75632506594548</v>
      </c>
      <c r="G74" s="4">
        <f t="shared" si="4"/>
        <v>3894.386</v>
      </c>
      <c r="H74">
        <f t="shared" si="5"/>
        <v>-1.3640000000000327</v>
      </c>
      <c r="I74" s="13">
        <f t="shared" si="6"/>
        <v>336.75632506594548</v>
      </c>
      <c r="J74" s="14">
        <f t="shared" si="7"/>
        <v>-1.3640000000000327</v>
      </c>
      <c r="K74" s="12">
        <f t="shared" si="9"/>
        <v>336.75632506594548</v>
      </c>
      <c r="L74">
        <f t="shared" si="10"/>
        <v>-1.3640000000000327</v>
      </c>
    </row>
    <row r="75" spans="1:12" ht="15.75" thickBot="1" x14ac:dyDescent="0.3">
      <c r="A75" t="s">
        <v>75</v>
      </c>
      <c r="B75" t="s">
        <v>126</v>
      </c>
      <c r="C75" s="12">
        <v>341.56950322595571</v>
      </c>
      <c r="D75">
        <v>3895.74</v>
      </c>
      <c r="E75">
        <f t="shared" si="8"/>
        <v>-1.0000000000218279E-2</v>
      </c>
      <c r="F75" s="16">
        <f t="shared" si="3"/>
        <v>341.56950322595571</v>
      </c>
      <c r="G75" s="5">
        <f t="shared" si="4"/>
        <v>3895.74</v>
      </c>
      <c r="H75">
        <f t="shared" si="5"/>
        <v>-1.0000000000218279E-2</v>
      </c>
      <c r="I75" s="13">
        <f t="shared" si="6"/>
        <v>341.56950322595571</v>
      </c>
      <c r="J75" s="14">
        <f t="shared" si="7"/>
        <v>-1.0000000000218279E-2</v>
      </c>
      <c r="K75" s="12">
        <f t="shared" si="9"/>
        <v>341.56950322595571</v>
      </c>
      <c r="L75">
        <f t="shared" si="10"/>
        <v>-1.0000000000218279E-2</v>
      </c>
    </row>
    <row r="76" spans="1:12" ht="15.75" thickBot="1" x14ac:dyDescent="0.3">
      <c r="A76" s="1" t="s">
        <v>76</v>
      </c>
      <c r="B76" t="s">
        <v>175</v>
      </c>
      <c r="C76" s="12">
        <v>346.56949322594573</v>
      </c>
      <c r="D76">
        <v>3895.75</v>
      </c>
      <c r="E76">
        <f t="shared" si="8"/>
        <v>0</v>
      </c>
      <c r="H76">
        <f t="shared" si="5"/>
        <v>0</v>
      </c>
      <c r="I76" s="13">
        <f>C76</f>
        <v>346.56949322594573</v>
      </c>
      <c r="J76" s="14">
        <f t="shared" si="7"/>
        <v>0</v>
      </c>
      <c r="K76" s="12">
        <f t="shared" si="9"/>
        <v>346.56949322594573</v>
      </c>
      <c r="L76">
        <f t="shared" si="10"/>
        <v>0</v>
      </c>
    </row>
    <row r="77" spans="1:12" x14ac:dyDescent="0.25">
      <c r="I77" s="13">
        <f>I76+7.5</f>
        <v>354.06949322594573</v>
      </c>
      <c r="J77" s="14">
        <f t="shared" si="7"/>
        <v>0</v>
      </c>
    </row>
  </sheetData>
  <mergeCells count="3">
    <mergeCell ref="C3:D3"/>
    <mergeCell ref="F3:H3"/>
    <mergeCell ref="I3:J3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5636-238F-4A9E-BA64-CC279BAE6842}">
  <dimension ref="A1:R53"/>
  <sheetViews>
    <sheetView workbookViewId="0">
      <selection activeCell="Q5" sqref="Q5:R52"/>
    </sheetView>
  </sheetViews>
  <sheetFormatPr defaultRowHeight="15" x14ac:dyDescent="0.25"/>
  <sheetData>
    <row r="1" spans="1:18" x14ac:dyDescent="0.25">
      <c r="A1" s="1" t="s">
        <v>182</v>
      </c>
      <c r="B1" s="1"/>
      <c r="C1" s="1" t="s">
        <v>183</v>
      </c>
      <c r="N1" t="s">
        <v>307</v>
      </c>
      <c r="Q1" t="s">
        <v>308</v>
      </c>
      <c r="R1">
        <f>MAX(J5:J30)</f>
        <v>-8.0199999999999818</v>
      </c>
    </row>
    <row r="2" spans="1:18" ht="15.75" thickBot="1" x14ac:dyDescent="0.3"/>
    <row r="3" spans="1:18" x14ac:dyDescent="0.25">
      <c r="A3" s="1"/>
      <c r="B3" s="1"/>
      <c r="C3" s="146" t="s">
        <v>178</v>
      </c>
      <c r="D3" s="146"/>
      <c r="E3" s="3"/>
      <c r="F3" s="146" t="s">
        <v>4</v>
      </c>
      <c r="G3" s="146"/>
      <c r="H3" s="146"/>
      <c r="I3" s="147" t="s">
        <v>179</v>
      </c>
      <c r="J3" s="148"/>
      <c r="N3" t="s">
        <v>305</v>
      </c>
      <c r="Q3" t="s">
        <v>306</v>
      </c>
    </row>
    <row r="4" spans="1:18" x14ac:dyDescent="0.25">
      <c r="A4" s="1" t="s">
        <v>101</v>
      </c>
      <c r="B4" s="1" t="s">
        <v>102</v>
      </c>
      <c r="C4" s="1" t="s">
        <v>2</v>
      </c>
      <c r="D4" s="1" t="s">
        <v>3</v>
      </c>
      <c r="E4" s="1" t="s">
        <v>177</v>
      </c>
      <c r="F4" s="1" t="s">
        <v>2</v>
      </c>
      <c r="G4" s="1" t="s">
        <v>176</v>
      </c>
      <c r="H4" s="1" t="s">
        <v>177</v>
      </c>
      <c r="I4" s="6" t="s">
        <v>2</v>
      </c>
      <c r="J4" s="7" t="s">
        <v>3</v>
      </c>
    </row>
    <row r="5" spans="1:18" x14ac:dyDescent="0.25">
      <c r="A5" s="1"/>
      <c r="B5" s="1" t="s">
        <v>175</v>
      </c>
      <c r="C5" s="1"/>
      <c r="D5" s="1"/>
      <c r="E5" s="1"/>
      <c r="F5" s="1">
        <v>-7.5</v>
      </c>
      <c r="G5" s="1">
        <f>G6</f>
        <v>3799.55</v>
      </c>
      <c r="H5" s="1">
        <f>H6</f>
        <v>-28.049999999999727</v>
      </c>
      <c r="I5" s="18">
        <f>F5</f>
        <v>-7.5</v>
      </c>
      <c r="J5" s="17">
        <f>H5</f>
        <v>-28.049999999999727</v>
      </c>
      <c r="N5" s="12">
        <f>I5</f>
        <v>-7.5</v>
      </c>
      <c r="O5">
        <f>J5-$R$1</f>
        <v>-20.029999999999745</v>
      </c>
      <c r="Q5" s="12">
        <f>C6</f>
        <v>0</v>
      </c>
      <c r="R5">
        <f>E6-$R$1</f>
        <v>-20.029999999999745</v>
      </c>
    </row>
    <row r="6" spans="1:18" x14ac:dyDescent="0.25">
      <c r="A6" t="s">
        <v>5</v>
      </c>
      <c r="B6" t="s">
        <v>103</v>
      </c>
      <c r="C6" s="12">
        <v>0</v>
      </c>
      <c r="D6">
        <v>3799.55</v>
      </c>
      <c r="E6">
        <f>D6-MAX(D6:D53)</f>
        <v>-28.049999999999727</v>
      </c>
      <c r="F6" s="12">
        <f>C6</f>
        <v>0</v>
      </c>
      <c r="G6">
        <f>D6</f>
        <v>3799.55</v>
      </c>
      <c r="H6">
        <f>E6</f>
        <v>-28.049999999999727</v>
      </c>
      <c r="I6" s="18">
        <f t="shared" ref="I6:I30" si="0">F6</f>
        <v>0</v>
      </c>
      <c r="J6" s="17">
        <f t="shared" ref="J6:J30" si="1">H6</f>
        <v>-28.049999999999727</v>
      </c>
      <c r="K6" s="12">
        <f>C6</f>
        <v>0</v>
      </c>
      <c r="L6">
        <f>E6</f>
        <v>-28.049999999999727</v>
      </c>
      <c r="N6" s="12">
        <f t="shared" ref="N6:N30" si="2">I6</f>
        <v>0</v>
      </c>
      <c r="O6">
        <f t="shared" ref="O6:O30" si="3">J6-$R$1</f>
        <v>-20.029999999999745</v>
      </c>
      <c r="Q6" s="12">
        <f t="shared" ref="Q6:Q52" si="4">C7</f>
        <v>4.9999963999987358</v>
      </c>
      <c r="R6">
        <f t="shared" ref="R6:R52" si="5">E7-$R$1</f>
        <v>-20.019999999999982</v>
      </c>
    </row>
    <row r="7" spans="1:18" x14ac:dyDescent="0.25">
      <c r="A7" s="1" t="s">
        <v>6</v>
      </c>
      <c r="B7" t="s">
        <v>104</v>
      </c>
      <c r="C7" s="12">
        <v>4.9999963999987358</v>
      </c>
      <c r="D7">
        <v>3799.56</v>
      </c>
      <c r="E7">
        <f t="shared" ref="E7:E53" si="6">D7-MAX(D7:D54)</f>
        <v>-28.039999999999964</v>
      </c>
      <c r="F7" s="12">
        <f t="shared" ref="F7:F29" si="7">C7</f>
        <v>4.9999963999987358</v>
      </c>
      <c r="G7">
        <f t="shared" ref="G7:G30" si="8">D7</f>
        <v>3799.56</v>
      </c>
      <c r="H7">
        <f t="shared" ref="H7:H30" si="9">E7</f>
        <v>-28.039999999999964</v>
      </c>
      <c r="I7" s="18">
        <f t="shared" si="0"/>
        <v>4.9999963999987358</v>
      </c>
      <c r="J7" s="17">
        <f t="shared" si="1"/>
        <v>-28.039999999999964</v>
      </c>
      <c r="K7" s="12">
        <f t="shared" ref="K7:K53" si="10">C7</f>
        <v>4.9999963999987358</v>
      </c>
      <c r="L7">
        <f t="shared" ref="L7:L53" si="11">E7</f>
        <v>-28.039999999999964</v>
      </c>
      <c r="N7" s="12">
        <f t="shared" si="2"/>
        <v>4.9999963999987358</v>
      </c>
      <c r="O7">
        <f t="shared" si="3"/>
        <v>-20.019999999999982</v>
      </c>
      <c r="Q7" s="12">
        <f t="shared" si="4"/>
        <v>9.8722516273036263</v>
      </c>
      <c r="R7">
        <f t="shared" si="5"/>
        <v>-18.900000000000091</v>
      </c>
    </row>
    <row r="8" spans="1:18" x14ac:dyDescent="0.25">
      <c r="A8" t="s">
        <v>7</v>
      </c>
      <c r="B8" t="s">
        <v>105</v>
      </c>
      <c r="C8" s="12">
        <v>9.8722516273036263</v>
      </c>
      <c r="D8">
        <v>3800.68</v>
      </c>
      <c r="E8">
        <f t="shared" si="6"/>
        <v>-26.920000000000073</v>
      </c>
      <c r="F8" s="12">
        <f t="shared" si="7"/>
        <v>9.8722516273036263</v>
      </c>
      <c r="G8">
        <f t="shared" si="8"/>
        <v>3800.68</v>
      </c>
      <c r="H8">
        <f t="shared" si="9"/>
        <v>-26.920000000000073</v>
      </c>
      <c r="I8" s="18">
        <f t="shared" si="0"/>
        <v>9.8722516273036263</v>
      </c>
      <c r="J8" s="17">
        <f t="shared" si="1"/>
        <v>-26.920000000000073</v>
      </c>
      <c r="K8" s="12">
        <f t="shared" si="10"/>
        <v>9.8722516273036263</v>
      </c>
      <c r="L8">
        <f t="shared" si="11"/>
        <v>-26.920000000000073</v>
      </c>
      <c r="N8" s="12">
        <f t="shared" si="2"/>
        <v>9.8722516273036263</v>
      </c>
      <c r="O8">
        <f t="shared" si="3"/>
        <v>-18.900000000000091</v>
      </c>
      <c r="Q8" s="12">
        <f t="shared" si="4"/>
        <v>14.736782848294979</v>
      </c>
      <c r="R8">
        <f t="shared" si="5"/>
        <v>-17.739999999999782</v>
      </c>
    </row>
    <row r="9" spans="1:18" x14ac:dyDescent="0.25">
      <c r="A9" s="1" t="s">
        <v>8</v>
      </c>
      <c r="B9" t="s">
        <v>106</v>
      </c>
      <c r="C9" s="12">
        <v>14.736782848294979</v>
      </c>
      <c r="D9">
        <v>3801.84</v>
      </c>
      <c r="E9">
        <f t="shared" si="6"/>
        <v>-25.759999999999764</v>
      </c>
      <c r="F9" s="12">
        <f t="shared" si="7"/>
        <v>14.736782848294979</v>
      </c>
      <c r="G9">
        <f t="shared" si="8"/>
        <v>3801.84</v>
      </c>
      <c r="H9">
        <f t="shared" si="9"/>
        <v>-25.759999999999764</v>
      </c>
      <c r="I9" s="18">
        <f t="shared" si="0"/>
        <v>14.736782848294979</v>
      </c>
      <c r="J9" s="17">
        <f t="shared" si="1"/>
        <v>-25.759999999999764</v>
      </c>
      <c r="K9" s="12">
        <f t="shared" si="10"/>
        <v>14.736782848294979</v>
      </c>
      <c r="L9">
        <f t="shared" si="11"/>
        <v>-25.759999999999764</v>
      </c>
      <c r="N9" s="12">
        <f t="shared" si="2"/>
        <v>14.736782848294979</v>
      </c>
      <c r="O9">
        <f t="shared" si="3"/>
        <v>-17.739999999999782</v>
      </c>
      <c r="Q9" s="12">
        <f t="shared" si="4"/>
        <v>19.654198327995687</v>
      </c>
      <c r="R9">
        <f t="shared" si="5"/>
        <v>-16.840000000000146</v>
      </c>
    </row>
    <row r="10" spans="1:18" x14ac:dyDescent="0.25">
      <c r="A10" t="s">
        <v>9</v>
      </c>
      <c r="B10" t="s">
        <v>107</v>
      </c>
      <c r="C10" s="12">
        <v>19.654198327995687</v>
      </c>
      <c r="D10">
        <v>3802.74</v>
      </c>
      <c r="E10">
        <f t="shared" si="6"/>
        <v>-24.860000000000127</v>
      </c>
      <c r="F10" s="12">
        <f t="shared" si="7"/>
        <v>19.654198327995687</v>
      </c>
      <c r="G10">
        <f t="shared" si="8"/>
        <v>3802.74</v>
      </c>
      <c r="H10">
        <f t="shared" si="9"/>
        <v>-24.860000000000127</v>
      </c>
      <c r="I10" s="18">
        <f t="shared" si="0"/>
        <v>19.654198327995687</v>
      </c>
      <c r="J10" s="17">
        <f t="shared" si="1"/>
        <v>-24.860000000000127</v>
      </c>
      <c r="K10" s="12">
        <f t="shared" si="10"/>
        <v>19.654198327995687</v>
      </c>
      <c r="L10">
        <f t="shared" si="11"/>
        <v>-24.860000000000127</v>
      </c>
      <c r="N10" s="12">
        <f t="shared" si="2"/>
        <v>19.654198327995687</v>
      </c>
      <c r="O10">
        <f t="shared" si="3"/>
        <v>-16.840000000000146</v>
      </c>
      <c r="Q10" s="12">
        <f t="shared" si="4"/>
        <v>24.474063471337331</v>
      </c>
      <c r="R10">
        <f t="shared" si="5"/>
        <v>-15.509999999999764</v>
      </c>
    </row>
    <row r="11" spans="1:18" x14ac:dyDescent="0.25">
      <c r="A11" s="1" t="s">
        <v>10</v>
      </c>
      <c r="B11" t="s">
        <v>108</v>
      </c>
      <c r="C11" s="12">
        <v>24.474063471337331</v>
      </c>
      <c r="D11">
        <v>3804.07</v>
      </c>
      <c r="E11">
        <f t="shared" si="6"/>
        <v>-23.529999999999745</v>
      </c>
      <c r="F11" s="12">
        <f t="shared" si="7"/>
        <v>24.474063471337331</v>
      </c>
      <c r="G11">
        <f t="shared" si="8"/>
        <v>3804.07</v>
      </c>
      <c r="H11">
        <f t="shared" si="9"/>
        <v>-23.529999999999745</v>
      </c>
      <c r="I11" s="18">
        <f t="shared" si="0"/>
        <v>24.474063471337331</v>
      </c>
      <c r="J11" s="17">
        <f t="shared" si="1"/>
        <v>-23.529999999999745</v>
      </c>
      <c r="K11" s="12">
        <f t="shared" si="10"/>
        <v>24.474063471337331</v>
      </c>
      <c r="L11">
        <f t="shared" si="11"/>
        <v>-23.529999999999745</v>
      </c>
      <c r="N11" s="12">
        <f t="shared" si="2"/>
        <v>24.474063471337331</v>
      </c>
      <c r="O11">
        <f t="shared" si="3"/>
        <v>-15.509999999999764</v>
      </c>
      <c r="Q11" s="12">
        <f t="shared" si="4"/>
        <v>29.387756074665276</v>
      </c>
      <c r="R11">
        <f t="shared" si="5"/>
        <v>-14.579999999999927</v>
      </c>
    </row>
    <row r="12" spans="1:18" x14ac:dyDescent="0.25">
      <c r="A12" t="s">
        <v>11</v>
      </c>
      <c r="B12" t="s">
        <v>109</v>
      </c>
      <c r="C12" s="12">
        <v>29.387756074665276</v>
      </c>
      <c r="D12">
        <v>3805</v>
      </c>
      <c r="E12">
        <f t="shared" si="6"/>
        <v>-22.599999999999909</v>
      </c>
      <c r="F12" s="12">
        <f t="shared" si="7"/>
        <v>29.387756074665276</v>
      </c>
      <c r="G12">
        <f t="shared" si="8"/>
        <v>3805</v>
      </c>
      <c r="H12">
        <f t="shared" si="9"/>
        <v>-22.599999999999909</v>
      </c>
      <c r="I12" s="18">
        <f t="shared" si="0"/>
        <v>29.387756074665276</v>
      </c>
      <c r="J12" s="17">
        <f t="shared" si="1"/>
        <v>-22.599999999999909</v>
      </c>
      <c r="K12" s="12">
        <f t="shared" si="10"/>
        <v>29.387756074665276</v>
      </c>
      <c r="L12">
        <f t="shared" si="11"/>
        <v>-22.599999999999909</v>
      </c>
      <c r="N12" s="12">
        <f t="shared" si="2"/>
        <v>29.387756074665276</v>
      </c>
      <c r="O12">
        <f t="shared" si="3"/>
        <v>-14.579999999999927</v>
      </c>
      <c r="Q12" s="12">
        <f t="shared" si="4"/>
        <v>34.305355489013664</v>
      </c>
      <c r="R12">
        <f t="shared" si="5"/>
        <v>-13.679999999999836</v>
      </c>
    </row>
    <row r="13" spans="1:18" x14ac:dyDescent="0.25">
      <c r="A13" s="1" t="s">
        <v>12</v>
      </c>
      <c r="B13" t="s">
        <v>110</v>
      </c>
      <c r="C13" s="12">
        <v>34.305355489013664</v>
      </c>
      <c r="D13">
        <v>3805.9</v>
      </c>
      <c r="E13">
        <f t="shared" si="6"/>
        <v>-21.699999999999818</v>
      </c>
      <c r="F13" s="12">
        <f t="shared" si="7"/>
        <v>34.305355489013664</v>
      </c>
      <c r="G13">
        <f t="shared" si="8"/>
        <v>3805.9</v>
      </c>
      <c r="H13">
        <f t="shared" si="9"/>
        <v>-21.699999999999818</v>
      </c>
      <c r="I13" s="18">
        <f t="shared" si="0"/>
        <v>34.305355489013664</v>
      </c>
      <c r="J13" s="17">
        <f t="shared" si="1"/>
        <v>-21.699999999999818</v>
      </c>
      <c r="K13" s="12">
        <f t="shared" si="10"/>
        <v>34.305355489013664</v>
      </c>
      <c r="L13">
        <f t="shared" si="11"/>
        <v>-21.699999999999818</v>
      </c>
      <c r="N13" s="12">
        <f t="shared" si="2"/>
        <v>34.305355489013664</v>
      </c>
      <c r="O13">
        <f t="shared" si="3"/>
        <v>-13.679999999999836</v>
      </c>
      <c r="Q13" s="12">
        <f t="shared" si="4"/>
        <v>39.125496462055708</v>
      </c>
      <c r="R13">
        <f t="shared" si="5"/>
        <v>-12.349999999999909</v>
      </c>
    </row>
    <row r="14" spans="1:18" x14ac:dyDescent="0.25">
      <c r="A14" t="s">
        <v>13</v>
      </c>
      <c r="B14" t="s">
        <v>111</v>
      </c>
      <c r="C14" s="12">
        <v>39.125496462055708</v>
      </c>
      <c r="D14">
        <v>3807.23</v>
      </c>
      <c r="E14">
        <f t="shared" si="6"/>
        <v>-20.369999999999891</v>
      </c>
      <c r="F14" s="12">
        <f t="shared" si="7"/>
        <v>39.125496462055708</v>
      </c>
      <c r="G14">
        <f t="shared" si="8"/>
        <v>3807.23</v>
      </c>
      <c r="H14">
        <f t="shared" si="9"/>
        <v>-20.369999999999891</v>
      </c>
      <c r="I14" s="18">
        <f t="shared" si="0"/>
        <v>39.125496462055708</v>
      </c>
      <c r="J14" s="17">
        <f t="shared" si="1"/>
        <v>-20.369999999999891</v>
      </c>
      <c r="K14" s="12">
        <f t="shared" si="10"/>
        <v>39.125496462055708</v>
      </c>
      <c r="L14">
        <f t="shared" si="11"/>
        <v>-20.369999999999891</v>
      </c>
      <c r="N14" s="12">
        <f t="shared" si="2"/>
        <v>39.125496462055708</v>
      </c>
      <c r="O14">
        <f t="shared" si="3"/>
        <v>-12.349999999999909</v>
      </c>
      <c r="Q14" s="12">
        <f t="shared" si="4"/>
        <v>44.064439567619957</v>
      </c>
      <c r="R14">
        <f t="shared" si="5"/>
        <v>-11.569999999999709</v>
      </c>
    </row>
    <row r="15" spans="1:18" x14ac:dyDescent="0.25">
      <c r="A15" s="1" t="s">
        <v>14</v>
      </c>
      <c r="B15" t="s">
        <v>112</v>
      </c>
      <c r="C15" s="12">
        <v>44.064439567619957</v>
      </c>
      <c r="D15">
        <v>3808.01</v>
      </c>
      <c r="E15">
        <f t="shared" si="6"/>
        <v>-19.589999999999691</v>
      </c>
      <c r="F15" s="12">
        <f t="shared" si="7"/>
        <v>44.064439567619957</v>
      </c>
      <c r="G15">
        <f t="shared" si="8"/>
        <v>3808.01</v>
      </c>
      <c r="H15">
        <f t="shared" si="9"/>
        <v>-19.589999999999691</v>
      </c>
      <c r="I15" s="18">
        <f t="shared" si="0"/>
        <v>44.064439567619957</v>
      </c>
      <c r="J15" s="17">
        <f t="shared" si="1"/>
        <v>-19.589999999999691</v>
      </c>
      <c r="K15" s="12">
        <f t="shared" si="10"/>
        <v>44.064439567619957</v>
      </c>
      <c r="L15">
        <f t="shared" si="11"/>
        <v>-19.589999999999691</v>
      </c>
      <c r="N15" s="12">
        <f t="shared" si="2"/>
        <v>44.064439567619957</v>
      </c>
      <c r="O15">
        <f t="shared" si="3"/>
        <v>-11.569999999999709</v>
      </c>
      <c r="Q15" s="12">
        <f t="shared" si="4"/>
        <v>48.641759307380426</v>
      </c>
      <c r="R15">
        <f t="shared" si="5"/>
        <v>-9.5599999999999454</v>
      </c>
    </row>
    <row r="16" spans="1:18" x14ac:dyDescent="0.25">
      <c r="A16" t="s">
        <v>15</v>
      </c>
      <c r="B16" t="s">
        <v>113</v>
      </c>
      <c r="C16" s="12">
        <v>48.641759307380426</v>
      </c>
      <c r="D16">
        <v>3810.02</v>
      </c>
      <c r="E16">
        <f t="shared" si="6"/>
        <v>-17.579999999999927</v>
      </c>
      <c r="F16" s="12">
        <f t="shared" si="7"/>
        <v>48.641759307380426</v>
      </c>
      <c r="G16">
        <f t="shared" si="8"/>
        <v>3810.02</v>
      </c>
      <c r="H16">
        <f t="shared" si="9"/>
        <v>-17.579999999999927</v>
      </c>
      <c r="I16" s="18">
        <f t="shared" si="0"/>
        <v>48.641759307380426</v>
      </c>
      <c r="J16" s="17">
        <f t="shared" si="1"/>
        <v>-17.579999999999927</v>
      </c>
      <c r="K16" s="12">
        <f t="shared" si="10"/>
        <v>48.641759307380426</v>
      </c>
      <c r="L16">
        <f t="shared" si="11"/>
        <v>-17.579999999999927</v>
      </c>
      <c r="N16" s="12">
        <f t="shared" si="2"/>
        <v>48.641759307380426</v>
      </c>
      <c r="O16">
        <f t="shared" si="3"/>
        <v>-9.5599999999999454</v>
      </c>
      <c r="Q16" s="12">
        <f t="shared" si="4"/>
        <v>53.594890741130257</v>
      </c>
      <c r="R16">
        <f t="shared" si="5"/>
        <v>-8.8699999999998909</v>
      </c>
    </row>
    <row r="17" spans="1:18" x14ac:dyDescent="0.25">
      <c r="A17" s="1" t="s">
        <v>16</v>
      </c>
      <c r="B17" t="s">
        <v>114</v>
      </c>
      <c r="C17" s="12">
        <v>53.594890741130257</v>
      </c>
      <c r="D17">
        <v>3810.71</v>
      </c>
      <c r="E17">
        <f t="shared" si="6"/>
        <v>-16.889999999999873</v>
      </c>
      <c r="F17" s="12">
        <f t="shared" si="7"/>
        <v>53.594890741130257</v>
      </c>
      <c r="G17">
        <f t="shared" si="8"/>
        <v>3810.71</v>
      </c>
      <c r="H17">
        <f t="shared" si="9"/>
        <v>-16.889999999999873</v>
      </c>
      <c r="I17" s="18">
        <f t="shared" si="0"/>
        <v>53.594890741130257</v>
      </c>
      <c r="J17" s="17">
        <f t="shared" si="1"/>
        <v>-16.889999999999873</v>
      </c>
      <c r="K17" s="12">
        <f t="shared" si="10"/>
        <v>53.594890741130257</v>
      </c>
      <c r="L17">
        <f t="shared" si="11"/>
        <v>-16.889999999999873</v>
      </c>
      <c r="N17" s="12">
        <f t="shared" si="2"/>
        <v>53.594890741130257</v>
      </c>
      <c r="O17">
        <f t="shared" si="3"/>
        <v>-8.8699999999998909</v>
      </c>
      <c r="Q17" s="12">
        <f t="shared" si="4"/>
        <v>58.564989734108167</v>
      </c>
      <c r="R17">
        <f t="shared" si="5"/>
        <v>-8.3299999999999272</v>
      </c>
    </row>
    <row r="18" spans="1:18" x14ac:dyDescent="0.25">
      <c r="A18" t="s">
        <v>17</v>
      </c>
      <c r="B18" t="s">
        <v>115</v>
      </c>
      <c r="C18" s="12">
        <v>58.564989734108167</v>
      </c>
      <c r="D18">
        <v>3811.25</v>
      </c>
      <c r="E18">
        <f t="shared" si="6"/>
        <v>-16.349999999999909</v>
      </c>
      <c r="F18" s="12">
        <f t="shared" si="7"/>
        <v>58.564989734108167</v>
      </c>
      <c r="G18">
        <f t="shared" si="8"/>
        <v>3811.25</v>
      </c>
      <c r="H18">
        <f t="shared" si="9"/>
        <v>-16.349999999999909</v>
      </c>
      <c r="I18" s="18">
        <f t="shared" si="0"/>
        <v>58.564989734108167</v>
      </c>
      <c r="J18" s="17">
        <f t="shared" si="1"/>
        <v>-16.349999999999909</v>
      </c>
      <c r="K18" s="12">
        <f t="shared" si="10"/>
        <v>58.564989734108167</v>
      </c>
      <c r="L18">
        <f t="shared" si="11"/>
        <v>-16.349999999999909</v>
      </c>
      <c r="N18" s="12">
        <f t="shared" si="2"/>
        <v>58.564989734108167</v>
      </c>
      <c r="O18">
        <f t="shared" si="3"/>
        <v>-8.3299999999999272</v>
      </c>
      <c r="Q18" s="12">
        <f t="shared" si="4"/>
        <v>63.420579399637973</v>
      </c>
      <c r="R18">
        <f t="shared" si="5"/>
        <v>-7.1300000000001091</v>
      </c>
    </row>
    <row r="19" spans="1:18" x14ac:dyDescent="0.25">
      <c r="A19" s="1" t="s">
        <v>18</v>
      </c>
      <c r="B19" t="s">
        <v>116</v>
      </c>
      <c r="C19" s="12">
        <v>63.420579399637973</v>
      </c>
      <c r="D19">
        <v>3812.45</v>
      </c>
      <c r="E19">
        <f t="shared" si="6"/>
        <v>-15.150000000000091</v>
      </c>
      <c r="F19" s="12">
        <f t="shared" si="7"/>
        <v>63.420579399637973</v>
      </c>
      <c r="G19">
        <f t="shared" si="8"/>
        <v>3812.45</v>
      </c>
      <c r="H19">
        <f t="shared" si="9"/>
        <v>-15.150000000000091</v>
      </c>
      <c r="I19" s="18">
        <f t="shared" si="0"/>
        <v>63.420579399637973</v>
      </c>
      <c r="J19" s="17">
        <f t="shared" si="1"/>
        <v>-15.150000000000091</v>
      </c>
      <c r="K19" s="12">
        <f t="shared" si="10"/>
        <v>63.420579399637973</v>
      </c>
      <c r="L19">
        <f t="shared" si="11"/>
        <v>-15.150000000000091</v>
      </c>
      <c r="N19" s="12">
        <f t="shared" si="2"/>
        <v>63.420579399637973</v>
      </c>
      <c r="O19">
        <f t="shared" si="3"/>
        <v>-7.1300000000001091</v>
      </c>
      <c r="Q19" s="12">
        <f t="shared" si="4"/>
        <v>68.253963307419326</v>
      </c>
      <c r="R19">
        <f t="shared" si="5"/>
        <v>-5.8499999999999091</v>
      </c>
    </row>
    <row r="20" spans="1:18" x14ac:dyDescent="0.25">
      <c r="A20" t="s">
        <v>19</v>
      </c>
      <c r="B20" t="s">
        <v>117</v>
      </c>
      <c r="C20" s="12">
        <v>68.253963307419326</v>
      </c>
      <c r="D20">
        <v>3813.73</v>
      </c>
      <c r="E20">
        <f t="shared" si="6"/>
        <v>-13.869999999999891</v>
      </c>
      <c r="F20" s="12">
        <f t="shared" si="7"/>
        <v>68.253963307419326</v>
      </c>
      <c r="G20">
        <f t="shared" si="8"/>
        <v>3813.73</v>
      </c>
      <c r="H20">
        <f t="shared" si="9"/>
        <v>-13.869999999999891</v>
      </c>
      <c r="I20" s="18">
        <f t="shared" si="0"/>
        <v>68.253963307419326</v>
      </c>
      <c r="J20" s="17">
        <f t="shared" si="1"/>
        <v>-13.869999999999891</v>
      </c>
      <c r="K20" s="12">
        <f t="shared" si="10"/>
        <v>68.253963307419326</v>
      </c>
      <c r="L20">
        <f t="shared" si="11"/>
        <v>-13.869999999999891</v>
      </c>
      <c r="N20" s="12">
        <f t="shared" si="2"/>
        <v>68.253963307419326</v>
      </c>
      <c r="O20">
        <f t="shared" si="3"/>
        <v>-5.8499999999999091</v>
      </c>
      <c r="Q20" s="12">
        <f t="shared" si="4"/>
        <v>73.083081653453064</v>
      </c>
      <c r="R20">
        <f t="shared" si="5"/>
        <v>-4.5599999999999454</v>
      </c>
    </row>
    <row r="21" spans="1:18" x14ac:dyDescent="0.25">
      <c r="A21" s="1" t="s">
        <v>20</v>
      </c>
      <c r="B21" t="s">
        <v>118</v>
      </c>
      <c r="C21" s="12">
        <v>73.083081653453064</v>
      </c>
      <c r="D21">
        <v>3815.02</v>
      </c>
      <c r="E21">
        <f t="shared" si="6"/>
        <v>-12.579999999999927</v>
      </c>
      <c r="F21" s="12">
        <f t="shared" si="7"/>
        <v>73.083081653453064</v>
      </c>
      <c r="G21">
        <f t="shared" si="8"/>
        <v>3815.02</v>
      </c>
      <c r="H21">
        <f t="shared" si="9"/>
        <v>-12.579999999999927</v>
      </c>
      <c r="I21" s="18">
        <f t="shared" si="0"/>
        <v>73.083081653453064</v>
      </c>
      <c r="J21" s="17">
        <f t="shared" si="1"/>
        <v>-12.579999999999927</v>
      </c>
      <c r="K21" s="12">
        <f t="shared" si="10"/>
        <v>73.083081653453064</v>
      </c>
      <c r="L21">
        <f t="shared" si="11"/>
        <v>-12.579999999999927</v>
      </c>
      <c r="N21" s="12">
        <f t="shared" si="2"/>
        <v>73.083081653453064</v>
      </c>
      <c r="O21">
        <f t="shared" si="3"/>
        <v>-4.5599999999999454</v>
      </c>
      <c r="Q21" s="12">
        <f t="shared" si="4"/>
        <v>78.066814290744105</v>
      </c>
      <c r="R21">
        <f t="shared" si="5"/>
        <v>-4.1500000000000909</v>
      </c>
    </row>
    <row r="22" spans="1:18" x14ac:dyDescent="0.25">
      <c r="A22" t="s">
        <v>21</v>
      </c>
      <c r="B22" t="s">
        <v>119</v>
      </c>
      <c r="C22" s="12">
        <v>78.066814290744105</v>
      </c>
      <c r="D22">
        <v>3815.43</v>
      </c>
      <c r="E22">
        <f t="shared" si="6"/>
        <v>-12.170000000000073</v>
      </c>
      <c r="F22" s="12">
        <f t="shared" si="7"/>
        <v>78.066814290744105</v>
      </c>
      <c r="G22">
        <f t="shared" si="8"/>
        <v>3815.43</v>
      </c>
      <c r="H22">
        <f t="shared" si="9"/>
        <v>-12.170000000000073</v>
      </c>
      <c r="I22" s="18">
        <f t="shared" si="0"/>
        <v>78.066814290744105</v>
      </c>
      <c r="J22" s="17">
        <f t="shared" si="1"/>
        <v>-12.170000000000073</v>
      </c>
      <c r="K22" s="12">
        <f t="shared" si="10"/>
        <v>78.066814290744105</v>
      </c>
      <c r="L22">
        <f t="shared" si="11"/>
        <v>-12.170000000000073</v>
      </c>
      <c r="N22" s="12">
        <f t="shared" si="2"/>
        <v>78.066814290744105</v>
      </c>
      <c r="O22">
        <f t="shared" si="3"/>
        <v>-4.1500000000000909</v>
      </c>
      <c r="Q22" s="12">
        <f t="shared" si="4"/>
        <v>83.008562867918045</v>
      </c>
      <c r="R22">
        <f t="shared" si="5"/>
        <v>-3.3899999999998727</v>
      </c>
    </row>
    <row r="23" spans="1:18" x14ac:dyDescent="0.25">
      <c r="A23" s="1" t="s">
        <v>22</v>
      </c>
      <c r="B23" t="s">
        <v>120</v>
      </c>
      <c r="C23" s="12">
        <v>83.008562867918045</v>
      </c>
      <c r="D23">
        <v>3816.19</v>
      </c>
      <c r="E23">
        <f t="shared" si="6"/>
        <v>-11.409999999999854</v>
      </c>
      <c r="F23" s="12">
        <f t="shared" si="7"/>
        <v>83.008562867918045</v>
      </c>
      <c r="G23">
        <f t="shared" si="8"/>
        <v>3816.19</v>
      </c>
      <c r="H23">
        <f t="shared" si="9"/>
        <v>-11.409999999999854</v>
      </c>
      <c r="I23" s="18">
        <f t="shared" si="0"/>
        <v>83.008562867918045</v>
      </c>
      <c r="J23" s="17">
        <f t="shared" si="1"/>
        <v>-11.409999999999854</v>
      </c>
      <c r="K23" s="12">
        <f t="shared" si="10"/>
        <v>83.008562867918045</v>
      </c>
      <c r="L23">
        <f t="shared" si="11"/>
        <v>-11.409999999999854</v>
      </c>
      <c r="N23" s="12">
        <f t="shared" si="2"/>
        <v>83.008562867918045</v>
      </c>
      <c r="O23">
        <f t="shared" si="3"/>
        <v>-3.3899999999998727</v>
      </c>
      <c r="Q23" s="12">
        <f t="shared" si="4"/>
        <v>88.00748115090687</v>
      </c>
      <c r="R23">
        <f t="shared" si="5"/>
        <v>-3.2899999999999636</v>
      </c>
    </row>
    <row r="24" spans="1:18" x14ac:dyDescent="0.25">
      <c r="A24" t="s">
        <v>23</v>
      </c>
      <c r="B24" t="s">
        <v>121</v>
      </c>
      <c r="C24" s="12">
        <v>88.00748115090687</v>
      </c>
      <c r="D24">
        <v>3816.29</v>
      </c>
      <c r="E24">
        <f t="shared" si="6"/>
        <v>-11.309999999999945</v>
      </c>
      <c r="F24" s="12">
        <f t="shared" si="7"/>
        <v>88.00748115090687</v>
      </c>
      <c r="G24">
        <f t="shared" si="8"/>
        <v>3816.29</v>
      </c>
      <c r="H24">
        <f t="shared" si="9"/>
        <v>-11.309999999999945</v>
      </c>
      <c r="I24" s="18">
        <f t="shared" si="0"/>
        <v>88.00748115090687</v>
      </c>
      <c r="J24" s="17">
        <f t="shared" si="1"/>
        <v>-11.309999999999945</v>
      </c>
      <c r="K24" s="12">
        <f t="shared" si="10"/>
        <v>88.00748115090687</v>
      </c>
      <c r="L24">
        <f t="shared" si="11"/>
        <v>-11.309999999999945</v>
      </c>
      <c r="N24" s="12">
        <f t="shared" si="2"/>
        <v>88.00748115090687</v>
      </c>
      <c r="O24">
        <f t="shared" si="3"/>
        <v>-3.2899999999999636</v>
      </c>
      <c r="Q24" s="12">
        <f t="shared" si="4"/>
        <v>92.999237455054754</v>
      </c>
      <c r="R24">
        <f t="shared" si="5"/>
        <v>-3</v>
      </c>
    </row>
    <row r="25" spans="1:18" x14ac:dyDescent="0.25">
      <c r="A25" s="1" t="s">
        <v>24</v>
      </c>
      <c r="B25" t="s">
        <v>122</v>
      </c>
      <c r="C25" s="12">
        <v>92.999237455054754</v>
      </c>
      <c r="D25">
        <v>3816.58</v>
      </c>
      <c r="E25">
        <f t="shared" si="6"/>
        <v>-11.019999999999982</v>
      </c>
      <c r="F25" s="12">
        <f t="shared" si="7"/>
        <v>92.999237455054754</v>
      </c>
      <c r="G25">
        <f t="shared" si="8"/>
        <v>3816.58</v>
      </c>
      <c r="H25">
        <f t="shared" si="9"/>
        <v>-11.019999999999982</v>
      </c>
      <c r="I25" s="18">
        <f t="shared" si="0"/>
        <v>92.999237455054754</v>
      </c>
      <c r="J25" s="17">
        <f t="shared" si="1"/>
        <v>-11.019999999999982</v>
      </c>
      <c r="K25" s="12">
        <f t="shared" si="10"/>
        <v>92.999237455054754</v>
      </c>
      <c r="L25">
        <f t="shared" si="11"/>
        <v>-11.019999999999982</v>
      </c>
      <c r="N25" s="12">
        <f t="shared" si="2"/>
        <v>92.999237455054754</v>
      </c>
      <c r="O25">
        <f t="shared" si="3"/>
        <v>-3</v>
      </c>
      <c r="Q25" s="12">
        <f t="shared" si="4"/>
        <v>97.934660334606178</v>
      </c>
      <c r="R25">
        <f t="shared" si="5"/>
        <v>-2.1999999999998181</v>
      </c>
    </row>
    <row r="26" spans="1:18" x14ac:dyDescent="0.25">
      <c r="A26" t="s">
        <v>25</v>
      </c>
      <c r="B26" t="s">
        <v>123</v>
      </c>
      <c r="C26" s="12">
        <v>97.934660334606178</v>
      </c>
      <c r="D26">
        <v>3817.38</v>
      </c>
      <c r="E26">
        <f t="shared" si="6"/>
        <v>-10.2199999999998</v>
      </c>
      <c r="F26" s="12">
        <f t="shared" si="7"/>
        <v>97.934660334606178</v>
      </c>
      <c r="G26">
        <f t="shared" si="8"/>
        <v>3817.38</v>
      </c>
      <c r="H26">
        <f t="shared" si="9"/>
        <v>-10.2199999999998</v>
      </c>
      <c r="I26" s="18">
        <f t="shared" si="0"/>
        <v>97.934660334606178</v>
      </c>
      <c r="J26" s="17">
        <f t="shared" si="1"/>
        <v>-10.2199999999998</v>
      </c>
      <c r="K26" s="12">
        <f t="shared" si="10"/>
        <v>97.934660334606178</v>
      </c>
      <c r="L26">
        <f t="shared" si="11"/>
        <v>-10.2199999999998</v>
      </c>
      <c r="N26" s="12">
        <f t="shared" si="2"/>
        <v>97.934660334606178</v>
      </c>
      <c r="O26">
        <f t="shared" si="3"/>
        <v>-2.1999999999998181</v>
      </c>
      <c r="Q26" s="12">
        <f t="shared" si="4"/>
        <v>102.90475932758409</v>
      </c>
      <c r="R26">
        <f t="shared" si="5"/>
        <v>-1.6599999999998545</v>
      </c>
    </row>
    <row r="27" spans="1:18" x14ac:dyDescent="0.25">
      <c r="A27" s="1" t="s">
        <v>26</v>
      </c>
      <c r="B27" t="s">
        <v>124</v>
      </c>
      <c r="C27" s="12">
        <v>102.90475932758409</v>
      </c>
      <c r="D27">
        <v>3817.92</v>
      </c>
      <c r="E27">
        <f t="shared" si="6"/>
        <v>-9.6799999999998363</v>
      </c>
      <c r="F27" s="12">
        <f t="shared" si="7"/>
        <v>102.90475932758409</v>
      </c>
      <c r="G27">
        <f t="shared" si="8"/>
        <v>3817.92</v>
      </c>
      <c r="H27">
        <f t="shared" si="9"/>
        <v>-9.6799999999998363</v>
      </c>
      <c r="I27" s="18">
        <f t="shared" si="0"/>
        <v>102.90475932758409</v>
      </c>
      <c r="J27" s="17">
        <f t="shared" si="1"/>
        <v>-9.6799999999998363</v>
      </c>
      <c r="K27" s="12">
        <f t="shared" si="10"/>
        <v>102.90475932758409</v>
      </c>
      <c r="L27">
        <f t="shared" si="11"/>
        <v>-9.6799999999998363</v>
      </c>
      <c r="N27" s="12">
        <f t="shared" si="2"/>
        <v>102.90475932758409</v>
      </c>
      <c r="O27">
        <f t="shared" si="3"/>
        <v>-1.6599999999998545</v>
      </c>
      <c r="Q27" s="12">
        <f t="shared" si="4"/>
        <v>107.86765525637406</v>
      </c>
      <c r="R27">
        <f t="shared" si="5"/>
        <v>-1.0499999999997272</v>
      </c>
    </row>
    <row r="28" spans="1:18" x14ac:dyDescent="0.25">
      <c r="A28" t="s">
        <v>27</v>
      </c>
      <c r="B28" t="s">
        <v>125</v>
      </c>
      <c r="C28" s="12">
        <v>107.86765525637406</v>
      </c>
      <c r="D28">
        <v>3818.53</v>
      </c>
      <c r="E28">
        <f t="shared" si="6"/>
        <v>-9.069999999999709</v>
      </c>
      <c r="F28" s="12">
        <f t="shared" si="7"/>
        <v>107.86765525637406</v>
      </c>
      <c r="G28">
        <f t="shared" si="8"/>
        <v>3818.53</v>
      </c>
      <c r="H28">
        <f t="shared" si="9"/>
        <v>-9.069999999999709</v>
      </c>
      <c r="I28" s="18">
        <f t="shared" si="0"/>
        <v>107.86765525637406</v>
      </c>
      <c r="J28" s="17">
        <f t="shared" si="1"/>
        <v>-9.069999999999709</v>
      </c>
      <c r="K28" s="12">
        <f t="shared" si="10"/>
        <v>107.86765525637406</v>
      </c>
      <c r="L28">
        <f t="shared" si="11"/>
        <v>-9.069999999999709</v>
      </c>
      <c r="N28" s="12">
        <f t="shared" si="2"/>
        <v>107.86765525637406</v>
      </c>
      <c r="O28">
        <f t="shared" si="3"/>
        <v>-1.0499999999997272</v>
      </c>
      <c r="Q28" s="12">
        <f t="shared" si="4"/>
        <v>112.8260082087163</v>
      </c>
      <c r="R28">
        <f t="shared" si="5"/>
        <v>-0.40000000000009095</v>
      </c>
    </row>
    <row r="29" spans="1:18" x14ac:dyDescent="0.25">
      <c r="A29" s="1" t="s">
        <v>28</v>
      </c>
      <c r="B29" t="s">
        <v>126</v>
      </c>
      <c r="C29" s="12">
        <v>112.8260082087163</v>
      </c>
      <c r="D29">
        <v>3819.18</v>
      </c>
      <c r="E29">
        <f t="shared" si="6"/>
        <v>-8.4200000000000728</v>
      </c>
      <c r="F29" s="12">
        <f t="shared" si="7"/>
        <v>112.8260082087163</v>
      </c>
      <c r="G29">
        <f t="shared" si="8"/>
        <v>3819.18</v>
      </c>
      <c r="H29">
        <f t="shared" si="9"/>
        <v>-8.4200000000000728</v>
      </c>
      <c r="I29" s="18">
        <f t="shared" si="0"/>
        <v>112.8260082087163</v>
      </c>
      <c r="J29" s="17">
        <f t="shared" si="1"/>
        <v>-8.4200000000000728</v>
      </c>
      <c r="K29" s="12">
        <f t="shared" si="10"/>
        <v>112.8260082087163</v>
      </c>
      <c r="L29">
        <f t="shared" si="11"/>
        <v>-8.4200000000000728</v>
      </c>
      <c r="N29" s="12">
        <f t="shared" si="2"/>
        <v>112.8260082087163</v>
      </c>
      <c r="O29">
        <f t="shared" si="3"/>
        <v>-0.40000000000009095</v>
      </c>
      <c r="Q29" s="12">
        <f t="shared" si="4"/>
        <v>117.80933400581216</v>
      </c>
      <c r="R29">
        <f t="shared" si="5"/>
        <v>0</v>
      </c>
    </row>
    <row r="30" spans="1:18" x14ac:dyDescent="0.25">
      <c r="A30" t="s">
        <v>29</v>
      </c>
      <c r="B30" t="s">
        <v>175</v>
      </c>
      <c r="C30" s="12">
        <v>117.80933400581216</v>
      </c>
      <c r="D30">
        <v>3819.58</v>
      </c>
      <c r="E30">
        <f t="shared" si="6"/>
        <v>-8.0199999999999818</v>
      </c>
      <c r="F30" s="12">
        <f>F29+7.5</f>
        <v>120.3260082087163</v>
      </c>
      <c r="G30">
        <f t="shared" si="8"/>
        <v>3819.58</v>
      </c>
      <c r="H30">
        <f t="shared" si="9"/>
        <v>-8.0199999999999818</v>
      </c>
      <c r="I30" s="18">
        <f t="shared" si="0"/>
        <v>120.3260082087163</v>
      </c>
      <c r="J30" s="17">
        <f t="shared" si="1"/>
        <v>-8.0199999999999818</v>
      </c>
      <c r="K30" s="12">
        <f t="shared" si="10"/>
        <v>117.80933400581216</v>
      </c>
      <c r="L30">
        <f t="shared" si="11"/>
        <v>-8.0199999999999818</v>
      </c>
      <c r="N30" s="12">
        <f t="shared" si="2"/>
        <v>120.3260082087163</v>
      </c>
      <c r="O30">
        <f t="shared" si="3"/>
        <v>0</v>
      </c>
      <c r="Q30" s="12">
        <f t="shared" si="4"/>
        <v>122.72056155093765</v>
      </c>
      <c r="R30">
        <f t="shared" si="5"/>
        <v>0.94000000000005457</v>
      </c>
    </row>
    <row r="31" spans="1:18" x14ac:dyDescent="0.25">
      <c r="A31" s="1" t="s">
        <v>30</v>
      </c>
      <c r="C31" s="12">
        <v>122.72056155093765</v>
      </c>
      <c r="D31">
        <v>3820.52</v>
      </c>
      <c r="E31">
        <f t="shared" si="6"/>
        <v>-7.0799999999999272</v>
      </c>
      <c r="K31" s="12">
        <f t="shared" si="10"/>
        <v>122.72056155093765</v>
      </c>
      <c r="L31">
        <f t="shared" si="11"/>
        <v>-7.0799999999999272</v>
      </c>
      <c r="Q31" s="12">
        <f t="shared" si="4"/>
        <v>127.60030539667378</v>
      </c>
      <c r="R31">
        <f t="shared" si="5"/>
        <v>2.0300000000002001</v>
      </c>
    </row>
    <row r="32" spans="1:18" x14ac:dyDescent="0.25">
      <c r="A32" t="s">
        <v>31</v>
      </c>
      <c r="C32" s="12">
        <v>127.60030539667378</v>
      </c>
      <c r="D32">
        <v>3821.61</v>
      </c>
      <c r="E32">
        <f t="shared" si="6"/>
        <v>-5.9899999999997817</v>
      </c>
      <c r="K32" s="12">
        <f t="shared" si="10"/>
        <v>127.60030539667378</v>
      </c>
      <c r="L32">
        <f t="shared" si="11"/>
        <v>-5.9899999999997817</v>
      </c>
      <c r="Q32" s="12">
        <f t="shared" si="4"/>
        <v>132.49908065177578</v>
      </c>
      <c r="R32">
        <f t="shared" si="5"/>
        <v>3.0300000000002001</v>
      </c>
    </row>
    <row r="33" spans="1:18" x14ac:dyDescent="0.25">
      <c r="A33" s="1" t="s">
        <v>32</v>
      </c>
      <c r="C33" s="12">
        <v>132.49908065177578</v>
      </c>
      <c r="D33">
        <v>3822.61</v>
      </c>
      <c r="E33">
        <f t="shared" si="6"/>
        <v>-4.9899999999997817</v>
      </c>
      <c r="K33" s="12">
        <f t="shared" si="10"/>
        <v>132.49908065177578</v>
      </c>
      <c r="L33">
        <f t="shared" si="11"/>
        <v>-4.9899999999997817</v>
      </c>
      <c r="Q33" s="12">
        <f t="shared" si="4"/>
        <v>137.49546934762407</v>
      </c>
      <c r="R33">
        <f t="shared" si="5"/>
        <v>3.2200000000002547</v>
      </c>
    </row>
    <row r="34" spans="1:18" x14ac:dyDescent="0.25">
      <c r="A34" t="s">
        <v>33</v>
      </c>
      <c r="C34" s="12">
        <v>137.49546934762407</v>
      </c>
      <c r="D34">
        <v>3822.8</v>
      </c>
      <c r="E34">
        <f t="shared" si="6"/>
        <v>-4.7999999999997272</v>
      </c>
      <c r="K34" s="12">
        <f t="shared" si="10"/>
        <v>137.49546934762407</v>
      </c>
      <c r="L34">
        <f t="shared" si="11"/>
        <v>-4.7999999999997272</v>
      </c>
      <c r="Q34" s="12">
        <f t="shared" si="4"/>
        <v>142.46990147601832</v>
      </c>
      <c r="R34">
        <f t="shared" si="5"/>
        <v>3.7300000000000182</v>
      </c>
    </row>
    <row r="35" spans="1:18" x14ac:dyDescent="0.25">
      <c r="A35" s="1" t="s">
        <v>34</v>
      </c>
      <c r="C35" s="12">
        <v>142.46990147601832</v>
      </c>
      <c r="D35">
        <v>3823.31</v>
      </c>
      <c r="E35">
        <f t="shared" si="6"/>
        <v>-4.2899999999999636</v>
      </c>
      <c r="K35" s="12">
        <f t="shared" si="10"/>
        <v>142.46990147601832</v>
      </c>
      <c r="L35">
        <f t="shared" si="11"/>
        <v>-4.2899999999999636</v>
      </c>
      <c r="Q35" s="12">
        <f t="shared" si="4"/>
        <v>147.46617518749576</v>
      </c>
      <c r="R35">
        <f t="shared" si="5"/>
        <v>3.9200000000000728</v>
      </c>
    </row>
    <row r="36" spans="1:18" x14ac:dyDescent="0.25">
      <c r="A36" t="s">
        <v>35</v>
      </c>
      <c r="C36" s="12">
        <v>147.46617518749576</v>
      </c>
      <c r="D36">
        <v>3823.5</v>
      </c>
      <c r="E36">
        <f t="shared" si="6"/>
        <v>-4.0999999999999091</v>
      </c>
      <c r="K36" s="12">
        <f t="shared" si="10"/>
        <v>147.46617518749576</v>
      </c>
      <c r="L36">
        <f t="shared" si="11"/>
        <v>-4.0999999999999091</v>
      </c>
      <c r="Q36" s="12">
        <f t="shared" si="4"/>
        <v>152.46341882774391</v>
      </c>
      <c r="R36">
        <f t="shared" si="5"/>
        <v>4.0900000000001455</v>
      </c>
    </row>
    <row r="37" spans="1:18" x14ac:dyDescent="0.25">
      <c r="A37" s="1" t="s">
        <v>36</v>
      </c>
      <c r="C37" s="12">
        <v>152.46341882774391</v>
      </c>
      <c r="D37">
        <v>3823.67</v>
      </c>
      <c r="E37">
        <f t="shared" si="6"/>
        <v>-3.9299999999998363</v>
      </c>
      <c r="K37" s="12">
        <f t="shared" si="10"/>
        <v>152.46341882774391</v>
      </c>
      <c r="L37">
        <f t="shared" si="11"/>
        <v>-3.9299999999998363</v>
      </c>
      <c r="Q37" s="12">
        <f t="shared" si="4"/>
        <v>157.44641551648442</v>
      </c>
      <c r="R37">
        <f t="shared" si="5"/>
        <v>4.5</v>
      </c>
    </row>
    <row r="38" spans="1:18" x14ac:dyDescent="0.25">
      <c r="A38" t="s">
        <v>37</v>
      </c>
      <c r="C38" s="12">
        <v>157.44641551648442</v>
      </c>
      <c r="D38">
        <v>3824.08</v>
      </c>
      <c r="E38">
        <f t="shared" si="6"/>
        <v>-3.5199999999999818</v>
      </c>
      <c r="K38" s="12">
        <f t="shared" si="10"/>
        <v>157.44641551648442</v>
      </c>
      <c r="L38">
        <f t="shared" si="11"/>
        <v>-3.5199999999999818</v>
      </c>
      <c r="Q38" s="12">
        <f t="shared" si="4"/>
        <v>162.4449753090646</v>
      </c>
      <c r="R38">
        <f t="shared" si="5"/>
        <v>4.3800000000001091</v>
      </c>
    </row>
    <row r="39" spans="1:18" x14ac:dyDescent="0.25">
      <c r="A39" s="1" t="s">
        <v>38</v>
      </c>
      <c r="C39" s="12">
        <v>162.4449753090646</v>
      </c>
      <c r="D39">
        <v>3823.96</v>
      </c>
      <c r="E39">
        <f t="shared" si="6"/>
        <v>-3.6399999999998727</v>
      </c>
      <c r="K39" s="12">
        <f t="shared" si="10"/>
        <v>162.4449753090646</v>
      </c>
      <c r="L39">
        <f t="shared" si="11"/>
        <v>-3.6399999999998727</v>
      </c>
      <c r="Q39" s="12">
        <f t="shared" si="4"/>
        <v>167.44493120887023</v>
      </c>
      <c r="R39">
        <f t="shared" si="5"/>
        <v>4.3600000000001273</v>
      </c>
    </row>
    <row r="40" spans="1:18" x14ac:dyDescent="0.25">
      <c r="A40" t="s">
        <v>39</v>
      </c>
      <c r="C40" s="12">
        <v>167.44493120887023</v>
      </c>
      <c r="D40">
        <v>3823.94</v>
      </c>
      <c r="E40">
        <f t="shared" si="6"/>
        <v>-3.6599999999998545</v>
      </c>
      <c r="K40" s="12">
        <f t="shared" si="10"/>
        <v>167.44493120887023</v>
      </c>
      <c r="L40">
        <f t="shared" si="11"/>
        <v>-3.6599999999998545</v>
      </c>
      <c r="Q40" s="12">
        <f t="shared" si="4"/>
        <v>172.44485280825552</v>
      </c>
      <c r="R40">
        <f t="shared" si="5"/>
        <v>4.3899999999998727</v>
      </c>
    </row>
    <row r="41" spans="1:18" x14ac:dyDescent="0.25">
      <c r="A41" s="1" t="s">
        <v>40</v>
      </c>
      <c r="C41" s="12">
        <v>172.44485280825552</v>
      </c>
      <c r="D41">
        <v>3823.97</v>
      </c>
      <c r="E41">
        <f t="shared" si="6"/>
        <v>-3.6300000000001091</v>
      </c>
      <c r="K41" s="12">
        <f t="shared" si="10"/>
        <v>172.44485280825552</v>
      </c>
      <c r="L41">
        <f t="shared" si="11"/>
        <v>-3.6300000000001091</v>
      </c>
      <c r="Q41" s="12">
        <f t="shared" si="4"/>
        <v>177.42874676780161</v>
      </c>
      <c r="R41">
        <f t="shared" si="5"/>
        <v>4.7899999999999636</v>
      </c>
    </row>
    <row r="42" spans="1:18" x14ac:dyDescent="0.25">
      <c r="A42" t="s">
        <v>41</v>
      </c>
      <c r="C42" s="12">
        <v>177.42874676780161</v>
      </c>
      <c r="D42">
        <v>3824.37</v>
      </c>
      <c r="E42">
        <f t="shared" si="6"/>
        <v>-3.2300000000000182</v>
      </c>
      <c r="K42" s="12">
        <f t="shared" si="10"/>
        <v>177.42874676780161</v>
      </c>
      <c r="L42">
        <f t="shared" si="11"/>
        <v>-3.2300000000000182</v>
      </c>
      <c r="Q42" s="12">
        <f t="shared" si="4"/>
        <v>182.42772656371994</v>
      </c>
      <c r="R42">
        <f t="shared" si="5"/>
        <v>4.6900000000000546</v>
      </c>
    </row>
    <row r="43" spans="1:18" x14ac:dyDescent="0.25">
      <c r="A43" s="1" t="s">
        <v>42</v>
      </c>
      <c r="C43" s="12">
        <v>182.42772656371994</v>
      </c>
      <c r="D43">
        <v>3824.27</v>
      </c>
      <c r="E43">
        <f t="shared" si="6"/>
        <v>-3.3299999999999272</v>
      </c>
      <c r="K43" s="12">
        <f t="shared" si="10"/>
        <v>182.42772656371994</v>
      </c>
      <c r="L43">
        <f t="shared" si="11"/>
        <v>-3.3299999999999272</v>
      </c>
      <c r="Q43" s="12">
        <f t="shared" si="4"/>
        <v>187.42761766253398</v>
      </c>
      <c r="R43">
        <f t="shared" si="5"/>
        <v>4.7200000000002547</v>
      </c>
    </row>
    <row r="44" spans="1:18" x14ac:dyDescent="0.25">
      <c r="A44" t="s">
        <v>43</v>
      </c>
      <c r="C44" s="12">
        <v>187.42761766253398</v>
      </c>
      <c r="D44">
        <v>3824.3</v>
      </c>
      <c r="E44">
        <f t="shared" si="6"/>
        <v>-3.2999999999997272</v>
      </c>
      <c r="K44" s="12">
        <f t="shared" si="10"/>
        <v>187.42761766253398</v>
      </c>
      <c r="L44">
        <f t="shared" si="11"/>
        <v>-3.2999999999997272</v>
      </c>
      <c r="Q44" s="12">
        <f t="shared" si="4"/>
        <v>192.4252454998184</v>
      </c>
      <c r="R44">
        <f t="shared" si="5"/>
        <v>4.8699999999998909</v>
      </c>
    </row>
    <row r="45" spans="1:18" x14ac:dyDescent="0.25">
      <c r="A45" s="1" t="s">
        <v>44</v>
      </c>
      <c r="C45" s="12">
        <v>192.4252454998184</v>
      </c>
      <c r="D45">
        <v>3824.45</v>
      </c>
      <c r="E45">
        <f t="shared" si="6"/>
        <v>-3.1500000000000909</v>
      </c>
      <c r="K45" s="12">
        <f t="shared" si="10"/>
        <v>192.4252454998184</v>
      </c>
      <c r="L45">
        <f t="shared" si="11"/>
        <v>-3.1500000000000909</v>
      </c>
      <c r="Q45" s="12">
        <f t="shared" si="4"/>
        <v>197.42468296817424</v>
      </c>
      <c r="R45">
        <f t="shared" si="5"/>
        <v>4.9500000000002728</v>
      </c>
    </row>
    <row r="46" spans="1:18" x14ac:dyDescent="0.25">
      <c r="A46" t="s">
        <v>45</v>
      </c>
      <c r="C46" s="12">
        <v>197.42468296817424</v>
      </c>
      <c r="D46">
        <v>3824.53</v>
      </c>
      <c r="E46">
        <f t="shared" si="6"/>
        <v>-3.069999999999709</v>
      </c>
      <c r="K46" s="12">
        <f t="shared" si="10"/>
        <v>197.42468296817424</v>
      </c>
      <c r="L46">
        <f t="shared" si="11"/>
        <v>-3.069999999999709</v>
      </c>
      <c r="Q46" s="12">
        <f t="shared" si="4"/>
        <v>202.41915741500043</v>
      </c>
      <c r="R46">
        <f t="shared" si="5"/>
        <v>4.7100000000000364</v>
      </c>
    </row>
    <row r="47" spans="1:18" x14ac:dyDescent="0.25">
      <c r="A47" s="1" t="s">
        <v>46</v>
      </c>
      <c r="C47" s="12">
        <v>202.41915741500043</v>
      </c>
      <c r="D47">
        <v>3824.29</v>
      </c>
      <c r="E47">
        <f t="shared" si="6"/>
        <v>-3.3099999999999454</v>
      </c>
      <c r="K47" s="12">
        <f t="shared" si="10"/>
        <v>202.41915741500043</v>
      </c>
      <c r="L47">
        <f t="shared" si="11"/>
        <v>-3.3099999999999454</v>
      </c>
      <c r="Q47" s="12">
        <f t="shared" si="4"/>
        <v>207.41856447984333</v>
      </c>
      <c r="R47">
        <f t="shared" si="5"/>
        <v>4.7899999999999636</v>
      </c>
    </row>
    <row r="48" spans="1:18" x14ac:dyDescent="0.25">
      <c r="A48" t="s">
        <v>47</v>
      </c>
      <c r="C48" s="12">
        <v>207.41856447984333</v>
      </c>
      <c r="D48">
        <v>3824.37</v>
      </c>
      <c r="E48">
        <f t="shared" si="6"/>
        <v>-3.2300000000000182</v>
      </c>
      <c r="K48" s="12">
        <f t="shared" si="10"/>
        <v>207.41856447984333</v>
      </c>
      <c r="L48">
        <f t="shared" si="11"/>
        <v>-3.2300000000000182</v>
      </c>
      <c r="Q48" s="12">
        <f t="shared" si="4"/>
        <v>212.40277866063457</v>
      </c>
      <c r="R48">
        <f t="shared" si="5"/>
        <v>5.1900000000000546</v>
      </c>
    </row>
    <row r="49" spans="1:18" x14ac:dyDescent="0.25">
      <c r="A49" s="1" t="s">
        <v>48</v>
      </c>
      <c r="C49" s="12">
        <v>212.40277866063457</v>
      </c>
      <c r="D49">
        <v>3824.77</v>
      </c>
      <c r="E49">
        <f t="shared" si="6"/>
        <v>-2.8299999999999272</v>
      </c>
      <c r="K49" s="12">
        <f t="shared" si="10"/>
        <v>212.40277866063457</v>
      </c>
      <c r="L49">
        <f t="shared" si="11"/>
        <v>-2.8299999999999272</v>
      </c>
      <c r="Q49" s="12">
        <f t="shared" si="4"/>
        <v>217.34905392592259</v>
      </c>
      <c r="R49">
        <f t="shared" si="5"/>
        <v>5.9200000000000728</v>
      </c>
    </row>
    <row r="50" spans="1:18" x14ac:dyDescent="0.25">
      <c r="A50" t="s">
        <v>49</v>
      </c>
      <c r="C50" s="12">
        <v>217.34905392592259</v>
      </c>
      <c r="D50">
        <v>3825.5</v>
      </c>
      <c r="E50">
        <f t="shared" si="6"/>
        <v>-2.0999999999999091</v>
      </c>
      <c r="K50" s="12">
        <f t="shared" si="10"/>
        <v>217.34905392592259</v>
      </c>
      <c r="L50">
        <f t="shared" si="11"/>
        <v>-2.0999999999999091</v>
      </c>
      <c r="Q50" s="12">
        <f t="shared" si="4"/>
        <v>222.30328191825402</v>
      </c>
      <c r="R50">
        <f t="shared" si="5"/>
        <v>6.5900000000001455</v>
      </c>
    </row>
    <row r="51" spans="1:18" x14ac:dyDescent="0.25">
      <c r="A51" s="1" t="s">
        <v>50</v>
      </c>
      <c r="C51" s="12">
        <v>222.30328191825402</v>
      </c>
      <c r="D51">
        <v>3826.17</v>
      </c>
      <c r="E51">
        <f t="shared" si="6"/>
        <v>-1.4299999999998363</v>
      </c>
      <c r="K51" s="12">
        <f t="shared" si="10"/>
        <v>222.30328191825402</v>
      </c>
      <c r="L51">
        <f t="shared" si="11"/>
        <v>-1.4299999999998363</v>
      </c>
      <c r="Q51" s="12">
        <f t="shared" si="4"/>
        <v>227.21621983766636</v>
      </c>
      <c r="R51">
        <f t="shared" si="5"/>
        <v>7.5199999999999818</v>
      </c>
    </row>
    <row r="52" spans="1:18" x14ac:dyDescent="0.25">
      <c r="A52" t="s">
        <v>51</v>
      </c>
      <c r="C52" s="12">
        <v>227.21621983766636</v>
      </c>
      <c r="D52">
        <v>3827.1</v>
      </c>
      <c r="E52">
        <f t="shared" si="6"/>
        <v>-0.5</v>
      </c>
      <c r="K52" s="12">
        <f t="shared" si="10"/>
        <v>227.21621983766636</v>
      </c>
      <c r="L52">
        <f t="shared" si="11"/>
        <v>-0.5</v>
      </c>
      <c r="Q52" s="12">
        <f t="shared" si="4"/>
        <v>232.19175639164723</v>
      </c>
      <c r="R52">
        <f t="shared" si="5"/>
        <v>8.0199999999999818</v>
      </c>
    </row>
    <row r="53" spans="1:18" x14ac:dyDescent="0.25">
      <c r="A53" s="1" t="s">
        <v>52</v>
      </c>
      <c r="C53" s="12">
        <v>232.19175639164723</v>
      </c>
      <c r="D53">
        <v>3827.6</v>
      </c>
      <c r="E53">
        <f t="shared" si="6"/>
        <v>0</v>
      </c>
      <c r="K53" s="12">
        <f t="shared" si="10"/>
        <v>232.19175639164723</v>
      </c>
      <c r="L53">
        <f t="shared" si="11"/>
        <v>0</v>
      </c>
      <c r="Q53" s="12"/>
    </row>
  </sheetData>
  <mergeCells count="3">
    <mergeCell ref="C3:D3"/>
    <mergeCell ref="F3:H3"/>
    <mergeCell ref="I3:J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C5F7-2CEB-47D1-AA11-32626E2106F8}">
  <dimension ref="A1:L56"/>
  <sheetViews>
    <sheetView topLeftCell="C1" workbookViewId="0">
      <selection activeCell="O6" sqref="O6:R62"/>
    </sheetView>
  </sheetViews>
  <sheetFormatPr defaultRowHeight="15" x14ac:dyDescent="0.25"/>
  <sheetData>
    <row r="1" spans="1:12" x14ac:dyDescent="0.25">
      <c r="A1" s="1" t="s">
        <v>185</v>
      </c>
      <c r="B1" s="1"/>
      <c r="C1" s="1" t="s">
        <v>1</v>
      </c>
      <c r="D1" t="s">
        <v>220</v>
      </c>
    </row>
    <row r="2" spans="1:12" ht="15.75" thickBot="1" x14ac:dyDescent="0.3"/>
    <row r="3" spans="1:12" x14ac:dyDescent="0.25">
      <c r="A3" s="1"/>
      <c r="B3" s="1"/>
      <c r="C3" s="146" t="s">
        <v>178</v>
      </c>
      <c r="D3" s="146"/>
      <c r="E3" s="3"/>
      <c r="F3" s="146" t="s">
        <v>4</v>
      </c>
      <c r="G3" s="146"/>
      <c r="H3" s="146"/>
      <c r="I3" s="147" t="s">
        <v>179</v>
      </c>
      <c r="J3" s="148"/>
    </row>
    <row r="4" spans="1:12" x14ac:dyDescent="0.25">
      <c r="A4" s="1" t="s">
        <v>101</v>
      </c>
      <c r="B4" s="1" t="s">
        <v>102</v>
      </c>
      <c r="C4" s="1" t="s">
        <v>2</v>
      </c>
      <c r="D4" s="1" t="s">
        <v>3</v>
      </c>
      <c r="E4" s="1" t="s">
        <v>177</v>
      </c>
      <c r="F4" s="1" t="s">
        <v>2</v>
      </c>
      <c r="G4" s="1" t="s">
        <v>176</v>
      </c>
      <c r="H4" s="1" t="s">
        <v>177</v>
      </c>
      <c r="I4" s="6" t="s">
        <v>2</v>
      </c>
      <c r="J4" s="7" t="s">
        <v>3</v>
      </c>
    </row>
    <row r="5" spans="1:12" x14ac:dyDescent="0.25">
      <c r="A5" s="1"/>
      <c r="B5" s="1"/>
      <c r="C5" s="1"/>
      <c r="D5" s="1"/>
      <c r="E5" s="1"/>
      <c r="H5" s="1"/>
      <c r="I5" s="17"/>
      <c r="J5" s="17"/>
    </row>
    <row r="6" spans="1:12" x14ac:dyDescent="0.25">
      <c r="A6" s="1"/>
      <c r="B6" s="1"/>
      <c r="C6" s="1"/>
      <c r="D6" s="1"/>
      <c r="E6" s="1"/>
      <c r="H6" s="1"/>
      <c r="I6" s="17"/>
      <c r="J6" s="17"/>
    </row>
    <row r="7" spans="1:12" x14ac:dyDescent="0.25">
      <c r="A7" t="s">
        <v>5</v>
      </c>
      <c r="B7" s="1"/>
      <c r="C7" s="12">
        <v>0</v>
      </c>
      <c r="D7" s="20">
        <v>3220.8310000000001</v>
      </c>
      <c r="E7">
        <f>D7-MAX(D7:D54)</f>
        <v>-23.549999999999727</v>
      </c>
      <c r="K7" s="12">
        <f>C7</f>
        <v>0</v>
      </c>
      <c r="L7">
        <f>E7</f>
        <v>-23.549999999999727</v>
      </c>
    </row>
    <row r="8" spans="1:12" x14ac:dyDescent="0.25">
      <c r="A8" s="1" t="s">
        <v>6</v>
      </c>
      <c r="B8" s="1"/>
      <c r="C8" s="12">
        <v>4.9963505681647575</v>
      </c>
      <c r="D8" s="20">
        <v>3220.64</v>
      </c>
      <c r="E8">
        <f t="shared" ref="E8:E54" si="0">D8-MAX(D8:D55)</f>
        <v>-23.740999999999985</v>
      </c>
      <c r="K8" s="12">
        <f t="shared" ref="K8:K55" si="1">C8</f>
        <v>4.9963505681647575</v>
      </c>
      <c r="L8">
        <f t="shared" ref="L8:L56" si="2">E8</f>
        <v>-23.740999999999985</v>
      </c>
    </row>
    <row r="9" spans="1:12" x14ac:dyDescent="0.25">
      <c r="A9" t="s">
        <v>7</v>
      </c>
      <c r="C9" s="12">
        <v>9.9958605441523787</v>
      </c>
      <c r="D9" s="20">
        <v>3220.57</v>
      </c>
      <c r="E9">
        <f t="shared" si="0"/>
        <v>-23.810999999999694</v>
      </c>
      <c r="K9" s="12">
        <f t="shared" si="1"/>
        <v>9.9958605441523787</v>
      </c>
      <c r="L9">
        <f t="shared" si="2"/>
        <v>-23.810999999999694</v>
      </c>
    </row>
    <row r="10" spans="1:12" x14ac:dyDescent="0.25">
      <c r="A10" s="1" t="s">
        <v>8</v>
      </c>
      <c r="C10" s="12">
        <v>14.916914801118082</v>
      </c>
      <c r="D10" s="20">
        <v>3221.4549999999999</v>
      </c>
      <c r="E10">
        <f t="shared" si="0"/>
        <v>-22.925999999999931</v>
      </c>
      <c r="K10" s="12">
        <f t="shared" si="1"/>
        <v>14.916914801118082</v>
      </c>
      <c r="L10">
        <f t="shared" si="2"/>
        <v>-22.925999999999931</v>
      </c>
    </row>
    <row r="11" spans="1:12" x14ac:dyDescent="0.25">
      <c r="A11" t="s">
        <v>9</v>
      </c>
      <c r="C11" s="12">
        <v>19.913491128965006</v>
      </c>
      <c r="D11" s="20">
        <v>3221.27</v>
      </c>
      <c r="E11">
        <f t="shared" si="0"/>
        <v>-23.110999999999876</v>
      </c>
      <c r="K11" s="12">
        <f t="shared" si="1"/>
        <v>19.913491128965006</v>
      </c>
      <c r="L11">
        <f t="shared" si="2"/>
        <v>-23.110999999999876</v>
      </c>
    </row>
    <row r="12" spans="1:12" x14ac:dyDescent="0.25">
      <c r="A12" s="1" t="s">
        <v>10</v>
      </c>
      <c r="C12" s="12">
        <v>24.906463690475903</v>
      </c>
      <c r="D12" s="20">
        <v>3221.5349999999999</v>
      </c>
      <c r="E12">
        <f t="shared" si="0"/>
        <v>-22.846000000000004</v>
      </c>
      <c r="K12" s="12">
        <f t="shared" si="1"/>
        <v>24.906463690475903</v>
      </c>
      <c r="L12">
        <f t="shared" si="2"/>
        <v>-22.846000000000004</v>
      </c>
    </row>
    <row r="13" spans="1:12" x14ac:dyDescent="0.25">
      <c r="A13" t="s">
        <v>11</v>
      </c>
      <c r="C13" s="12">
        <v>29.873175278639565</v>
      </c>
      <c r="D13" s="20">
        <v>3222.1109999999999</v>
      </c>
      <c r="E13">
        <f t="shared" si="0"/>
        <v>-22.269999999999982</v>
      </c>
      <c r="K13" s="12">
        <f t="shared" si="1"/>
        <v>29.873175278639565</v>
      </c>
      <c r="L13">
        <f t="shared" si="2"/>
        <v>-22.269999999999982</v>
      </c>
    </row>
    <row r="14" spans="1:12" x14ac:dyDescent="0.25">
      <c r="A14" s="1" t="s">
        <v>12</v>
      </c>
      <c r="C14" s="12">
        <v>34.792784104552538</v>
      </c>
      <c r="D14" s="20">
        <v>3223.0039999999999</v>
      </c>
      <c r="E14">
        <f t="shared" si="0"/>
        <v>-21.376999999999953</v>
      </c>
      <c r="K14" s="12">
        <f t="shared" si="1"/>
        <v>34.792784104552538</v>
      </c>
      <c r="L14">
        <f t="shared" si="2"/>
        <v>-21.376999999999953</v>
      </c>
    </row>
    <row r="15" spans="1:12" x14ac:dyDescent="0.25">
      <c r="A15" t="s">
        <v>13</v>
      </c>
      <c r="C15" s="12">
        <v>39.614300878349013</v>
      </c>
      <c r="D15" s="20">
        <v>3224.328</v>
      </c>
      <c r="E15">
        <f t="shared" si="0"/>
        <v>-20.052999999999884</v>
      </c>
      <c r="K15" s="12">
        <f t="shared" si="1"/>
        <v>39.614300878349013</v>
      </c>
      <c r="L15">
        <f t="shared" si="2"/>
        <v>-20.052999999999884</v>
      </c>
    </row>
    <row r="16" spans="1:12" x14ac:dyDescent="0.25">
      <c r="A16" s="1" t="s">
        <v>14</v>
      </c>
      <c r="C16" s="12">
        <v>44.429162870140772</v>
      </c>
      <c r="D16" s="20">
        <v>3225.6759999999999</v>
      </c>
      <c r="E16">
        <f t="shared" si="0"/>
        <v>-18.704999999999927</v>
      </c>
      <c r="K16" s="12">
        <f t="shared" si="1"/>
        <v>44.429162870140772</v>
      </c>
      <c r="L16">
        <f t="shared" si="2"/>
        <v>-18.704999999999927</v>
      </c>
    </row>
    <row r="17" spans="1:12" x14ac:dyDescent="0.25">
      <c r="A17" t="s">
        <v>15</v>
      </c>
      <c r="C17" s="12">
        <v>49.428686747471602</v>
      </c>
      <c r="D17" s="20">
        <v>3225.607</v>
      </c>
      <c r="E17">
        <f t="shared" si="0"/>
        <v>-18.773999999999887</v>
      </c>
      <c r="K17" s="12">
        <f t="shared" si="1"/>
        <v>49.428686747471602</v>
      </c>
      <c r="L17">
        <f t="shared" si="2"/>
        <v>-18.773999999999887</v>
      </c>
    </row>
    <row r="18" spans="1:12" x14ac:dyDescent="0.25">
      <c r="A18" s="1" t="s">
        <v>16</v>
      </c>
      <c r="C18" s="12">
        <v>54.427686647451537</v>
      </c>
      <c r="D18" s="20">
        <v>3225.7069999999999</v>
      </c>
      <c r="E18">
        <f t="shared" si="0"/>
        <v>-18.673999999999978</v>
      </c>
      <c r="K18" s="12">
        <f t="shared" si="1"/>
        <v>54.427686647451537</v>
      </c>
      <c r="L18">
        <f t="shared" si="2"/>
        <v>-18.673999999999978</v>
      </c>
    </row>
    <row r="19" spans="1:12" x14ac:dyDescent="0.25">
      <c r="A19" t="s">
        <v>17</v>
      </c>
      <c r="C19" s="12">
        <v>59.263182071914343</v>
      </c>
      <c r="D19" s="20">
        <v>3224.4349999999999</v>
      </c>
      <c r="E19">
        <f t="shared" si="0"/>
        <v>-19.945999999999913</v>
      </c>
      <c r="K19" s="12">
        <f t="shared" si="1"/>
        <v>59.263182071914343</v>
      </c>
      <c r="L19">
        <f t="shared" si="2"/>
        <v>-19.945999999999913</v>
      </c>
    </row>
    <row r="20" spans="1:12" x14ac:dyDescent="0.25">
      <c r="A20" s="1" t="s">
        <v>18</v>
      </c>
      <c r="C20" s="12">
        <v>64.008640427015507</v>
      </c>
      <c r="D20" s="20">
        <v>3226.01</v>
      </c>
      <c r="E20">
        <f t="shared" si="0"/>
        <v>-18.37099999999964</v>
      </c>
      <c r="K20" s="12">
        <f t="shared" si="1"/>
        <v>64.008640427015507</v>
      </c>
      <c r="L20">
        <f t="shared" si="2"/>
        <v>-18.37099999999964</v>
      </c>
    </row>
    <row r="21" spans="1:12" x14ac:dyDescent="0.25">
      <c r="A21" t="s">
        <v>19</v>
      </c>
      <c r="C21" s="12">
        <v>68.492729632194141</v>
      </c>
      <c r="D21" s="20">
        <v>3228.2220000000002</v>
      </c>
      <c r="E21">
        <f t="shared" si="0"/>
        <v>-16.158999999999651</v>
      </c>
      <c r="K21" s="12">
        <f t="shared" si="1"/>
        <v>68.492729632194141</v>
      </c>
      <c r="L21">
        <f t="shared" si="2"/>
        <v>-16.158999999999651</v>
      </c>
    </row>
    <row r="22" spans="1:12" x14ac:dyDescent="0.25">
      <c r="A22" s="1" t="s">
        <v>20</v>
      </c>
      <c r="C22" s="12">
        <v>73.419431470138079</v>
      </c>
      <c r="D22" s="20">
        <v>3227.3690000000001</v>
      </c>
      <c r="E22">
        <f t="shared" si="0"/>
        <v>-17.011999999999716</v>
      </c>
      <c r="K22" s="12">
        <f t="shared" si="1"/>
        <v>73.419431470138079</v>
      </c>
      <c r="L22">
        <f t="shared" si="2"/>
        <v>-17.011999999999716</v>
      </c>
    </row>
    <row r="23" spans="1:12" x14ac:dyDescent="0.25">
      <c r="A23" t="s">
        <v>21</v>
      </c>
      <c r="C23" s="12">
        <v>78.371173688791941</v>
      </c>
      <c r="D23" s="20">
        <v>3226.6759999999999</v>
      </c>
      <c r="E23">
        <f t="shared" si="0"/>
        <v>-17.704999999999927</v>
      </c>
      <c r="K23" s="12">
        <f t="shared" si="1"/>
        <v>78.371173688791941</v>
      </c>
      <c r="L23">
        <f t="shared" si="2"/>
        <v>-17.704999999999927</v>
      </c>
    </row>
    <row r="24" spans="1:12" x14ac:dyDescent="0.25">
      <c r="A24" s="1" t="s">
        <v>22</v>
      </c>
      <c r="C24" s="12">
        <v>83.362929992939826</v>
      </c>
      <c r="D24" s="20">
        <v>3226.3890000000001</v>
      </c>
      <c r="E24">
        <f t="shared" si="0"/>
        <v>-17.991999999999734</v>
      </c>
      <c r="K24" s="12">
        <f t="shared" si="1"/>
        <v>83.362929992939826</v>
      </c>
      <c r="L24">
        <f t="shared" si="2"/>
        <v>-17.991999999999734</v>
      </c>
    </row>
    <row r="25" spans="1:12" x14ac:dyDescent="0.25">
      <c r="A25" t="s">
        <v>23</v>
      </c>
      <c r="C25" s="12">
        <v>88.362833892016397</v>
      </c>
      <c r="D25" s="20">
        <v>3226.42</v>
      </c>
      <c r="E25">
        <f t="shared" si="0"/>
        <v>-17.960999999999785</v>
      </c>
      <c r="K25" s="12">
        <f t="shared" si="1"/>
        <v>88.362833892016397</v>
      </c>
      <c r="L25">
        <f t="shared" si="2"/>
        <v>-17.960999999999785</v>
      </c>
    </row>
    <row r="26" spans="1:12" x14ac:dyDescent="0.25">
      <c r="A26" s="1" t="s">
        <v>24</v>
      </c>
      <c r="C26" s="12">
        <v>93.322347477036601</v>
      </c>
      <c r="D26" s="20">
        <v>3227.0549999999998</v>
      </c>
      <c r="E26">
        <f t="shared" si="0"/>
        <v>-17.326000000000022</v>
      </c>
      <c r="K26" s="12">
        <f t="shared" si="1"/>
        <v>93.322347477036601</v>
      </c>
      <c r="L26">
        <f t="shared" si="2"/>
        <v>-17.326000000000022</v>
      </c>
    </row>
    <row r="27" spans="1:12" x14ac:dyDescent="0.25">
      <c r="A27" t="s">
        <v>25</v>
      </c>
      <c r="C27" s="12">
        <v>98.278329317196949</v>
      </c>
      <c r="D27" s="20">
        <v>3226.393</v>
      </c>
      <c r="E27">
        <f t="shared" si="0"/>
        <v>-17.987999999999829</v>
      </c>
      <c r="K27" s="12">
        <f t="shared" si="1"/>
        <v>98.278329317196949</v>
      </c>
      <c r="L27">
        <f t="shared" si="2"/>
        <v>-17.987999999999829</v>
      </c>
    </row>
    <row r="28" spans="1:12" x14ac:dyDescent="0.25">
      <c r="A28" s="1" t="s">
        <v>26</v>
      </c>
      <c r="C28" s="12">
        <v>103.27793240144274</v>
      </c>
      <c r="D28" s="20">
        <v>3226.33</v>
      </c>
      <c r="E28">
        <f t="shared" si="0"/>
        <v>-18.050999999999931</v>
      </c>
      <c r="K28" s="12">
        <f t="shared" si="1"/>
        <v>103.27793240144274</v>
      </c>
      <c r="L28">
        <f t="shared" si="2"/>
        <v>-18.050999999999931</v>
      </c>
    </row>
    <row r="29" spans="1:12" x14ac:dyDescent="0.25">
      <c r="A29" t="s">
        <v>27</v>
      </c>
      <c r="B29" t="s">
        <v>175</v>
      </c>
      <c r="C29" s="12">
        <v>108.17711590484396</v>
      </c>
      <c r="D29" s="20">
        <v>3227.3290000000002</v>
      </c>
      <c r="E29">
        <f t="shared" si="0"/>
        <v>-17.05199999999968</v>
      </c>
      <c r="F29">
        <v>112.5</v>
      </c>
      <c r="G29" s="19">
        <v>3245.8809999999999</v>
      </c>
      <c r="H29">
        <f>E29</f>
        <v>-17.05199999999968</v>
      </c>
      <c r="I29" s="12">
        <f>F29</f>
        <v>112.5</v>
      </c>
      <c r="J29">
        <f>H29</f>
        <v>-17.05199999999968</v>
      </c>
      <c r="K29" s="12">
        <f t="shared" si="1"/>
        <v>108.17711590484396</v>
      </c>
      <c r="L29">
        <f t="shared" si="2"/>
        <v>-17.05199999999968</v>
      </c>
    </row>
    <row r="30" spans="1:12" x14ac:dyDescent="0.25">
      <c r="A30" s="1" t="s">
        <v>28</v>
      </c>
      <c r="B30" t="s">
        <v>175</v>
      </c>
      <c r="C30" s="12">
        <v>113.06346423462969</v>
      </c>
      <c r="D30" s="20">
        <v>3228.3890000000001</v>
      </c>
      <c r="E30">
        <f t="shared" si="0"/>
        <v>-15.991999999999734</v>
      </c>
      <c r="F30">
        <v>117.5</v>
      </c>
      <c r="G30" s="19">
        <v>3244.8809999999999</v>
      </c>
      <c r="H30">
        <f t="shared" ref="H30:H56" si="3">E30</f>
        <v>-15.991999999999734</v>
      </c>
      <c r="I30" s="12">
        <f t="shared" ref="I30:I56" si="4">F30</f>
        <v>117.5</v>
      </c>
      <c r="J30">
        <f t="shared" ref="J30:J54" si="5">H30</f>
        <v>-15.991999999999734</v>
      </c>
      <c r="K30" s="12">
        <f t="shared" si="1"/>
        <v>113.06346423462969</v>
      </c>
      <c r="L30">
        <f t="shared" si="2"/>
        <v>-15.991999999999734</v>
      </c>
    </row>
    <row r="31" spans="1:12" x14ac:dyDescent="0.25">
      <c r="A31" t="s">
        <v>29</v>
      </c>
      <c r="B31" t="s">
        <v>103</v>
      </c>
      <c r="C31" s="12">
        <v>118.05789152912507</v>
      </c>
      <c r="D31" s="20">
        <v>3228.625</v>
      </c>
      <c r="E31">
        <f t="shared" si="0"/>
        <v>-15.755999999999858</v>
      </c>
      <c r="F31" s="12">
        <v>120</v>
      </c>
      <c r="G31" s="20">
        <v>3244.3809999999999</v>
      </c>
      <c r="H31">
        <f t="shared" si="3"/>
        <v>-15.755999999999858</v>
      </c>
      <c r="I31" s="12">
        <f t="shared" si="4"/>
        <v>120</v>
      </c>
      <c r="J31">
        <f t="shared" si="5"/>
        <v>-15.755999999999858</v>
      </c>
      <c r="K31" s="12">
        <f t="shared" si="1"/>
        <v>118.05789152912507</v>
      </c>
      <c r="L31">
        <f t="shared" si="2"/>
        <v>-15.755999999999858</v>
      </c>
    </row>
    <row r="32" spans="1:12" x14ac:dyDescent="0.25">
      <c r="A32" s="1" t="s">
        <v>30</v>
      </c>
      <c r="B32" t="s">
        <v>104</v>
      </c>
      <c r="C32" s="12">
        <v>122.91835148678342</v>
      </c>
      <c r="D32" s="20">
        <v>3229.7979999999998</v>
      </c>
      <c r="E32">
        <f t="shared" si="0"/>
        <v>-14.583000000000084</v>
      </c>
      <c r="F32" s="12">
        <f>C32+((C33-C32)/2)</f>
        <v>125.40732913835041</v>
      </c>
      <c r="G32" s="20">
        <v>3243.0120000000002</v>
      </c>
      <c r="H32">
        <f t="shared" si="3"/>
        <v>-14.583000000000084</v>
      </c>
      <c r="I32" s="12">
        <f t="shared" si="4"/>
        <v>125.40732913835041</v>
      </c>
      <c r="J32">
        <f t="shared" si="5"/>
        <v>-14.583000000000084</v>
      </c>
      <c r="K32" s="12">
        <f t="shared" si="1"/>
        <v>122.91835148678342</v>
      </c>
      <c r="L32">
        <f t="shared" si="2"/>
        <v>-14.583000000000084</v>
      </c>
    </row>
    <row r="33" spans="1:12" x14ac:dyDescent="0.25">
      <c r="A33" t="s">
        <v>31</v>
      </c>
      <c r="B33" t="s">
        <v>105</v>
      </c>
      <c r="C33" s="12">
        <v>127.89630678991739</v>
      </c>
      <c r="D33" s="20">
        <v>3230.2669999999998</v>
      </c>
      <c r="E33">
        <f t="shared" si="0"/>
        <v>-14.114000000000033</v>
      </c>
      <c r="F33" s="12">
        <f>C33</f>
        <v>127.89630678991739</v>
      </c>
      <c r="G33" s="20">
        <v>3241.326</v>
      </c>
      <c r="H33">
        <f t="shared" si="3"/>
        <v>-14.114000000000033</v>
      </c>
      <c r="I33" s="12">
        <f t="shared" si="4"/>
        <v>127.89630678991739</v>
      </c>
      <c r="J33">
        <f t="shared" si="5"/>
        <v>-14.114000000000033</v>
      </c>
      <c r="K33" s="12">
        <f t="shared" si="1"/>
        <v>127.89630678991739</v>
      </c>
      <c r="L33">
        <f t="shared" si="2"/>
        <v>-14.114000000000033</v>
      </c>
    </row>
    <row r="34" spans="1:12" x14ac:dyDescent="0.25">
      <c r="A34" s="1" t="s">
        <v>32</v>
      </c>
      <c r="B34" t="s">
        <v>106</v>
      </c>
      <c r="C34" s="12">
        <v>132.82844212869304</v>
      </c>
      <c r="D34" s="20">
        <v>3231.0880000000002</v>
      </c>
      <c r="E34">
        <f t="shared" si="0"/>
        <v>-13.292999999999665</v>
      </c>
      <c r="F34" s="12">
        <f>C34+((C35-C34)/2)-0.5</f>
        <v>134.74802039773078</v>
      </c>
      <c r="G34" s="20">
        <v>3239.598</v>
      </c>
      <c r="H34">
        <f t="shared" si="3"/>
        <v>-13.292999999999665</v>
      </c>
      <c r="I34" s="12">
        <f t="shared" si="4"/>
        <v>134.74802039773078</v>
      </c>
      <c r="J34">
        <f t="shared" si="5"/>
        <v>-13.292999999999665</v>
      </c>
      <c r="K34" s="12">
        <f t="shared" si="1"/>
        <v>132.82844212869304</v>
      </c>
      <c r="L34">
        <f t="shared" si="2"/>
        <v>-13.292999999999665</v>
      </c>
    </row>
    <row r="35" spans="1:12" x14ac:dyDescent="0.25">
      <c r="A35" t="s">
        <v>33</v>
      </c>
      <c r="B35" t="s">
        <v>107</v>
      </c>
      <c r="C35" s="12">
        <v>137.66759866676853</v>
      </c>
      <c r="D35" s="20">
        <v>3229.83</v>
      </c>
      <c r="E35">
        <f t="shared" si="0"/>
        <v>-14.550999999999931</v>
      </c>
      <c r="F35" s="12">
        <f>C35</f>
        <v>137.66759866676853</v>
      </c>
      <c r="G35" s="20">
        <v>3239.6660000000002</v>
      </c>
      <c r="H35">
        <f t="shared" si="3"/>
        <v>-14.550999999999931</v>
      </c>
      <c r="I35" s="12">
        <f t="shared" si="4"/>
        <v>137.66759866676853</v>
      </c>
      <c r="J35">
        <f t="shared" si="5"/>
        <v>-14.550999999999931</v>
      </c>
      <c r="K35" s="12">
        <f t="shared" si="1"/>
        <v>137.66759866676853</v>
      </c>
      <c r="L35">
        <f t="shared" si="2"/>
        <v>-14.550999999999931</v>
      </c>
    </row>
    <row r="36" spans="1:12" x14ac:dyDescent="0.25">
      <c r="A36" s="1" t="s">
        <v>34</v>
      </c>
      <c r="B36" t="s">
        <v>108</v>
      </c>
      <c r="C36" s="12">
        <v>142.63302221365757</v>
      </c>
      <c r="D36" s="20">
        <v>3230.4169999999999</v>
      </c>
      <c r="E36">
        <f t="shared" si="0"/>
        <v>-13.963999999999942</v>
      </c>
      <c r="F36" s="12">
        <f>C36+((C37-C36)/2)</f>
        <v>144.88578584972765</v>
      </c>
      <c r="G36" s="20">
        <v>3239.1</v>
      </c>
      <c r="H36">
        <f t="shared" si="3"/>
        <v>-13.963999999999942</v>
      </c>
      <c r="I36" s="12">
        <f t="shared" si="4"/>
        <v>144.88578584972765</v>
      </c>
      <c r="J36">
        <f t="shared" si="5"/>
        <v>-13.963999999999942</v>
      </c>
      <c r="K36" s="12">
        <f t="shared" si="1"/>
        <v>142.63302221365757</v>
      </c>
      <c r="L36">
        <f t="shared" si="2"/>
        <v>-13.963999999999942</v>
      </c>
    </row>
    <row r="37" spans="1:12" x14ac:dyDescent="0.25">
      <c r="A37" t="s">
        <v>35</v>
      </c>
      <c r="B37" t="s">
        <v>109</v>
      </c>
      <c r="C37" s="12">
        <v>147.13854948579774</v>
      </c>
      <c r="D37" s="20">
        <v>3232.585</v>
      </c>
      <c r="E37">
        <f t="shared" si="0"/>
        <v>-11.795999999999822</v>
      </c>
      <c r="F37" s="12">
        <f>C37</f>
        <v>147.13854948579774</v>
      </c>
      <c r="G37" s="20">
        <v>3238.8589999999999</v>
      </c>
      <c r="H37">
        <f t="shared" si="3"/>
        <v>-11.795999999999822</v>
      </c>
      <c r="I37" s="12">
        <f t="shared" si="4"/>
        <v>147.13854948579774</v>
      </c>
      <c r="J37">
        <f t="shared" si="5"/>
        <v>-11.795999999999822</v>
      </c>
      <c r="K37" s="12">
        <f t="shared" si="1"/>
        <v>147.13854948579774</v>
      </c>
      <c r="L37">
        <f t="shared" si="2"/>
        <v>-11.795999999999822</v>
      </c>
    </row>
    <row r="38" spans="1:12" x14ac:dyDescent="0.25">
      <c r="A38" s="1" t="s">
        <v>36</v>
      </c>
      <c r="B38" t="s">
        <v>110</v>
      </c>
      <c r="C38" s="12">
        <v>152.13795655064064</v>
      </c>
      <c r="D38" s="20">
        <v>3232.5079999999998</v>
      </c>
      <c r="E38">
        <f t="shared" si="0"/>
        <v>-11.873000000000047</v>
      </c>
      <c r="F38" s="12">
        <f>C38+((C39-C38)/2)</f>
        <v>154.60199667815482</v>
      </c>
      <c r="G38" s="20">
        <v>3237.75</v>
      </c>
      <c r="H38">
        <f t="shared" si="3"/>
        <v>-11.873000000000047</v>
      </c>
      <c r="I38" s="12">
        <f t="shared" si="4"/>
        <v>154.60199667815482</v>
      </c>
      <c r="J38">
        <f t="shared" si="5"/>
        <v>-11.873000000000047</v>
      </c>
      <c r="K38" s="12">
        <f t="shared" si="1"/>
        <v>152.13795655064064</v>
      </c>
      <c r="L38">
        <f t="shared" si="2"/>
        <v>-11.873000000000047</v>
      </c>
    </row>
    <row r="39" spans="1:12" x14ac:dyDescent="0.25">
      <c r="A39" t="s">
        <v>37</v>
      </c>
      <c r="B39" t="s">
        <v>111</v>
      </c>
      <c r="C39" s="12">
        <v>157.066036805669</v>
      </c>
      <c r="D39" s="20">
        <v>3233.3530000000001</v>
      </c>
      <c r="E39">
        <f t="shared" si="0"/>
        <v>-11.027999999999793</v>
      </c>
      <c r="F39" s="12">
        <f>C39</f>
        <v>157.066036805669</v>
      </c>
      <c r="G39" s="20">
        <v>3237.58</v>
      </c>
      <c r="H39">
        <f t="shared" si="3"/>
        <v>-11.027999999999793</v>
      </c>
      <c r="I39" s="12">
        <f t="shared" si="4"/>
        <v>157.066036805669</v>
      </c>
      <c r="J39">
        <f t="shared" si="5"/>
        <v>-11.027999999999793</v>
      </c>
      <c r="K39" s="12">
        <f t="shared" si="1"/>
        <v>157.066036805669</v>
      </c>
      <c r="L39">
        <f t="shared" si="2"/>
        <v>-11.027999999999793</v>
      </c>
    </row>
    <row r="40" spans="1:12" x14ac:dyDescent="0.25">
      <c r="A40" s="1" t="s">
        <v>38</v>
      </c>
      <c r="B40" t="s">
        <v>112</v>
      </c>
      <c r="C40" s="12">
        <v>161.96664248252159</v>
      </c>
      <c r="D40" s="20">
        <v>3234.3449999999998</v>
      </c>
      <c r="E40">
        <f t="shared" si="0"/>
        <v>-10.036000000000058</v>
      </c>
      <c r="F40" s="12">
        <f>C40+((C41-C40)/2)</f>
        <v>164.45882902249002</v>
      </c>
      <c r="G40" s="20">
        <v>3237.5329999999999</v>
      </c>
      <c r="H40">
        <f t="shared" si="3"/>
        <v>-10.036000000000058</v>
      </c>
      <c r="I40" s="12">
        <f t="shared" si="4"/>
        <v>164.45882902249002</v>
      </c>
      <c r="J40">
        <f t="shared" si="5"/>
        <v>-10.036000000000058</v>
      </c>
      <c r="K40" s="12">
        <f t="shared" si="1"/>
        <v>161.96664248252159</v>
      </c>
      <c r="L40">
        <f t="shared" si="2"/>
        <v>-10.036000000000058</v>
      </c>
    </row>
    <row r="41" spans="1:12" x14ac:dyDescent="0.25">
      <c r="A41" t="s">
        <v>39</v>
      </c>
      <c r="B41" t="s">
        <v>113</v>
      </c>
      <c r="C41" s="12">
        <v>166.95101556245845</v>
      </c>
      <c r="D41" s="20">
        <v>3234.74</v>
      </c>
      <c r="E41">
        <f t="shared" si="0"/>
        <v>-9.6410000000000764</v>
      </c>
      <c r="F41" s="12">
        <f>C41</f>
        <v>166.95101556245845</v>
      </c>
      <c r="G41" s="20">
        <v>3237.223</v>
      </c>
      <c r="H41">
        <f t="shared" si="3"/>
        <v>-9.6410000000000764</v>
      </c>
      <c r="I41" s="12">
        <f t="shared" si="4"/>
        <v>166.95101556245845</v>
      </c>
      <c r="J41">
        <f t="shared" si="5"/>
        <v>-9.6410000000000764</v>
      </c>
      <c r="K41" s="12">
        <f t="shared" si="1"/>
        <v>166.95101556245845</v>
      </c>
      <c r="L41">
        <f t="shared" si="2"/>
        <v>-9.6410000000000764</v>
      </c>
    </row>
    <row r="42" spans="1:12" x14ac:dyDescent="0.25">
      <c r="A42" s="1" t="s">
        <v>40</v>
      </c>
      <c r="B42" t="s">
        <v>114</v>
      </c>
      <c r="C42" s="12">
        <v>171.7880853366089</v>
      </c>
      <c r="D42" s="20">
        <v>3236.0059999999999</v>
      </c>
      <c r="E42">
        <f t="shared" si="0"/>
        <v>-8.375</v>
      </c>
      <c r="F42" s="12">
        <f>C42+((C43-C42)/2)</f>
        <v>174.28732877213099</v>
      </c>
      <c r="G42" s="20">
        <v>3236.1289999999999</v>
      </c>
      <c r="H42">
        <f t="shared" si="3"/>
        <v>-8.375</v>
      </c>
      <c r="I42" s="12">
        <f t="shared" si="4"/>
        <v>174.28732877213099</v>
      </c>
      <c r="J42">
        <f t="shared" si="5"/>
        <v>-8.375</v>
      </c>
      <c r="K42" s="12">
        <f t="shared" si="1"/>
        <v>171.7880853366089</v>
      </c>
      <c r="L42">
        <f t="shared" si="2"/>
        <v>-8.375</v>
      </c>
    </row>
    <row r="43" spans="1:12" x14ac:dyDescent="0.25">
      <c r="A43" t="s">
        <v>41</v>
      </c>
      <c r="B43" t="s">
        <v>115</v>
      </c>
      <c r="C43" s="12">
        <v>176.78657220765308</v>
      </c>
      <c r="D43" s="20">
        <v>3236.1289999999999</v>
      </c>
      <c r="E43">
        <f t="shared" si="0"/>
        <v>-8.2519999999999527</v>
      </c>
      <c r="F43" s="12">
        <f>C43</f>
        <v>176.78657220765308</v>
      </c>
      <c r="G43" s="20">
        <v>3236.0059999999999</v>
      </c>
      <c r="H43">
        <f t="shared" si="3"/>
        <v>-8.2519999999999527</v>
      </c>
      <c r="I43" s="12">
        <f t="shared" si="4"/>
        <v>176.78657220765308</v>
      </c>
      <c r="J43">
        <f t="shared" si="5"/>
        <v>-8.2519999999999527</v>
      </c>
      <c r="K43" s="12">
        <f t="shared" si="1"/>
        <v>176.78657220765308</v>
      </c>
      <c r="L43">
        <f t="shared" si="2"/>
        <v>-8.2519999999999527</v>
      </c>
    </row>
    <row r="44" spans="1:12" x14ac:dyDescent="0.25">
      <c r="A44" s="1" t="s">
        <v>42</v>
      </c>
      <c r="B44" t="s">
        <v>116</v>
      </c>
      <c r="C44" s="12">
        <v>181.66542084232083</v>
      </c>
      <c r="D44" s="20">
        <v>3237.223</v>
      </c>
      <c r="E44">
        <f t="shared" si="0"/>
        <v>-7.1579999999999018</v>
      </c>
      <c r="F44" s="12">
        <f>C44+((C45-C44)/2)</f>
        <v>184.16061121581936</v>
      </c>
      <c r="G44" s="20">
        <v>3234.74</v>
      </c>
      <c r="H44">
        <f t="shared" si="3"/>
        <v>-7.1579999999999018</v>
      </c>
      <c r="I44" s="12">
        <f t="shared" si="4"/>
        <v>184.16061121581936</v>
      </c>
      <c r="J44">
        <f t="shared" si="5"/>
        <v>-7.1579999999999018</v>
      </c>
      <c r="K44" s="12">
        <f t="shared" si="1"/>
        <v>181.66542084232083</v>
      </c>
      <c r="L44">
        <f t="shared" si="2"/>
        <v>-7.1579999999999018</v>
      </c>
    </row>
    <row r="45" spans="1:12" x14ac:dyDescent="0.25">
      <c r="A45" t="s">
        <v>43</v>
      </c>
      <c r="B45" t="s">
        <v>117</v>
      </c>
      <c r="C45" s="12">
        <v>186.65580158931789</v>
      </c>
      <c r="D45" s="20">
        <v>3237.5329999999999</v>
      </c>
      <c r="E45">
        <f t="shared" si="0"/>
        <v>-6.8479999999999563</v>
      </c>
      <c r="F45" s="12">
        <f>C45</f>
        <v>186.65580158931789</v>
      </c>
      <c r="G45" s="20">
        <v>3234.3449999999998</v>
      </c>
      <c r="H45">
        <f t="shared" si="3"/>
        <v>-6.8479999999999563</v>
      </c>
      <c r="I45" s="12">
        <f t="shared" si="4"/>
        <v>186.65580158931789</v>
      </c>
      <c r="J45">
        <f t="shared" si="5"/>
        <v>-6.8479999999999563</v>
      </c>
      <c r="K45" s="12">
        <f t="shared" si="1"/>
        <v>186.65580158931789</v>
      </c>
      <c r="L45">
        <f t="shared" si="2"/>
        <v>-6.8479999999999563</v>
      </c>
    </row>
    <row r="46" spans="1:12" x14ac:dyDescent="0.25">
      <c r="A46" s="1" t="s">
        <v>44</v>
      </c>
      <c r="B46" t="s">
        <v>118</v>
      </c>
      <c r="C46" s="12">
        <v>191.65558068443806</v>
      </c>
      <c r="D46" s="20">
        <v>3237.58</v>
      </c>
      <c r="E46">
        <f t="shared" si="0"/>
        <v>-6.8009999999999309</v>
      </c>
      <c r="F46" s="12">
        <f>C46+((C47-C46)/2)</f>
        <v>194.15413526659154</v>
      </c>
      <c r="G46" s="20">
        <v>3233.3530000000001</v>
      </c>
      <c r="H46">
        <f t="shared" si="3"/>
        <v>-6.8009999999999309</v>
      </c>
      <c r="I46" s="12">
        <f t="shared" si="4"/>
        <v>194.15413526659154</v>
      </c>
      <c r="J46">
        <f t="shared" si="5"/>
        <v>-6.8009999999999309</v>
      </c>
      <c r="K46" s="12">
        <f t="shared" si="1"/>
        <v>191.65558068443806</v>
      </c>
      <c r="L46">
        <f t="shared" si="2"/>
        <v>-6.8009999999999309</v>
      </c>
    </row>
    <row r="47" spans="1:12" x14ac:dyDescent="0.25">
      <c r="A47" t="s">
        <v>45</v>
      </c>
      <c r="B47" t="s">
        <v>119</v>
      </c>
      <c r="C47" s="12">
        <v>196.65268984874501</v>
      </c>
      <c r="D47" s="20">
        <v>3237.75</v>
      </c>
      <c r="E47">
        <f t="shared" si="0"/>
        <v>-6.6309999999998581</v>
      </c>
      <c r="F47" s="12">
        <f>C47</f>
        <v>196.65268984874501</v>
      </c>
      <c r="G47" s="20">
        <v>3232.5079999999998</v>
      </c>
      <c r="H47">
        <f t="shared" si="3"/>
        <v>-6.6309999999998581</v>
      </c>
      <c r="I47" s="12">
        <f t="shared" si="4"/>
        <v>196.65268984874501</v>
      </c>
      <c r="J47">
        <f t="shared" si="5"/>
        <v>-6.6309999999998581</v>
      </c>
      <c r="K47" s="12">
        <f t="shared" si="1"/>
        <v>196.65268984874501</v>
      </c>
      <c r="L47">
        <f t="shared" si="2"/>
        <v>-6.6309999999998581</v>
      </c>
    </row>
    <row r="48" spans="1:12" x14ac:dyDescent="0.25">
      <c r="A48" s="1" t="s">
        <v>46</v>
      </c>
      <c r="B48" t="s">
        <v>120</v>
      </c>
      <c r="C48" s="12">
        <v>201.52815075003423</v>
      </c>
      <c r="D48" s="20">
        <v>3238.8589999999999</v>
      </c>
      <c r="E48">
        <f t="shared" si="0"/>
        <v>-5.5219999999999345</v>
      </c>
      <c r="F48" s="12">
        <f>C48+((C49-C48)/2)</f>
        <v>204.02524501137077</v>
      </c>
      <c r="G48" s="20">
        <v>3232.585</v>
      </c>
      <c r="H48">
        <f t="shared" si="3"/>
        <v>-5.5219999999999345</v>
      </c>
      <c r="I48" s="12">
        <f t="shared" si="4"/>
        <v>204.02524501137077</v>
      </c>
      <c r="J48">
        <f t="shared" si="5"/>
        <v>-5.5219999999999345</v>
      </c>
      <c r="K48" s="12">
        <f t="shared" si="1"/>
        <v>201.52815075003423</v>
      </c>
      <c r="L48">
        <f t="shared" si="2"/>
        <v>-5.5219999999999345</v>
      </c>
    </row>
    <row r="49" spans="1:12" x14ac:dyDescent="0.25">
      <c r="A49" t="s">
        <v>47</v>
      </c>
      <c r="B49" t="s">
        <v>121</v>
      </c>
      <c r="C49" s="12">
        <v>206.52233927270731</v>
      </c>
      <c r="D49" s="20">
        <v>3239.1</v>
      </c>
      <c r="E49">
        <f t="shared" si="0"/>
        <v>-5.2809999999999491</v>
      </c>
      <c r="F49" s="12">
        <f>C49</f>
        <v>206.52233927270731</v>
      </c>
      <c r="G49" s="20">
        <v>3230.4169999999999</v>
      </c>
      <c r="H49">
        <f t="shared" si="3"/>
        <v>-5.2809999999999491</v>
      </c>
      <c r="I49" s="12">
        <f t="shared" si="4"/>
        <v>206.52233927270731</v>
      </c>
      <c r="J49">
        <f t="shared" si="5"/>
        <v>-5.2809999999999491</v>
      </c>
      <c r="K49" s="12">
        <f t="shared" si="1"/>
        <v>206.52233927270731</v>
      </c>
      <c r="L49">
        <f t="shared" si="2"/>
        <v>-5.2809999999999491</v>
      </c>
    </row>
    <row r="50" spans="1:12" x14ac:dyDescent="0.25">
      <c r="A50" s="1" t="s">
        <v>48</v>
      </c>
      <c r="B50" t="s">
        <v>122</v>
      </c>
      <c r="C50" s="12">
        <v>211.490200381877</v>
      </c>
      <c r="D50" s="20">
        <v>3239.6660000000002</v>
      </c>
      <c r="E50">
        <f t="shared" si="0"/>
        <v>-4.7149999999996908</v>
      </c>
      <c r="F50" s="12">
        <f>C50+((C51-C50)/2)</f>
        <v>213.98996917118529</v>
      </c>
      <c r="G50" s="20">
        <v>3229.83</v>
      </c>
      <c r="H50">
        <f t="shared" si="3"/>
        <v>-4.7149999999996908</v>
      </c>
      <c r="I50" s="12">
        <f t="shared" si="4"/>
        <v>213.98996917118529</v>
      </c>
      <c r="J50">
        <f t="shared" si="5"/>
        <v>-4.7149999999996908</v>
      </c>
      <c r="K50" s="12">
        <f t="shared" si="1"/>
        <v>211.490200381877</v>
      </c>
      <c r="L50">
        <f t="shared" si="2"/>
        <v>-4.7149999999996908</v>
      </c>
    </row>
    <row r="51" spans="1:12" x14ac:dyDescent="0.25">
      <c r="A51" t="s">
        <v>49</v>
      </c>
      <c r="B51" t="s">
        <v>123</v>
      </c>
      <c r="C51" s="12">
        <v>216.48973796049358</v>
      </c>
      <c r="D51" s="20">
        <v>3239.598</v>
      </c>
      <c r="E51">
        <f t="shared" si="0"/>
        <v>-4.7829999999999018</v>
      </c>
      <c r="F51" s="12">
        <f>C51</f>
        <v>216.48973796049358</v>
      </c>
      <c r="G51" s="20">
        <v>3231.0880000000002</v>
      </c>
      <c r="H51">
        <f t="shared" si="3"/>
        <v>-4.7829999999999018</v>
      </c>
      <c r="I51" s="12">
        <f t="shared" si="4"/>
        <v>216.48973796049358</v>
      </c>
      <c r="J51">
        <f t="shared" si="5"/>
        <v>-4.7829999999999018</v>
      </c>
      <c r="K51" s="12">
        <f t="shared" si="1"/>
        <v>216.48973796049358</v>
      </c>
      <c r="L51">
        <f t="shared" si="2"/>
        <v>-4.7829999999999018</v>
      </c>
    </row>
    <row r="52" spans="1:12" x14ac:dyDescent="0.25">
      <c r="A52" s="1" t="s">
        <v>50</v>
      </c>
      <c r="B52" t="s">
        <v>124</v>
      </c>
      <c r="C52" s="12">
        <v>221.18164759304182</v>
      </c>
      <c r="D52" s="20">
        <v>3241.326</v>
      </c>
      <c r="E52">
        <f t="shared" si="0"/>
        <v>-3.0549999999998363</v>
      </c>
      <c r="F52" s="12">
        <f>C52+((C53-C52)/2)</f>
        <v>223.53523018135263</v>
      </c>
      <c r="G52" s="20">
        <v>3230.2669999999998</v>
      </c>
      <c r="H52">
        <f t="shared" si="3"/>
        <v>-3.0549999999998363</v>
      </c>
      <c r="I52" s="12">
        <f t="shared" si="4"/>
        <v>223.53523018135263</v>
      </c>
      <c r="J52">
        <f t="shared" si="5"/>
        <v>-3.0549999999998363</v>
      </c>
      <c r="K52" s="12">
        <f t="shared" si="1"/>
        <v>221.18164759304182</v>
      </c>
      <c r="L52">
        <f t="shared" si="2"/>
        <v>-3.0549999999998363</v>
      </c>
    </row>
    <row r="53" spans="1:12" x14ac:dyDescent="0.25">
      <c r="A53" t="s">
        <v>51</v>
      </c>
      <c r="B53" t="s">
        <v>125</v>
      </c>
      <c r="C53" s="12">
        <v>225.88881276966345</v>
      </c>
      <c r="D53" s="20">
        <v>3243.0120000000002</v>
      </c>
      <c r="E53">
        <f t="shared" si="0"/>
        <v>-1.3689999999996871</v>
      </c>
      <c r="F53" s="12">
        <f>C53</f>
        <v>225.88881276966345</v>
      </c>
      <c r="G53" s="20">
        <v>3229.7979999999998</v>
      </c>
      <c r="H53">
        <f t="shared" si="3"/>
        <v>-1.3689999999996871</v>
      </c>
      <c r="I53" s="12">
        <f t="shared" si="4"/>
        <v>225.88881276966345</v>
      </c>
      <c r="J53">
        <f t="shared" si="5"/>
        <v>-1.3689999999996871</v>
      </c>
      <c r="K53" s="12">
        <f t="shared" si="1"/>
        <v>225.88881276966345</v>
      </c>
      <c r="L53">
        <f t="shared" si="2"/>
        <v>-1.3689999999996871</v>
      </c>
    </row>
    <row r="54" spans="1:12" x14ac:dyDescent="0.25">
      <c r="A54" s="1" t="s">
        <v>52</v>
      </c>
      <c r="B54" t="s">
        <v>126</v>
      </c>
      <c r="C54" s="12">
        <v>230.69774601935615</v>
      </c>
      <c r="D54" s="20">
        <v>3244.3809999999999</v>
      </c>
      <c r="E54">
        <f t="shared" si="0"/>
        <v>0</v>
      </c>
      <c r="F54" s="12">
        <f>C54+((C55-C54)/2)</f>
        <v>232.84887300967807</v>
      </c>
      <c r="G54" s="20">
        <v>3228.625</v>
      </c>
      <c r="H54">
        <f t="shared" si="3"/>
        <v>0</v>
      </c>
      <c r="I54" s="12">
        <f t="shared" si="4"/>
        <v>232.84887300967807</v>
      </c>
      <c r="J54">
        <f t="shared" si="5"/>
        <v>0</v>
      </c>
      <c r="K54" s="12">
        <f t="shared" si="1"/>
        <v>230.69774601935615</v>
      </c>
      <c r="L54">
        <f t="shared" si="2"/>
        <v>0</v>
      </c>
    </row>
    <row r="55" spans="1:12" x14ac:dyDescent="0.25">
      <c r="C55" s="12">
        <v>235</v>
      </c>
      <c r="D55" s="20">
        <v>3244.3809999999999</v>
      </c>
      <c r="F55" s="12">
        <f>C55</f>
        <v>235</v>
      </c>
      <c r="G55" s="19">
        <v>3228.125</v>
      </c>
      <c r="H55">
        <f t="shared" si="3"/>
        <v>0</v>
      </c>
      <c r="I55" s="12">
        <f t="shared" si="4"/>
        <v>235</v>
      </c>
      <c r="J55">
        <v>1</v>
      </c>
      <c r="K55" s="12">
        <f t="shared" si="1"/>
        <v>235</v>
      </c>
      <c r="L55">
        <f t="shared" si="2"/>
        <v>0</v>
      </c>
    </row>
    <row r="56" spans="1:12" x14ac:dyDescent="0.25">
      <c r="F56" s="12">
        <f>F54+7.5</f>
        <v>240.34887300967807</v>
      </c>
      <c r="G56" s="19">
        <v>3227.625</v>
      </c>
      <c r="H56">
        <f t="shared" si="3"/>
        <v>0</v>
      </c>
      <c r="I56" s="12">
        <f t="shared" si="4"/>
        <v>240.34887300967807</v>
      </c>
      <c r="J56">
        <v>2</v>
      </c>
      <c r="L56">
        <f t="shared" si="2"/>
        <v>0</v>
      </c>
    </row>
  </sheetData>
  <mergeCells count="3">
    <mergeCell ref="C3:D3"/>
    <mergeCell ref="F3:H3"/>
    <mergeCell ref="I3:J3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040C-9A96-4F7C-B70B-DD03C8C78EB4}">
  <dimension ref="A1:R57"/>
  <sheetViews>
    <sheetView workbookViewId="0">
      <selection activeCell="F26" sqref="F26:F49"/>
    </sheetView>
  </sheetViews>
  <sheetFormatPr defaultRowHeight="15" x14ac:dyDescent="0.25"/>
  <cols>
    <col min="5" max="5" width="13.42578125" customWidth="1"/>
    <col min="18" max="18" width="9.140625" style="2"/>
  </cols>
  <sheetData>
    <row r="1" spans="1:18" x14ac:dyDescent="0.25">
      <c r="A1" t="s">
        <v>222</v>
      </c>
      <c r="B1" t="s">
        <v>2</v>
      </c>
      <c r="C1" t="s">
        <v>221</v>
      </c>
      <c r="D1" t="s">
        <v>223</v>
      </c>
      <c r="E1" t="s">
        <v>224</v>
      </c>
      <c r="G1" t="s">
        <v>2</v>
      </c>
      <c r="H1" t="s">
        <v>218</v>
      </c>
      <c r="I1" t="s">
        <v>225</v>
      </c>
      <c r="J1" t="s">
        <v>218</v>
      </c>
      <c r="N1" t="s">
        <v>312</v>
      </c>
      <c r="O1">
        <f>MAX(J24:J51)</f>
        <v>-7.1579999999999018</v>
      </c>
    </row>
    <row r="2" spans="1:18" x14ac:dyDescent="0.25">
      <c r="A2" t="s">
        <v>5</v>
      </c>
      <c r="B2">
        <v>0</v>
      </c>
      <c r="C2">
        <v>3220.8310000000001</v>
      </c>
      <c r="G2">
        <f>B2</f>
        <v>0</v>
      </c>
      <c r="H2">
        <f>C2-MAX(C2:C49)</f>
        <v>-23.549999999999727</v>
      </c>
      <c r="N2" t="s">
        <v>4</v>
      </c>
      <c r="Q2" t="s">
        <v>216</v>
      </c>
    </row>
    <row r="3" spans="1:18" x14ac:dyDescent="0.25">
      <c r="A3" t="s">
        <v>6</v>
      </c>
      <c r="B3">
        <v>5</v>
      </c>
      <c r="C3">
        <v>3220.64</v>
      </c>
      <c r="G3">
        <f t="shared" ref="G3:G49" si="0">B3</f>
        <v>5</v>
      </c>
      <c r="H3">
        <f t="shared" ref="H3:H49" si="1">C3-MAX(C3:C50)</f>
        <v>-23.740999999999985</v>
      </c>
      <c r="N3">
        <v>112.5</v>
      </c>
      <c r="O3">
        <v>-9.44</v>
      </c>
      <c r="Q3">
        <f>G2</f>
        <v>0</v>
      </c>
      <c r="R3" s="2">
        <f>H2-$O$1</f>
        <v>-16.391999999999825</v>
      </c>
    </row>
    <row r="4" spans="1:18" x14ac:dyDescent="0.25">
      <c r="A4" t="s">
        <v>7</v>
      </c>
      <c r="B4">
        <v>10</v>
      </c>
      <c r="C4">
        <v>3220.57</v>
      </c>
      <c r="G4">
        <f t="shared" si="0"/>
        <v>10</v>
      </c>
      <c r="H4">
        <f t="shared" si="1"/>
        <v>-23.810999999999694</v>
      </c>
      <c r="N4">
        <v>113.75</v>
      </c>
      <c r="O4">
        <v>-9.14</v>
      </c>
      <c r="Q4">
        <f t="shared" ref="Q4:Q50" si="2">G3</f>
        <v>5</v>
      </c>
      <c r="R4" s="2">
        <f t="shared" ref="R4:R50" si="3">H3-$O$1</f>
        <v>-16.583000000000084</v>
      </c>
    </row>
    <row r="5" spans="1:18" x14ac:dyDescent="0.25">
      <c r="A5" t="s">
        <v>8</v>
      </c>
      <c r="B5">
        <v>15</v>
      </c>
      <c r="C5">
        <v>3221.4549999999999</v>
      </c>
      <c r="G5">
        <f t="shared" si="0"/>
        <v>15</v>
      </c>
      <c r="H5">
        <f t="shared" si="1"/>
        <v>-22.925999999999931</v>
      </c>
      <c r="N5">
        <v>115</v>
      </c>
      <c r="O5">
        <v>-8.83</v>
      </c>
      <c r="Q5">
        <f t="shared" si="2"/>
        <v>10</v>
      </c>
      <c r="R5" s="2">
        <f t="shared" si="3"/>
        <v>-16.652999999999793</v>
      </c>
    </row>
    <row r="6" spans="1:18" x14ac:dyDescent="0.25">
      <c r="A6" t="s">
        <v>9</v>
      </c>
      <c r="B6">
        <v>20</v>
      </c>
      <c r="C6">
        <v>3221.27</v>
      </c>
      <c r="G6">
        <f t="shared" si="0"/>
        <v>20</v>
      </c>
      <c r="H6">
        <f t="shared" si="1"/>
        <v>-23.110999999999876</v>
      </c>
      <c r="N6">
        <v>117.5</v>
      </c>
      <c r="O6">
        <v>-8.7100000000000009</v>
      </c>
      <c r="Q6">
        <f t="shared" si="2"/>
        <v>15</v>
      </c>
      <c r="R6" s="2">
        <f t="shared" si="3"/>
        <v>-15.768000000000029</v>
      </c>
    </row>
    <row r="7" spans="1:18" x14ac:dyDescent="0.25">
      <c r="A7" t="s">
        <v>10</v>
      </c>
      <c r="B7">
        <v>25</v>
      </c>
      <c r="C7">
        <v>3221.5349999999999</v>
      </c>
      <c r="G7">
        <f t="shared" si="0"/>
        <v>25</v>
      </c>
      <c r="H7">
        <f t="shared" si="1"/>
        <v>-22.846000000000004</v>
      </c>
      <c r="N7">
        <v>120</v>
      </c>
      <c r="O7">
        <v>-8.6</v>
      </c>
      <c r="Q7">
        <f t="shared" si="2"/>
        <v>20</v>
      </c>
      <c r="R7" s="2">
        <f t="shared" si="3"/>
        <v>-15.952999999999975</v>
      </c>
    </row>
    <row r="8" spans="1:18" x14ac:dyDescent="0.25">
      <c r="A8" t="s">
        <v>11</v>
      </c>
      <c r="B8">
        <v>30</v>
      </c>
      <c r="C8">
        <v>3222.1109999999999</v>
      </c>
      <c r="G8">
        <f t="shared" si="0"/>
        <v>30</v>
      </c>
      <c r="H8">
        <f t="shared" si="1"/>
        <v>-22.269999999999982</v>
      </c>
      <c r="N8">
        <v>121.25</v>
      </c>
      <c r="O8">
        <v>-8.3000000000000007</v>
      </c>
      <c r="Q8">
        <f t="shared" si="2"/>
        <v>25</v>
      </c>
      <c r="R8" s="2">
        <f t="shared" si="3"/>
        <v>-15.688000000000102</v>
      </c>
    </row>
    <row r="9" spans="1:18" x14ac:dyDescent="0.25">
      <c r="A9" t="s">
        <v>12</v>
      </c>
      <c r="B9">
        <v>35</v>
      </c>
      <c r="C9">
        <v>3223.0039999999999</v>
      </c>
      <c r="G9">
        <f t="shared" si="0"/>
        <v>35</v>
      </c>
      <c r="H9">
        <f t="shared" si="1"/>
        <v>-21.376999999999953</v>
      </c>
      <c r="N9">
        <v>122.5</v>
      </c>
      <c r="O9">
        <v>-8.01</v>
      </c>
      <c r="Q9">
        <f t="shared" si="2"/>
        <v>30</v>
      </c>
      <c r="R9" s="2">
        <f t="shared" si="3"/>
        <v>-15.11200000000008</v>
      </c>
    </row>
    <row r="10" spans="1:18" x14ac:dyDescent="0.25">
      <c r="A10" t="s">
        <v>13</v>
      </c>
      <c r="B10">
        <v>40</v>
      </c>
      <c r="C10">
        <v>3224.328</v>
      </c>
      <c r="G10">
        <f t="shared" si="0"/>
        <v>40</v>
      </c>
      <c r="H10">
        <f t="shared" si="1"/>
        <v>-20.052999999999884</v>
      </c>
      <c r="N10">
        <v>123.75</v>
      </c>
      <c r="O10">
        <v>-7.72</v>
      </c>
      <c r="Q10">
        <f t="shared" si="2"/>
        <v>35</v>
      </c>
      <c r="R10" s="2">
        <f t="shared" si="3"/>
        <v>-14.219000000000051</v>
      </c>
    </row>
    <row r="11" spans="1:18" x14ac:dyDescent="0.25">
      <c r="A11" t="s">
        <v>14</v>
      </c>
      <c r="B11">
        <v>45</v>
      </c>
      <c r="C11">
        <v>3225.6759999999999</v>
      </c>
      <c r="G11">
        <f t="shared" si="0"/>
        <v>45</v>
      </c>
      <c r="H11">
        <f t="shared" si="1"/>
        <v>-18.704999999999927</v>
      </c>
      <c r="N11">
        <v>125</v>
      </c>
      <c r="O11">
        <v>-7.42</v>
      </c>
      <c r="Q11">
        <f t="shared" si="2"/>
        <v>40</v>
      </c>
      <c r="R11" s="2">
        <f t="shared" si="3"/>
        <v>-12.894999999999982</v>
      </c>
    </row>
    <row r="12" spans="1:18" x14ac:dyDescent="0.25">
      <c r="A12" t="s">
        <v>15</v>
      </c>
      <c r="B12">
        <v>50</v>
      </c>
      <c r="C12">
        <v>3225.607</v>
      </c>
      <c r="G12">
        <f t="shared" si="0"/>
        <v>50</v>
      </c>
      <c r="H12">
        <f t="shared" si="1"/>
        <v>-18.773999999999887</v>
      </c>
      <c r="N12">
        <v>126.25</v>
      </c>
      <c r="O12">
        <v>-7.31</v>
      </c>
      <c r="Q12">
        <f t="shared" si="2"/>
        <v>45</v>
      </c>
      <c r="R12" s="2">
        <f t="shared" si="3"/>
        <v>-11.547000000000025</v>
      </c>
    </row>
    <row r="13" spans="1:18" x14ac:dyDescent="0.25">
      <c r="A13" t="s">
        <v>16</v>
      </c>
      <c r="B13">
        <v>55</v>
      </c>
      <c r="C13">
        <v>3225.7069999999999</v>
      </c>
      <c r="G13">
        <f t="shared" si="0"/>
        <v>55</v>
      </c>
      <c r="H13">
        <f t="shared" si="1"/>
        <v>-18.673999999999978</v>
      </c>
      <c r="N13">
        <v>127.5</v>
      </c>
      <c r="O13">
        <v>-7.19</v>
      </c>
      <c r="Q13">
        <f t="shared" si="2"/>
        <v>50</v>
      </c>
      <c r="R13" s="2">
        <f t="shared" si="3"/>
        <v>-11.615999999999985</v>
      </c>
    </row>
    <row r="14" spans="1:18" x14ac:dyDescent="0.25">
      <c r="A14" t="s">
        <v>17</v>
      </c>
      <c r="B14">
        <v>60</v>
      </c>
      <c r="C14">
        <v>3224.4349999999999</v>
      </c>
      <c r="G14">
        <f t="shared" si="0"/>
        <v>60</v>
      </c>
      <c r="H14">
        <f t="shared" si="1"/>
        <v>-19.945999999999913</v>
      </c>
      <c r="N14">
        <v>128.75</v>
      </c>
      <c r="O14">
        <v>-7.07</v>
      </c>
      <c r="Q14">
        <f t="shared" si="2"/>
        <v>55</v>
      </c>
      <c r="R14" s="2">
        <f t="shared" si="3"/>
        <v>-11.516000000000076</v>
      </c>
    </row>
    <row r="15" spans="1:18" x14ac:dyDescent="0.25">
      <c r="A15" t="s">
        <v>18</v>
      </c>
      <c r="B15">
        <v>65</v>
      </c>
      <c r="C15">
        <v>3226.01</v>
      </c>
      <c r="G15">
        <f t="shared" si="0"/>
        <v>65</v>
      </c>
      <c r="H15">
        <f t="shared" si="1"/>
        <v>-18.37099999999964</v>
      </c>
      <c r="N15">
        <v>130</v>
      </c>
      <c r="O15">
        <v>-6.95</v>
      </c>
      <c r="Q15">
        <f t="shared" si="2"/>
        <v>60</v>
      </c>
      <c r="R15" s="2">
        <f t="shared" si="3"/>
        <v>-12.788000000000011</v>
      </c>
    </row>
    <row r="16" spans="1:18" x14ac:dyDescent="0.25">
      <c r="A16" t="s">
        <v>19</v>
      </c>
      <c r="B16">
        <v>70</v>
      </c>
      <c r="C16">
        <v>3228.2220000000002</v>
      </c>
      <c r="G16">
        <f t="shared" si="0"/>
        <v>70</v>
      </c>
      <c r="H16">
        <f t="shared" si="1"/>
        <v>-16.158999999999651</v>
      </c>
      <c r="N16">
        <v>131.25</v>
      </c>
      <c r="O16">
        <v>-6.75</v>
      </c>
      <c r="Q16">
        <f t="shared" si="2"/>
        <v>65</v>
      </c>
      <c r="R16" s="2">
        <f t="shared" si="3"/>
        <v>-11.212999999999738</v>
      </c>
    </row>
    <row r="17" spans="1:18" x14ac:dyDescent="0.25">
      <c r="A17" t="s">
        <v>20</v>
      </c>
      <c r="B17">
        <v>75</v>
      </c>
      <c r="C17">
        <v>3227.3690000000001</v>
      </c>
      <c r="G17">
        <f t="shared" si="0"/>
        <v>75</v>
      </c>
      <c r="H17">
        <f t="shared" si="1"/>
        <v>-17.011999999999716</v>
      </c>
      <c r="N17">
        <v>132.5</v>
      </c>
      <c r="O17">
        <v>-6.54</v>
      </c>
      <c r="Q17">
        <f t="shared" si="2"/>
        <v>70</v>
      </c>
      <c r="R17" s="2">
        <f t="shared" si="3"/>
        <v>-9.000999999999749</v>
      </c>
    </row>
    <row r="18" spans="1:18" x14ac:dyDescent="0.25">
      <c r="A18" t="s">
        <v>21</v>
      </c>
      <c r="B18">
        <v>80</v>
      </c>
      <c r="C18">
        <v>3226.6759999999999</v>
      </c>
      <c r="G18">
        <f t="shared" si="0"/>
        <v>80</v>
      </c>
      <c r="H18">
        <f t="shared" si="1"/>
        <v>-17.704999999999927</v>
      </c>
      <c r="N18">
        <v>133.75</v>
      </c>
      <c r="O18">
        <v>-6.34</v>
      </c>
      <c r="Q18">
        <f t="shared" si="2"/>
        <v>75</v>
      </c>
      <c r="R18" s="2">
        <f t="shared" si="3"/>
        <v>-9.8539999999998145</v>
      </c>
    </row>
    <row r="19" spans="1:18" x14ac:dyDescent="0.25">
      <c r="A19" t="s">
        <v>22</v>
      </c>
      <c r="B19">
        <v>85</v>
      </c>
      <c r="C19">
        <v>3226.3890000000001</v>
      </c>
      <c r="G19">
        <f t="shared" si="0"/>
        <v>85</v>
      </c>
      <c r="H19">
        <f t="shared" si="1"/>
        <v>-17.991999999999734</v>
      </c>
      <c r="N19" s="49">
        <v>135</v>
      </c>
      <c r="O19" s="49">
        <v>-6.25</v>
      </c>
      <c r="Q19">
        <f t="shared" si="2"/>
        <v>80</v>
      </c>
      <c r="R19" s="2">
        <f t="shared" si="3"/>
        <v>-10.547000000000025</v>
      </c>
    </row>
    <row r="20" spans="1:18" x14ac:dyDescent="0.25">
      <c r="A20" t="s">
        <v>23</v>
      </c>
      <c r="B20">
        <v>90</v>
      </c>
      <c r="C20">
        <v>3226.42</v>
      </c>
      <c r="G20">
        <f t="shared" si="0"/>
        <v>90</v>
      </c>
      <c r="H20">
        <f t="shared" si="1"/>
        <v>-17.960999999999785</v>
      </c>
      <c r="N20">
        <v>136.25</v>
      </c>
      <c r="O20">
        <v>-6.45</v>
      </c>
      <c r="Q20">
        <f t="shared" si="2"/>
        <v>85</v>
      </c>
      <c r="R20" s="2">
        <f t="shared" si="3"/>
        <v>-10.833999999999833</v>
      </c>
    </row>
    <row r="21" spans="1:18" x14ac:dyDescent="0.25">
      <c r="A21" t="s">
        <v>24</v>
      </c>
      <c r="B21">
        <v>95</v>
      </c>
      <c r="C21">
        <v>3227.0549999999998</v>
      </c>
      <c r="G21">
        <f t="shared" si="0"/>
        <v>95</v>
      </c>
      <c r="H21">
        <f t="shared" si="1"/>
        <v>-17.326000000000022</v>
      </c>
      <c r="N21">
        <v>137.5</v>
      </c>
      <c r="O21">
        <v>-6.76</v>
      </c>
      <c r="Q21">
        <f t="shared" si="2"/>
        <v>90</v>
      </c>
      <c r="R21" s="2">
        <f t="shared" si="3"/>
        <v>-10.802999999999884</v>
      </c>
    </row>
    <row r="22" spans="1:18" x14ac:dyDescent="0.25">
      <c r="A22" t="s">
        <v>25</v>
      </c>
      <c r="B22">
        <v>100</v>
      </c>
      <c r="C22">
        <v>3226.393</v>
      </c>
      <c r="G22">
        <f t="shared" si="0"/>
        <v>100</v>
      </c>
      <c r="H22">
        <f t="shared" si="1"/>
        <v>-17.987999999999829</v>
      </c>
      <c r="N22">
        <v>138.75</v>
      </c>
      <c r="O22">
        <v>-7.08</v>
      </c>
      <c r="Q22">
        <f t="shared" si="2"/>
        <v>95</v>
      </c>
      <c r="R22" s="2">
        <f t="shared" si="3"/>
        <v>-10.16800000000012</v>
      </c>
    </row>
    <row r="23" spans="1:18" x14ac:dyDescent="0.25">
      <c r="A23" t="s">
        <v>26</v>
      </c>
      <c r="B23">
        <v>105</v>
      </c>
      <c r="C23">
        <v>3226.33</v>
      </c>
      <c r="G23">
        <f t="shared" si="0"/>
        <v>105</v>
      </c>
      <c r="H23">
        <f t="shared" si="1"/>
        <v>-18.050999999999931</v>
      </c>
      <c r="N23">
        <v>140</v>
      </c>
      <c r="O23">
        <v>-7.39</v>
      </c>
      <c r="Q23">
        <f t="shared" si="2"/>
        <v>100</v>
      </c>
      <c r="R23" s="2">
        <f t="shared" si="3"/>
        <v>-10.829999999999927</v>
      </c>
    </row>
    <row r="24" spans="1:18" x14ac:dyDescent="0.25">
      <c r="A24" t="s">
        <v>27</v>
      </c>
      <c r="B24">
        <v>110</v>
      </c>
      <c r="C24">
        <v>3227.3290000000002</v>
      </c>
      <c r="G24">
        <f t="shared" si="0"/>
        <v>110</v>
      </c>
      <c r="H24">
        <f t="shared" si="1"/>
        <v>-17.05199999999968</v>
      </c>
      <c r="I24">
        <v>112.5</v>
      </c>
      <c r="J24">
        <v>-16.600000000000001</v>
      </c>
      <c r="N24">
        <v>141.25</v>
      </c>
      <c r="O24">
        <v>-7.24</v>
      </c>
      <c r="Q24">
        <f t="shared" si="2"/>
        <v>105</v>
      </c>
      <c r="R24" s="2">
        <f t="shared" si="3"/>
        <v>-10.893000000000029</v>
      </c>
    </row>
    <row r="25" spans="1:18" x14ac:dyDescent="0.25">
      <c r="A25" t="s">
        <v>28</v>
      </c>
      <c r="B25">
        <v>115</v>
      </c>
      <c r="C25">
        <v>3228.3890000000001</v>
      </c>
      <c r="G25">
        <f t="shared" si="0"/>
        <v>115</v>
      </c>
      <c r="H25">
        <f t="shared" si="1"/>
        <v>-15.991999999999734</v>
      </c>
      <c r="I25">
        <v>115</v>
      </c>
      <c r="J25">
        <f>H25</f>
        <v>-15.991999999999734</v>
      </c>
      <c r="N25">
        <v>142.5</v>
      </c>
      <c r="O25">
        <v>-7.1</v>
      </c>
      <c r="Q25">
        <f t="shared" si="2"/>
        <v>110</v>
      </c>
      <c r="R25" s="2">
        <f t="shared" si="3"/>
        <v>-9.8939999999997781</v>
      </c>
    </row>
    <row r="26" spans="1:18" x14ac:dyDescent="0.25">
      <c r="A26" t="s">
        <v>29</v>
      </c>
      <c r="B26">
        <v>120</v>
      </c>
      <c r="C26">
        <v>3228.625</v>
      </c>
      <c r="D26">
        <f>B26+0</f>
        <v>120</v>
      </c>
      <c r="E26">
        <v>3235.8910000000001</v>
      </c>
      <c r="F26">
        <f>C26</f>
        <v>3228.625</v>
      </c>
      <c r="G26">
        <f t="shared" si="0"/>
        <v>120</v>
      </c>
      <c r="H26">
        <f t="shared" si="1"/>
        <v>-15.755999999999858</v>
      </c>
      <c r="I26">
        <f>D26</f>
        <v>120</v>
      </c>
      <c r="J26">
        <f>F26-MAX(C2:C49)</f>
        <v>-15.755999999999858</v>
      </c>
      <c r="N26">
        <v>143.75</v>
      </c>
      <c r="O26">
        <v>-6.95</v>
      </c>
      <c r="Q26">
        <f t="shared" si="2"/>
        <v>115</v>
      </c>
      <c r="R26" s="2">
        <f t="shared" si="3"/>
        <v>-8.8339999999998327</v>
      </c>
    </row>
    <row r="27" spans="1:18" x14ac:dyDescent="0.25">
      <c r="A27" t="s">
        <v>30</v>
      </c>
      <c r="B27">
        <v>125</v>
      </c>
      <c r="C27">
        <v>3229.7979999999998</v>
      </c>
      <c r="D27">
        <f>D26+2.5</f>
        <v>122.5</v>
      </c>
      <c r="E27">
        <v>3236.373</v>
      </c>
      <c r="F27">
        <f>(F26+F28)/2</f>
        <v>3229.2114999999999</v>
      </c>
      <c r="G27">
        <f t="shared" si="0"/>
        <v>125</v>
      </c>
      <c r="H27">
        <f t="shared" si="1"/>
        <v>-14.583000000000084</v>
      </c>
      <c r="I27">
        <f t="shared" ref="I27:I49" si="4">D27</f>
        <v>122.5</v>
      </c>
      <c r="J27">
        <f t="shared" ref="J27:J49" si="5">F27-MAX(C3:C50)</f>
        <v>-15.169499999999971</v>
      </c>
      <c r="N27">
        <v>145</v>
      </c>
      <c r="O27">
        <v>-6.8</v>
      </c>
      <c r="Q27">
        <f t="shared" si="2"/>
        <v>120</v>
      </c>
      <c r="R27" s="2">
        <f t="shared" si="3"/>
        <v>-8.5979999999999563</v>
      </c>
    </row>
    <row r="28" spans="1:18" x14ac:dyDescent="0.25">
      <c r="A28" t="s">
        <v>31</v>
      </c>
      <c r="B28">
        <v>130</v>
      </c>
      <c r="C28">
        <v>3230.2669999999998</v>
      </c>
      <c r="D28">
        <f t="shared" ref="D28:D49" si="6">D27+2.5</f>
        <v>125</v>
      </c>
      <c r="E28">
        <v>3236.855</v>
      </c>
      <c r="F28">
        <f>C27</f>
        <v>3229.7979999999998</v>
      </c>
      <c r="G28">
        <f t="shared" si="0"/>
        <v>130</v>
      </c>
      <c r="H28">
        <f t="shared" si="1"/>
        <v>-14.114000000000033</v>
      </c>
      <c r="I28">
        <f t="shared" si="4"/>
        <v>125</v>
      </c>
      <c r="J28">
        <f t="shared" si="5"/>
        <v>-14.583000000000084</v>
      </c>
      <c r="N28">
        <v>146.25</v>
      </c>
      <c r="O28">
        <v>-6.26</v>
      </c>
      <c r="Q28">
        <f t="shared" si="2"/>
        <v>125</v>
      </c>
      <c r="R28" s="2">
        <f t="shared" si="3"/>
        <v>-7.4250000000001819</v>
      </c>
    </row>
    <row r="29" spans="1:18" x14ac:dyDescent="0.25">
      <c r="A29" t="s">
        <v>32</v>
      </c>
      <c r="B29">
        <v>135</v>
      </c>
      <c r="C29">
        <v>3231.0880000000002</v>
      </c>
      <c r="D29">
        <f t="shared" si="6"/>
        <v>127.5</v>
      </c>
      <c r="E29">
        <v>3237.1350000000002</v>
      </c>
      <c r="F29">
        <f>(F28+F30)/2</f>
        <v>3230.0324999999998</v>
      </c>
      <c r="G29">
        <f t="shared" si="0"/>
        <v>135</v>
      </c>
      <c r="H29">
        <f t="shared" si="1"/>
        <v>-13.292999999999665</v>
      </c>
      <c r="I29">
        <f t="shared" si="4"/>
        <v>127.5</v>
      </c>
      <c r="J29">
        <f t="shared" si="5"/>
        <v>-14.348500000000058</v>
      </c>
      <c r="N29">
        <v>147.5</v>
      </c>
      <c r="O29">
        <v>-5.72</v>
      </c>
      <c r="Q29">
        <f t="shared" si="2"/>
        <v>130</v>
      </c>
      <c r="R29" s="2">
        <f t="shared" si="3"/>
        <v>-6.956000000000131</v>
      </c>
    </row>
    <row r="30" spans="1:18" x14ac:dyDescent="0.25">
      <c r="A30" t="s">
        <v>33</v>
      </c>
      <c r="B30">
        <v>140</v>
      </c>
      <c r="C30">
        <v>3229.83</v>
      </c>
      <c r="D30">
        <f t="shared" si="6"/>
        <v>130</v>
      </c>
      <c r="E30">
        <v>3237.7530000000002</v>
      </c>
      <c r="F30">
        <f>C28</f>
        <v>3230.2669999999998</v>
      </c>
      <c r="G30">
        <f t="shared" si="0"/>
        <v>140</v>
      </c>
      <c r="H30">
        <f t="shared" si="1"/>
        <v>-14.550999999999931</v>
      </c>
      <c r="I30">
        <f t="shared" si="4"/>
        <v>130</v>
      </c>
      <c r="J30">
        <f t="shared" si="5"/>
        <v>-14.114000000000033</v>
      </c>
      <c r="N30">
        <v>148.75</v>
      </c>
      <c r="O30">
        <v>-5.18</v>
      </c>
      <c r="Q30" s="49">
        <f t="shared" si="2"/>
        <v>135</v>
      </c>
      <c r="R30" s="50">
        <v>-6.25</v>
      </c>
    </row>
    <row r="31" spans="1:18" x14ac:dyDescent="0.25">
      <c r="A31" t="s">
        <v>34</v>
      </c>
      <c r="B31">
        <v>145</v>
      </c>
      <c r="C31">
        <v>3230.4169999999999</v>
      </c>
      <c r="D31">
        <f t="shared" si="6"/>
        <v>132.5</v>
      </c>
      <c r="E31">
        <v>3237.924</v>
      </c>
      <c r="F31">
        <f>(F30+F32)/2</f>
        <v>3230.6774999999998</v>
      </c>
      <c r="G31">
        <f t="shared" si="0"/>
        <v>145</v>
      </c>
      <c r="H31">
        <f t="shared" si="1"/>
        <v>-13.963999999999942</v>
      </c>
      <c r="I31">
        <f t="shared" si="4"/>
        <v>132.5</v>
      </c>
      <c r="J31">
        <f t="shared" si="5"/>
        <v>-13.703500000000076</v>
      </c>
      <c r="N31">
        <v>150</v>
      </c>
      <c r="O31">
        <v>-4.6399999999999997</v>
      </c>
      <c r="Q31">
        <f t="shared" si="2"/>
        <v>140</v>
      </c>
      <c r="R31" s="2">
        <f t="shared" si="3"/>
        <v>-7.3930000000000291</v>
      </c>
    </row>
    <row r="32" spans="1:18" x14ac:dyDescent="0.25">
      <c r="A32" t="s">
        <v>35</v>
      </c>
      <c r="B32">
        <v>150</v>
      </c>
      <c r="C32">
        <v>3232.585</v>
      </c>
      <c r="D32">
        <f t="shared" si="6"/>
        <v>135</v>
      </c>
      <c r="E32">
        <v>3238.009</v>
      </c>
      <c r="F32">
        <f>C29</f>
        <v>3231.0880000000002</v>
      </c>
      <c r="G32">
        <f t="shared" si="0"/>
        <v>150</v>
      </c>
      <c r="H32">
        <f t="shared" si="1"/>
        <v>-11.795999999999822</v>
      </c>
      <c r="I32">
        <f t="shared" si="4"/>
        <v>135</v>
      </c>
      <c r="J32">
        <f t="shared" si="5"/>
        <v>-13.292999999999665</v>
      </c>
      <c r="N32">
        <v>151.25</v>
      </c>
      <c r="O32">
        <v>-4.66</v>
      </c>
      <c r="Q32">
        <f t="shared" si="2"/>
        <v>145</v>
      </c>
      <c r="R32" s="2">
        <f t="shared" si="3"/>
        <v>-6.80600000000004</v>
      </c>
    </row>
    <row r="33" spans="1:18" x14ac:dyDescent="0.25">
      <c r="A33" t="s">
        <v>36</v>
      </c>
      <c r="B33">
        <v>155</v>
      </c>
      <c r="C33">
        <v>3232.5079999999998</v>
      </c>
      <c r="D33">
        <f t="shared" si="6"/>
        <v>137.5</v>
      </c>
      <c r="E33">
        <v>3237.6990000000001</v>
      </c>
      <c r="F33">
        <f>(F32+F34)/2</f>
        <v>3230.4589999999998</v>
      </c>
      <c r="G33">
        <f t="shared" si="0"/>
        <v>155</v>
      </c>
      <c r="H33">
        <f t="shared" si="1"/>
        <v>-11.873000000000047</v>
      </c>
      <c r="I33">
        <f t="shared" si="4"/>
        <v>137.5</v>
      </c>
      <c r="J33">
        <f t="shared" si="5"/>
        <v>-13.922000000000025</v>
      </c>
      <c r="N33">
        <v>152.5</v>
      </c>
      <c r="O33">
        <v>-4.67</v>
      </c>
      <c r="Q33">
        <f t="shared" si="2"/>
        <v>150</v>
      </c>
      <c r="R33" s="2">
        <f t="shared" si="3"/>
        <v>-4.63799999999992</v>
      </c>
    </row>
    <row r="34" spans="1:18" x14ac:dyDescent="0.25">
      <c r="A34" t="s">
        <v>37</v>
      </c>
      <c r="B34">
        <v>160</v>
      </c>
      <c r="C34">
        <v>3233.3530000000001</v>
      </c>
      <c r="D34">
        <f t="shared" si="6"/>
        <v>140</v>
      </c>
      <c r="E34">
        <v>3237.2179999999998</v>
      </c>
      <c r="F34">
        <f>C30</f>
        <v>3229.83</v>
      </c>
      <c r="G34">
        <f t="shared" si="0"/>
        <v>160</v>
      </c>
      <c r="H34">
        <f t="shared" si="1"/>
        <v>-11.027999999999793</v>
      </c>
      <c r="I34">
        <f t="shared" si="4"/>
        <v>140</v>
      </c>
      <c r="J34">
        <f t="shared" si="5"/>
        <v>-14.550999999999931</v>
      </c>
      <c r="N34">
        <v>153.75</v>
      </c>
      <c r="O34">
        <v>-4.6900000000000004</v>
      </c>
      <c r="Q34">
        <f t="shared" si="2"/>
        <v>155</v>
      </c>
      <c r="R34" s="2">
        <f t="shared" si="3"/>
        <v>-4.7150000000001455</v>
      </c>
    </row>
    <row r="35" spans="1:18" x14ac:dyDescent="0.25">
      <c r="A35" t="s">
        <v>38</v>
      </c>
      <c r="B35">
        <v>165</v>
      </c>
      <c r="C35">
        <v>3234.3449999999998</v>
      </c>
      <c r="D35">
        <f t="shared" si="6"/>
        <v>142.5</v>
      </c>
      <c r="E35">
        <v>3237.5920000000001</v>
      </c>
      <c r="F35">
        <f>(F34+F36)/2</f>
        <v>3230.1234999999997</v>
      </c>
      <c r="G35">
        <f t="shared" si="0"/>
        <v>165</v>
      </c>
      <c r="H35">
        <f t="shared" si="1"/>
        <v>-10.036000000000058</v>
      </c>
      <c r="I35">
        <f t="shared" si="4"/>
        <v>142.5</v>
      </c>
      <c r="J35">
        <f t="shared" si="5"/>
        <v>-14.257500000000164</v>
      </c>
      <c r="N35">
        <v>155</v>
      </c>
      <c r="O35">
        <v>-4.71</v>
      </c>
      <c r="Q35">
        <f t="shared" si="2"/>
        <v>160</v>
      </c>
      <c r="R35" s="2">
        <f t="shared" si="3"/>
        <v>-3.8699999999998909</v>
      </c>
    </row>
    <row r="36" spans="1:18" x14ac:dyDescent="0.25">
      <c r="A36" t="s">
        <v>39</v>
      </c>
      <c r="B36">
        <v>170</v>
      </c>
      <c r="C36">
        <v>3234.74</v>
      </c>
      <c r="D36">
        <f t="shared" si="6"/>
        <v>145</v>
      </c>
      <c r="E36">
        <v>3238.5830000000001</v>
      </c>
      <c r="F36">
        <f>C31</f>
        <v>3230.4169999999999</v>
      </c>
      <c r="G36">
        <f t="shared" si="0"/>
        <v>170</v>
      </c>
      <c r="H36">
        <f t="shared" si="1"/>
        <v>-9.6410000000000764</v>
      </c>
      <c r="I36">
        <f t="shared" si="4"/>
        <v>145</v>
      </c>
      <c r="J36">
        <f t="shared" si="5"/>
        <v>-13.963999999999942</v>
      </c>
      <c r="N36">
        <v>156.25</v>
      </c>
      <c r="O36">
        <v>-4.5</v>
      </c>
      <c r="Q36">
        <f t="shared" si="2"/>
        <v>165</v>
      </c>
      <c r="R36" s="2">
        <f t="shared" si="3"/>
        <v>-2.8780000000001564</v>
      </c>
    </row>
    <row r="37" spans="1:18" x14ac:dyDescent="0.25">
      <c r="A37" t="s">
        <v>40</v>
      </c>
      <c r="B37">
        <v>175</v>
      </c>
      <c r="C37">
        <v>3236.0059999999999</v>
      </c>
      <c r="D37">
        <f t="shared" si="6"/>
        <v>147.5</v>
      </c>
      <c r="E37">
        <v>3239.069</v>
      </c>
      <c r="F37">
        <f>(F36+F38)/2</f>
        <v>3231.5010000000002</v>
      </c>
      <c r="G37">
        <f t="shared" si="0"/>
        <v>175</v>
      </c>
      <c r="H37">
        <f t="shared" si="1"/>
        <v>-8.375</v>
      </c>
      <c r="I37">
        <f t="shared" si="4"/>
        <v>147.5</v>
      </c>
      <c r="J37">
        <f t="shared" si="5"/>
        <v>-12.879999999999654</v>
      </c>
      <c r="N37">
        <v>157.5</v>
      </c>
      <c r="O37">
        <v>-4.29</v>
      </c>
      <c r="Q37">
        <f t="shared" si="2"/>
        <v>170</v>
      </c>
      <c r="R37" s="2">
        <f t="shared" si="3"/>
        <v>-2.4830000000001746</v>
      </c>
    </row>
    <row r="38" spans="1:18" x14ac:dyDescent="0.25">
      <c r="A38" t="s">
        <v>41</v>
      </c>
      <c r="B38">
        <v>180</v>
      </c>
      <c r="C38">
        <v>3236.1289999999999</v>
      </c>
      <c r="D38">
        <f t="shared" si="6"/>
        <v>150</v>
      </c>
      <c r="E38">
        <v>3239.0149999999999</v>
      </c>
      <c r="F38">
        <f>C32</f>
        <v>3232.585</v>
      </c>
      <c r="G38">
        <f t="shared" si="0"/>
        <v>180</v>
      </c>
      <c r="H38">
        <f t="shared" si="1"/>
        <v>-8.2519999999999527</v>
      </c>
      <c r="I38">
        <f t="shared" si="4"/>
        <v>150</v>
      </c>
      <c r="J38">
        <f t="shared" si="5"/>
        <v>-11.795999999999822</v>
      </c>
      <c r="N38">
        <v>158.75</v>
      </c>
      <c r="O38">
        <v>-4.08</v>
      </c>
      <c r="Q38">
        <f t="shared" si="2"/>
        <v>175</v>
      </c>
      <c r="R38" s="2">
        <f t="shared" si="3"/>
        <v>-1.2170000000000982</v>
      </c>
    </row>
    <row r="39" spans="1:18" x14ac:dyDescent="0.25">
      <c r="A39" t="s">
        <v>42</v>
      </c>
      <c r="B39">
        <v>185</v>
      </c>
      <c r="C39">
        <v>3237.223</v>
      </c>
      <c r="D39">
        <f t="shared" si="6"/>
        <v>152.5</v>
      </c>
      <c r="E39">
        <v>3239.221</v>
      </c>
      <c r="F39">
        <f>(F38+F40)/2</f>
        <v>3232.5464999999999</v>
      </c>
      <c r="G39">
        <f t="shared" si="0"/>
        <v>185</v>
      </c>
      <c r="H39">
        <f t="shared" si="1"/>
        <v>-7.1579999999999018</v>
      </c>
      <c r="I39">
        <f t="shared" si="4"/>
        <v>152.5</v>
      </c>
      <c r="J39">
        <f t="shared" si="5"/>
        <v>-11.834499999999935</v>
      </c>
      <c r="N39">
        <v>160</v>
      </c>
      <c r="O39">
        <v>-3.87</v>
      </c>
      <c r="Q39">
        <f t="shared" si="2"/>
        <v>180</v>
      </c>
      <c r="R39" s="2">
        <f t="shared" si="3"/>
        <v>-1.0940000000000509</v>
      </c>
    </row>
    <row r="40" spans="1:18" x14ac:dyDescent="0.25">
      <c r="A40" t="s">
        <v>43</v>
      </c>
      <c r="B40">
        <v>190</v>
      </c>
      <c r="C40">
        <v>3237.5329999999999</v>
      </c>
      <c r="D40">
        <f t="shared" si="6"/>
        <v>155</v>
      </c>
      <c r="E40">
        <v>3239.6959999999999</v>
      </c>
      <c r="F40">
        <f>C33</f>
        <v>3232.5079999999998</v>
      </c>
      <c r="G40">
        <f t="shared" si="0"/>
        <v>190</v>
      </c>
      <c r="H40">
        <f t="shared" si="1"/>
        <v>-6.8479999999999563</v>
      </c>
      <c r="I40">
        <f t="shared" si="4"/>
        <v>155</v>
      </c>
      <c r="J40">
        <f t="shared" si="5"/>
        <v>-11.873000000000047</v>
      </c>
      <c r="N40">
        <v>161.25</v>
      </c>
      <c r="O40">
        <v>-3.62</v>
      </c>
      <c r="Q40">
        <f t="shared" si="2"/>
        <v>185</v>
      </c>
      <c r="R40" s="2">
        <f t="shared" si="3"/>
        <v>0</v>
      </c>
    </row>
    <row r="41" spans="1:18" x14ac:dyDescent="0.25">
      <c r="A41" t="s">
        <v>44</v>
      </c>
      <c r="B41">
        <v>195</v>
      </c>
      <c r="C41">
        <v>3237.58</v>
      </c>
      <c r="D41">
        <f t="shared" si="6"/>
        <v>157.5</v>
      </c>
      <c r="E41">
        <v>3239.7919999999999</v>
      </c>
      <c r="F41">
        <f>(F40+F42)/2</f>
        <v>3232.9304999999999</v>
      </c>
      <c r="G41">
        <f t="shared" si="0"/>
        <v>195</v>
      </c>
      <c r="H41">
        <f t="shared" si="1"/>
        <v>-6.8009999999999309</v>
      </c>
      <c r="I41">
        <f t="shared" si="4"/>
        <v>157.5</v>
      </c>
      <c r="J41">
        <f t="shared" si="5"/>
        <v>-11.45049999999992</v>
      </c>
      <c r="N41">
        <v>162.5</v>
      </c>
      <c r="O41">
        <v>-3.37</v>
      </c>
      <c r="Q41">
        <f t="shared" si="2"/>
        <v>190</v>
      </c>
      <c r="R41" s="2">
        <f t="shared" si="3"/>
        <v>0.30999999999994543</v>
      </c>
    </row>
    <row r="42" spans="1:18" x14ac:dyDescent="0.25">
      <c r="A42" t="s">
        <v>45</v>
      </c>
      <c r="B42">
        <v>200</v>
      </c>
      <c r="C42">
        <v>3237.75</v>
      </c>
      <c r="D42">
        <f t="shared" si="6"/>
        <v>160</v>
      </c>
      <c r="E42">
        <v>3239.9119999999998</v>
      </c>
      <c r="F42">
        <f>C34</f>
        <v>3233.3530000000001</v>
      </c>
      <c r="G42">
        <f t="shared" si="0"/>
        <v>200</v>
      </c>
      <c r="H42">
        <f t="shared" si="1"/>
        <v>-6.6309999999998581</v>
      </c>
      <c r="I42">
        <f t="shared" si="4"/>
        <v>160</v>
      </c>
      <c r="J42">
        <f t="shared" si="5"/>
        <v>-11.027999999999793</v>
      </c>
      <c r="N42">
        <v>163.75</v>
      </c>
      <c r="O42">
        <v>-3.12</v>
      </c>
      <c r="Q42">
        <f t="shared" si="2"/>
        <v>195</v>
      </c>
      <c r="R42" s="2">
        <f t="shared" si="3"/>
        <v>0.3569999999999709</v>
      </c>
    </row>
    <row r="43" spans="1:18" x14ac:dyDescent="0.25">
      <c r="A43" t="s">
        <v>46</v>
      </c>
      <c r="B43">
        <v>205</v>
      </c>
      <c r="C43">
        <v>3238.8589999999999</v>
      </c>
      <c r="D43">
        <f t="shared" si="6"/>
        <v>162.5</v>
      </c>
      <c r="E43">
        <v>3240.366</v>
      </c>
      <c r="F43">
        <f>(F42+F44)/2</f>
        <v>3233.8490000000002</v>
      </c>
      <c r="G43">
        <f t="shared" si="0"/>
        <v>205</v>
      </c>
      <c r="H43">
        <f t="shared" si="1"/>
        <v>-5.5219999999999345</v>
      </c>
      <c r="I43">
        <f t="shared" si="4"/>
        <v>162.5</v>
      </c>
      <c r="J43">
        <f t="shared" si="5"/>
        <v>-10.531999999999698</v>
      </c>
      <c r="N43">
        <v>165</v>
      </c>
      <c r="O43">
        <v>-2.88</v>
      </c>
      <c r="Q43">
        <f t="shared" si="2"/>
        <v>200</v>
      </c>
      <c r="R43" s="2">
        <f t="shared" si="3"/>
        <v>0.52700000000004366</v>
      </c>
    </row>
    <row r="44" spans="1:18" x14ac:dyDescent="0.25">
      <c r="A44" t="s">
        <v>47</v>
      </c>
      <c r="B44">
        <v>210</v>
      </c>
      <c r="C44">
        <v>3239.1</v>
      </c>
      <c r="D44">
        <f t="shared" si="6"/>
        <v>165</v>
      </c>
      <c r="E44">
        <v>3240.1689999999999</v>
      </c>
      <c r="F44">
        <f>C35</f>
        <v>3234.3449999999998</v>
      </c>
      <c r="G44">
        <f t="shared" si="0"/>
        <v>210</v>
      </c>
      <c r="H44">
        <f t="shared" si="1"/>
        <v>-5.2809999999999491</v>
      </c>
      <c r="I44">
        <f t="shared" si="4"/>
        <v>165</v>
      </c>
      <c r="J44">
        <f t="shared" si="5"/>
        <v>-10.036000000000058</v>
      </c>
      <c r="N44">
        <v>166.25</v>
      </c>
      <c r="O44">
        <v>-2.78</v>
      </c>
      <c r="Q44">
        <f t="shared" si="2"/>
        <v>205</v>
      </c>
      <c r="R44" s="2">
        <f t="shared" si="3"/>
        <v>1.6359999999999673</v>
      </c>
    </row>
    <row r="45" spans="1:18" x14ac:dyDescent="0.25">
      <c r="A45" t="s">
        <v>48</v>
      </c>
      <c r="B45">
        <v>215</v>
      </c>
      <c r="C45">
        <v>3239.6660000000002</v>
      </c>
      <c r="D45">
        <f t="shared" si="6"/>
        <v>167.5</v>
      </c>
      <c r="E45">
        <v>3241.6970000000001</v>
      </c>
      <c r="F45">
        <f>(F44+F46)/2</f>
        <v>3234.5424999999996</v>
      </c>
      <c r="G45">
        <f t="shared" si="0"/>
        <v>215</v>
      </c>
      <c r="H45">
        <f t="shared" si="1"/>
        <v>-4.7149999999996908</v>
      </c>
      <c r="I45">
        <f t="shared" si="4"/>
        <v>167.5</v>
      </c>
      <c r="J45">
        <f t="shared" si="5"/>
        <v>-9.8385000000002947</v>
      </c>
      <c r="N45">
        <v>167.5</v>
      </c>
      <c r="O45">
        <v>-2.68</v>
      </c>
      <c r="Q45">
        <f t="shared" si="2"/>
        <v>210</v>
      </c>
      <c r="R45" s="2">
        <f t="shared" si="3"/>
        <v>1.8769999999999527</v>
      </c>
    </row>
    <row r="46" spans="1:18" x14ac:dyDescent="0.25">
      <c r="A46" t="s">
        <v>49</v>
      </c>
      <c r="B46">
        <v>220</v>
      </c>
      <c r="C46">
        <v>3239.598</v>
      </c>
      <c r="D46">
        <f t="shared" si="6"/>
        <v>170</v>
      </c>
      <c r="E46">
        <v>3242.2049999999999</v>
      </c>
      <c r="F46">
        <f>C36</f>
        <v>3234.74</v>
      </c>
      <c r="G46">
        <f t="shared" si="0"/>
        <v>220</v>
      </c>
      <c r="H46">
        <f t="shared" si="1"/>
        <v>-4.7829999999999018</v>
      </c>
      <c r="I46">
        <f t="shared" si="4"/>
        <v>170</v>
      </c>
      <c r="J46">
        <f t="shared" si="5"/>
        <v>-9.6410000000000764</v>
      </c>
      <c r="N46">
        <v>168.75</v>
      </c>
      <c r="O46">
        <v>-2.58</v>
      </c>
      <c r="Q46">
        <f t="shared" si="2"/>
        <v>215</v>
      </c>
      <c r="R46" s="2">
        <f t="shared" si="3"/>
        <v>2.443000000000211</v>
      </c>
    </row>
    <row r="47" spans="1:18" x14ac:dyDescent="0.25">
      <c r="A47" t="s">
        <v>50</v>
      </c>
      <c r="B47">
        <v>225</v>
      </c>
      <c r="C47">
        <v>3241.326</v>
      </c>
      <c r="D47">
        <f t="shared" si="6"/>
        <v>172.5</v>
      </c>
      <c r="E47">
        <v>3242.9029999999998</v>
      </c>
      <c r="F47">
        <f>(F46+F48)/2</f>
        <v>3235.3729999999996</v>
      </c>
      <c r="G47">
        <f t="shared" si="0"/>
        <v>225</v>
      </c>
      <c r="H47">
        <f t="shared" si="1"/>
        <v>-3.0549999999998363</v>
      </c>
      <c r="I47">
        <f t="shared" si="4"/>
        <v>172.5</v>
      </c>
      <c r="J47">
        <f t="shared" si="5"/>
        <v>-9.0080000000002656</v>
      </c>
      <c r="N47">
        <v>170</v>
      </c>
      <c r="O47">
        <v>-2.48</v>
      </c>
      <c r="Q47">
        <f t="shared" si="2"/>
        <v>220</v>
      </c>
      <c r="R47" s="2">
        <f t="shared" si="3"/>
        <v>2.375</v>
      </c>
    </row>
    <row r="48" spans="1:18" x14ac:dyDescent="0.25">
      <c r="A48" t="s">
        <v>51</v>
      </c>
      <c r="B48">
        <v>230</v>
      </c>
      <c r="C48">
        <v>3243.0120000000002</v>
      </c>
      <c r="D48">
        <f t="shared" si="6"/>
        <v>175</v>
      </c>
      <c r="E48">
        <v>3243.7049999999999</v>
      </c>
      <c r="F48">
        <f>C37</f>
        <v>3236.0059999999999</v>
      </c>
      <c r="G48">
        <f t="shared" si="0"/>
        <v>230</v>
      </c>
      <c r="H48">
        <f t="shared" si="1"/>
        <v>-1.3689999999996871</v>
      </c>
      <c r="I48">
        <f t="shared" si="4"/>
        <v>175</v>
      </c>
      <c r="J48">
        <f t="shared" si="5"/>
        <v>-8.375</v>
      </c>
      <c r="N48">
        <v>171.25</v>
      </c>
      <c r="O48">
        <v>-2.16</v>
      </c>
      <c r="Q48">
        <f t="shared" si="2"/>
        <v>225</v>
      </c>
      <c r="R48" s="2">
        <f t="shared" si="3"/>
        <v>4.1030000000000655</v>
      </c>
    </row>
    <row r="49" spans="1:18" x14ac:dyDescent="0.25">
      <c r="A49" t="s">
        <v>52</v>
      </c>
      <c r="B49">
        <v>235</v>
      </c>
      <c r="C49">
        <v>3244.3809999999999</v>
      </c>
      <c r="D49">
        <f t="shared" si="6"/>
        <v>177.5</v>
      </c>
      <c r="E49">
        <v>3244.3879999999999</v>
      </c>
      <c r="F49">
        <f>(C37+C38)/2</f>
        <v>3236.0675000000001</v>
      </c>
      <c r="G49">
        <f t="shared" si="0"/>
        <v>235</v>
      </c>
      <c r="H49">
        <f t="shared" si="1"/>
        <v>0</v>
      </c>
      <c r="I49">
        <f t="shared" si="4"/>
        <v>177.5</v>
      </c>
      <c r="J49">
        <f t="shared" si="5"/>
        <v>-8.313499999999749</v>
      </c>
      <c r="N49">
        <v>172.5</v>
      </c>
      <c r="O49">
        <v>-1.85</v>
      </c>
      <c r="Q49">
        <f t="shared" si="2"/>
        <v>230</v>
      </c>
      <c r="R49" s="2">
        <f t="shared" si="3"/>
        <v>5.7890000000002146</v>
      </c>
    </row>
    <row r="50" spans="1:18" x14ac:dyDescent="0.25">
      <c r="I50">
        <v>185</v>
      </c>
      <c r="J50">
        <v>-7.31</v>
      </c>
      <c r="N50">
        <v>173.75</v>
      </c>
      <c r="O50">
        <v>-1.53</v>
      </c>
      <c r="Q50">
        <f t="shared" si="2"/>
        <v>235</v>
      </c>
      <c r="R50" s="2">
        <f t="shared" si="3"/>
        <v>7.1579999999999018</v>
      </c>
    </row>
    <row r="51" spans="1:18" x14ac:dyDescent="0.25">
      <c r="I51">
        <v>185</v>
      </c>
      <c r="J51">
        <f>H39</f>
        <v>-7.1579999999999018</v>
      </c>
      <c r="N51">
        <v>175</v>
      </c>
      <c r="O51">
        <v>-1.22</v>
      </c>
    </row>
    <row r="52" spans="1:18" x14ac:dyDescent="0.25">
      <c r="N52">
        <v>176.25</v>
      </c>
      <c r="O52">
        <v>-1.18</v>
      </c>
    </row>
    <row r="53" spans="1:18" x14ac:dyDescent="0.25">
      <c r="N53">
        <v>177.5</v>
      </c>
      <c r="O53">
        <v>-1.1499999999999999</v>
      </c>
    </row>
    <row r="54" spans="1:18" x14ac:dyDescent="0.25">
      <c r="N54">
        <v>181.25</v>
      </c>
      <c r="O54">
        <v>-0.65</v>
      </c>
    </row>
    <row r="55" spans="1:18" x14ac:dyDescent="0.25">
      <c r="N55">
        <v>185</v>
      </c>
      <c r="O55">
        <v>-0.15</v>
      </c>
    </row>
    <row r="56" spans="1:18" x14ac:dyDescent="0.25">
      <c r="N56">
        <v>187</v>
      </c>
      <c r="O56">
        <v>-7.0000000000000007E-2</v>
      </c>
    </row>
    <row r="57" spans="1:18" x14ac:dyDescent="0.25">
      <c r="N57">
        <v>189</v>
      </c>
      <c r="O57">
        <v>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3E0C-47BB-4384-A338-BBAECE76B9DD}">
  <dimension ref="A1:X125"/>
  <sheetViews>
    <sheetView topLeftCell="A21" workbookViewId="0">
      <selection activeCell="B6" sqref="B6:B49"/>
    </sheetView>
  </sheetViews>
  <sheetFormatPr defaultColWidth="9.140625" defaultRowHeight="15" x14ac:dyDescent="0.25"/>
  <cols>
    <col min="1" max="16384" width="9.140625" style="12"/>
  </cols>
  <sheetData>
    <row r="1" spans="1:24" x14ac:dyDescent="0.25">
      <c r="A1" s="21" t="s">
        <v>186</v>
      </c>
      <c r="B1" s="21"/>
      <c r="C1" s="21" t="s">
        <v>183</v>
      </c>
      <c r="T1" s="12" t="s">
        <v>313</v>
      </c>
      <c r="V1" s="12" t="s">
        <v>314</v>
      </c>
      <c r="W1" s="12">
        <f>MAX(K5:K48)</f>
        <v>0</v>
      </c>
    </row>
    <row r="2" spans="1:24" ht="15.75" thickBot="1" x14ac:dyDescent="0.3"/>
    <row r="3" spans="1:24" x14ac:dyDescent="0.25">
      <c r="A3" s="21"/>
      <c r="B3" s="21"/>
      <c r="C3" s="150" t="s">
        <v>178</v>
      </c>
      <c r="D3" s="150"/>
      <c r="E3" s="22"/>
      <c r="F3" s="22"/>
      <c r="G3" s="150" t="s">
        <v>4</v>
      </c>
      <c r="H3" s="150"/>
      <c r="I3" s="150"/>
      <c r="J3" s="151" t="s">
        <v>179</v>
      </c>
      <c r="K3" s="152"/>
      <c r="T3" s="12" t="s">
        <v>315</v>
      </c>
      <c r="W3" s="12" t="s">
        <v>316</v>
      </c>
    </row>
    <row r="4" spans="1:24" x14ac:dyDescent="0.25">
      <c r="A4" s="21" t="s">
        <v>101</v>
      </c>
      <c r="B4" s="21" t="s">
        <v>102</v>
      </c>
      <c r="C4" s="21" t="s">
        <v>2</v>
      </c>
      <c r="D4" s="21" t="s">
        <v>3</v>
      </c>
      <c r="E4" s="21" t="s">
        <v>2</v>
      </c>
      <c r="F4" s="21" t="s">
        <v>177</v>
      </c>
      <c r="G4" s="21" t="s">
        <v>2</v>
      </c>
      <c r="H4" s="21" t="s">
        <v>176</v>
      </c>
      <c r="I4" s="21" t="s">
        <v>177</v>
      </c>
      <c r="J4" s="23" t="s">
        <v>2</v>
      </c>
      <c r="K4" s="24" t="s">
        <v>3</v>
      </c>
      <c r="O4" s="153" t="s">
        <v>300</v>
      </c>
      <c r="P4" s="153"/>
      <c r="Q4" s="12" t="s">
        <v>301</v>
      </c>
    </row>
    <row r="5" spans="1:24" x14ac:dyDescent="0.25">
      <c r="A5" s="21"/>
      <c r="B5" s="21"/>
      <c r="C5" s="21"/>
      <c r="D5" s="21"/>
      <c r="E5" s="21"/>
      <c r="F5" s="21"/>
      <c r="G5" s="21"/>
      <c r="H5" s="21">
        <v>-7.5</v>
      </c>
      <c r="I5" s="21">
        <v>0</v>
      </c>
      <c r="J5" s="18">
        <f>H5</f>
        <v>-7.5</v>
      </c>
      <c r="K5" s="18">
        <f>I5</f>
        <v>0</v>
      </c>
      <c r="L5" s="12">
        <v>-7.5</v>
      </c>
      <c r="M5" s="12">
        <v>3192.4050000000002</v>
      </c>
      <c r="N5" s="12">
        <f t="shared" ref="N5:N48" si="0">M5-D6</f>
        <v>0</v>
      </c>
      <c r="O5" s="12">
        <v>-7.5</v>
      </c>
      <c r="P5" s="12">
        <f>K5</f>
        <v>0</v>
      </c>
      <c r="T5" s="12">
        <f>J5</f>
        <v>-7.5</v>
      </c>
      <c r="U5" s="12">
        <f>K5</f>
        <v>0</v>
      </c>
    </row>
    <row r="6" spans="1:24" x14ac:dyDescent="0.25">
      <c r="A6" s="12" t="s">
        <v>5</v>
      </c>
      <c r="B6" s="12" t="s">
        <v>103</v>
      </c>
      <c r="C6" s="12">
        <v>0</v>
      </c>
      <c r="D6" s="12">
        <f>M5</f>
        <v>3192.4050000000002</v>
      </c>
      <c r="E6" s="12">
        <f>C6</f>
        <v>0</v>
      </c>
      <c r="F6" s="12">
        <f>D6-MAX($D$6:$D$125)</f>
        <v>0</v>
      </c>
      <c r="G6" s="12">
        <f>D6</f>
        <v>3192.4050000000002</v>
      </c>
      <c r="H6" s="12">
        <f>C6</f>
        <v>0</v>
      </c>
      <c r="I6" s="12">
        <f>F6</f>
        <v>0</v>
      </c>
      <c r="J6" s="18">
        <f t="shared" ref="J6:J47" si="1">H6</f>
        <v>0</v>
      </c>
      <c r="K6" s="18">
        <f t="shared" ref="K6:K48" si="2">I6</f>
        <v>0</v>
      </c>
      <c r="L6" s="12">
        <v>0</v>
      </c>
      <c r="M6" s="12">
        <v>3192.4050000000002</v>
      </c>
      <c r="N6" s="12">
        <f t="shared" si="0"/>
        <v>0</v>
      </c>
      <c r="O6" s="12">
        <v>0</v>
      </c>
      <c r="P6" s="12">
        <f t="shared" ref="P6:P30" si="3">K6</f>
        <v>0</v>
      </c>
      <c r="T6" s="12">
        <f t="shared" ref="T6:T47" si="4">J6</f>
        <v>0</v>
      </c>
      <c r="U6" s="12">
        <f t="shared" ref="U6:U47" si="5">K6</f>
        <v>0</v>
      </c>
      <c r="W6" s="12">
        <v>0</v>
      </c>
      <c r="X6" s="12">
        <v>0</v>
      </c>
    </row>
    <row r="7" spans="1:24" x14ac:dyDescent="0.25">
      <c r="A7" s="21" t="s">
        <v>6</v>
      </c>
      <c r="B7" s="12" t="s">
        <v>104</v>
      </c>
      <c r="C7" s="12">
        <v>4.9555801880303534</v>
      </c>
      <c r="D7" s="12">
        <f t="shared" ref="D7:D48" si="6">M6</f>
        <v>3192.4050000000002</v>
      </c>
      <c r="E7" s="12">
        <f t="shared" ref="E7:E70" si="7">C7</f>
        <v>4.9555801880303534</v>
      </c>
      <c r="F7" s="12">
        <f t="shared" ref="F7:F70" si="8">D7-MAX($D$6:$D$125)</f>
        <v>0</v>
      </c>
      <c r="G7" s="12">
        <f t="shared" ref="G7:G70" si="9">D7</f>
        <v>3192.4050000000002</v>
      </c>
      <c r="H7" s="12">
        <f t="shared" ref="H7:H50" si="10">C7</f>
        <v>4.9555801880303534</v>
      </c>
      <c r="I7" s="12">
        <f t="shared" ref="I7:I50" si="11">F7</f>
        <v>0</v>
      </c>
      <c r="J7" s="18">
        <f t="shared" si="1"/>
        <v>4.9555801880303534</v>
      </c>
      <c r="K7" s="18">
        <f t="shared" si="2"/>
        <v>0</v>
      </c>
      <c r="L7" s="12">
        <v>5</v>
      </c>
      <c r="M7" s="12">
        <v>3191.74</v>
      </c>
      <c r="N7" s="12">
        <f t="shared" si="0"/>
        <v>0</v>
      </c>
      <c r="O7" s="12">
        <v>5</v>
      </c>
      <c r="P7" s="12">
        <f t="shared" si="3"/>
        <v>0</v>
      </c>
      <c r="T7" s="12">
        <f t="shared" si="4"/>
        <v>4.9555801880303534</v>
      </c>
      <c r="U7" s="12">
        <f t="shared" si="5"/>
        <v>0</v>
      </c>
      <c r="W7" s="12">
        <v>4.9555801880303534</v>
      </c>
      <c r="X7" s="12">
        <v>0</v>
      </c>
    </row>
    <row r="8" spans="1:24" x14ac:dyDescent="0.25">
      <c r="A8" s="12" t="s">
        <v>7</v>
      </c>
      <c r="B8" s="12" t="s">
        <v>105</v>
      </c>
      <c r="C8" s="12">
        <v>9.9518151704946831</v>
      </c>
      <c r="D8" s="12">
        <f t="shared" si="6"/>
        <v>3191.74</v>
      </c>
      <c r="E8" s="12">
        <f t="shared" si="7"/>
        <v>9.9518151704946831</v>
      </c>
      <c r="F8" s="12">
        <f t="shared" si="8"/>
        <v>-0.66500000000041837</v>
      </c>
      <c r="G8" s="12">
        <f t="shared" si="9"/>
        <v>3191.74</v>
      </c>
      <c r="H8" s="12">
        <f t="shared" si="10"/>
        <v>9.9518151704946831</v>
      </c>
      <c r="I8" s="12">
        <f t="shared" si="11"/>
        <v>-0.66500000000041837</v>
      </c>
      <c r="J8" s="18">
        <f t="shared" si="1"/>
        <v>9.9518151704946831</v>
      </c>
      <c r="K8" s="18">
        <f t="shared" si="2"/>
        <v>-0.66500000000041837</v>
      </c>
      <c r="L8" s="12">
        <v>10</v>
      </c>
      <c r="M8" s="12">
        <v>3191.5459999999998</v>
      </c>
      <c r="N8" s="12">
        <f t="shared" si="0"/>
        <v>0</v>
      </c>
      <c r="O8" s="12">
        <v>10</v>
      </c>
      <c r="P8" s="12">
        <f t="shared" si="3"/>
        <v>-0.66500000000041837</v>
      </c>
      <c r="T8" s="12">
        <f t="shared" si="4"/>
        <v>9.9518151704946831</v>
      </c>
      <c r="U8" s="12">
        <f t="shared" si="5"/>
        <v>-0.66500000000041837</v>
      </c>
      <c r="W8" s="12">
        <v>9.9518151704946831</v>
      </c>
      <c r="X8" s="12">
        <v>-0.66500000000041837</v>
      </c>
    </row>
    <row r="9" spans="1:24" x14ac:dyDescent="0.25">
      <c r="A9" s="21" t="s">
        <v>8</v>
      </c>
      <c r="B9" s="12" t="s">
        <v>106</v>
      </c>
      <c r="C9" s="12">
        <v>14.951813570494437</v>
      </c>
      <c r="D9" s="12">
        <f t="shared" si="6"/>
        <v>3191.5459999999998</v>
      </c>
      <c r="E9" s="12">
        <f t="shared" si="7"/>
        <v>14.951813570494437</v>
      </c>
      <c r="F9" s="12">
        <f t="shared" si="8"/>
        <v>-0.85900000000037835</v>
      </c>
      <c r="G9" s="12">
        <f t="shared" si="9"/>
        <v>3191.5459999999998</v>
      </c>
      <c r="H9" s="12">
        <f t="shared" si="10"/>
        <v>14.951813570494437</v>
      </c>
      <c r="I9" s="12">
        <f t="shared" si="11"/>
        <v>-0.85900000000037835</v>
      </c>
      <c r="J9" s="18">
        <f t="shared" si="1"/>
        <v>14.951813570494437</v>
      </c>
      <c r="K9" s="18">
        <f t="shared" si="2"/>
        <v>-0.85900000000037835</v>
      </c>
      <c r="L9" s="12">
        <v>15</v>
      </c>
      <c r="M9" s="12">
        <v>3191.55</v>
      </c>
      <c r="N9" s="12">
        <f t="shared" si="0"/>
        <v>0</v>
      </c>
      <c r="O9" s="12">
        <v>15</v>
      </c>
      <c r="P9" s="12">
        <f t="shared" si="3"/>
        <v>-0.85900000000037835</v>
      </c>
      <c r="T9" s="12">
        <f t="shared" si="4"/>
        <v>14.951813570494437</v>
      </c>
      <c r="U9" s="12">
        <f t="shared" si="5"/>
        <v>-0.85900000000037835</v>
      </c>
      <c r="W9" s="12">
        <v>14.951813570494437</v>
      </c>
      <c r="X9" s="12">
        <v>-0.85900000000037835</v>
      </c>
    </row>
    <row r="10" spans="1:24" x14ac:dyDescent="0.25">
      <c r="A10" s="12" t="s">
        <v>9</v>
      </c>
      <c r="B10" s="12" t="s">
        <v>107</v>
      </c>
      <c r="C10" s="12">
        <v>19.664324472338535</v>
      </c>
      <c r="D10" s="12">
        <f t="shared" si="6"/>
        <v>3191.55</v>
      </c>
      <c r="E10" s="12">
        <f t="shared" si="7"/>
        <v>19.664324472338535</v>
      </c>
      <c r="F10" s="12">
        <f t="shared" si="8"/>
        <v>-0.85500000000001819</v>
      </c>
      <c r="G10" s="12">
        <f t="shared" si="9"/>
        <v>3191.55</v>
      </c>
      <c r="H10" s="12">
        <f t="shared" si="10"/>
        <v>19.664324472338535</v>
      </c>
      <c r="I10" s="12">
        <f t="shared" si="11"/>
        <v>-0.85500000000001819</v>
      </c>
      <c r="J10" s="18">
        <f t="shared" si="1"/>
        <v>19.664324472338535</v>
      </c>
      <c r="K10" s="18">
        <f t="shared" si="2"/>
        <v>-0.85500000000001819</v>
      </c>
      <c r="L10" s="12">
        <v>19.7</v>
      </c>
      <c r="M10" s="12">
        <v>3189.8789999999999</v>
      </c>
      <c r="N10" s="12">
        <f t="shared" si="0"/>
        <v>0</v>
      </c>
      <c r="O10" s="12">
        <v>20</v>
      </c>
      <c r="P10" s="12">
        <f t="shared" si="3"/>
        <v>-0.85500000000001819</v>
      </c>
      <c r="T10" s="12">
        <f t="shared" si="4"/>
        <v>19.664324472338535</v>
      </c>
      <c r="U10" s="12">
        <f t="shared" si="5"/>
        <v>-0.85500000000001819</v>
      </c>
      <c r="W10" s="12">
        <v>19.664324472338535</v>
      </c>
      <c r="X10" s="12">
        <v>-0.85500000000001819</v>
      </c>
    </row>
    <row r="11" spans="1:24" x14ac:dyDescent="0.25">
      <c r="A11" s="21" t="s">
        <v>10</v>
      </c>
      <c r="B11" s="12" t="s">
        <v>108</v>
      </c>
      <c r="C11" s="12">
        <v>24.620971625404763</v>
      </c>
      <c r="D11" s="12">
        <f t="shared" si="6"/>
        <v>3189.8789999999999</v>
      </c>
      <c r="E11" s="12">
        <f t="shared" si="7"/>
        <v>24.620971625404763</v>
      </c>
      <c r="F11" s="12">
        <f t="shared" si="8"/>
        <v>-2.5260000000002947</v>
      </c>
      <c r="G11" s="12">
        <f t="shared" si="9"/>
        <v>3189.8789999999999</v>
      </c>
      <c r="H11" s="12">
        <f t="shared" si="10"/>
        <v>24.620971625404763</v>
      </c>
      <c r="I11" s="12">
        <f t="shared" si="11"/>
        <v>-2.5260000000002947</v>
      </c>
      <c r="J11" s="18">
        <f t="shared" si="1"/>
        <v>24.620971625404763</v>
      </c>
      <c r="K11" s="18">
        <f t="shared" si="2"/>
        <v>-2.5260000000002947</v>
      </c>
      <c r="L11" s="12">
        <v>24.6</v>
      </c>
      <c r="M11" s="12">
        <v>3190.5360000000001</v>
      </c>
      <c r="N11" s="12">
        <f t="shared" si="0"/>
        <v>0</v>
      </c>
      <c r="O11" s="12">
        <v>25</v>
      </c>
      <c r="P11" s="12">
        <f t="shared" si="3"/>
        <v>-2.5260000000002947</v>
      </c>
      <c r="T11" s="12">
        <f t="shared" si="4"/>
        <v>24.620971625404763</v>
      </c>
      <c r="U11" s="12">
        <f>-1.5</f>
        <v>-1.5</v>
      </c>
      <c r="W11" s="12">
        <v>24.620971625404763</v>
      </c>
      <c r="X11" s="12">
        <v>-1.5</v>
      </c>
    </row>
    <row r="12" spans="1:24" x14ac:dyDescent="0.25">
      <c r="A12" s="12" t="s">
        <v>11</v>
      </c>
      <c r="B12" s="12" t="s">
        <v>109</v>
      </c>
      <c r="C12" s="12">
        <v>29.605894493413871</v>
      </c>
      <c r="D12" s="12">
        <f t="shared" si="6"/>
        <v>3190.5360000000001</v>
      </c>
      <c r="E12" s="12">
        <f t="shared" si="7"/>
        <v>29.605894493413871</v>
      </c>
      <c r="F12" s="12">
        <f t="shared" si="8"/>
        <v>-1.8690000000001419</v>
      </c>
      <c r="G12" s="12">
        <f t="shared" si="9"/>
        <v>3190.5360000000001</v>
      </c>
      <c r="H12" s="12">
        <f t="shared" si="10"/>
        <v>29.605894493413871</v>
      </c>
      <c r="I12" s="12">
        <f t="shared" si="11"/>
        <v>-1.8690000000001419</v>
      </c>
      <c r="J12" s="18">
        <f t="shared" si="1"/>
        <v>29.605894493413871</v>
      </c>
      <c r="K12" s="18">
        <f t="shared" si="2"/>
        <v>-1.8690000000001419</v>
      </c>
      <c r="L12" s="12">
        <v>29.6</v>
      </c>
      <c r="M12" s="12">
        <v>3190.1480000000001</v>
      </c>
      <c r="N12" s="12">
        <f t="shared" si="0"/>
        <v>0</v>
      </c>
      <c r="O12" s="12">
        <v>30</v>
      </c>
      <c r="P12" s="12">
        <f t="shared" si="3"/>
        <v>-1.8690000000001419</v>
      </c>
      <c r="T12" s="12">
        <f t="shared" si="4"/>
        <v>29.605894493413871</v>
      </c>
      <c r="U12" s="12">
        <f t="shared" si="5"/>
        <v>-1.8690000000001419</v>
      </c>
      <c r="W12" s="12">
        <v>29.605894493413871</v>
      </c>
      <c r="X12" s="12">
        <v>-1.8690000000001419</v>
      </c>
    </row>
    <row r="13" spans="1:24" x14ac:dyDescent="0.25">
      <c r="A13" s="21" t="s">
        <v>12</v>
      </c>
      <c r="B13" s="12" t="s">
        <v>110</v>
      </c>
      <c r="C13" s="12">
        <v>34.277943187509436</v>
      </c>
      <c r="D13" s="12">
        <f t="shared" si="6"/>
        <v>3190.1480000000001</v>
      </c>
      <c r="E13" s="12">
        <f t="shared" si="7"/>
        <v>34.277943187509436</v>
      </c>
      <c r="F13" s="12">
        <f t="shared" si="8"/>
        <v>-2.2570000000000618</v>
      </c>
      <c r="G13" s="12">
        <f t="shared" si="9"/>
        <v>3190.1480000000001</v>
      </c>
      <c r="H13" s="12">
        <f t="shared" si="10"/>
        <v>34.277943187509436</v>
      </c>
      <c r="I13" s="12">
        <f t="shared" si="11"/>
        <v>-2.2570000000000618</v>
      </c>
      <c r="J13" s="18">
        <f t="shared" si="1"/>
        <v>34.277943187509436</v>
      </c>
      <c r="K13" s="18">
        <f t="shared" si="2"/>
        <v>-2.2570000000000618</v>
      </c>
      <c r="L13" s="12">
        <v>34.299999999999997</v>
      </c>
      <c r="M13" s="12">
        <v>3188.3670000000002</v>
      </c>
      <c r="N13" s="12">
        <f t="shared" si="0"/>
        <v>0</v>
      </c>
      <c r="O13" s="12">
        <v>35</v>
      </c>
      <c r="P13" s="12">
        <f t="shared" si="3"/>
        <v>-2.2570000000000618</v>
      </c>
      <c r="T13" s="12">
        <f t="shared" si="4"/>
        <v>34.277943187509436</v>
      </c>
      <c r="U13" s="12">
        <f t="shared" si="5"/>
        <v>-2.2570000000000618</v>
      </c>
      <c r="W13" s="12">
        <v>34.277943187509436</v>
      </c>
      <c r="X13" s="12">
        <v>-2.2570000000000618</v>
      </c>
    </row>
    <row r="14" spans="1:24" x14ac:dyDescent="0.25">
      <c r="A14" s="12" t="s">
        <v>13</v>
      </c>
      <c r="B14" s="12" t="s">
        <v>111</v>
      </c>
      <c r="C14" s="12">
        <v>39.271230581601685</v>
      </c>
      <c r="D14" s="12">
        <f t="shared" si="6"/>
        <v>3188.3670000000002</v>
      </c>
      <c r="E14" s="12">
        <f t="shared" si="7"/>
        <v>39.271230581601685</v>
      </c>
      <c r="F14" s="12">
        <f t="shared" si="8"/>
        <v>-4.0380000000000109</v>
      </c>
      <c r="G14" s="12">
        <f t="shared" si="9"/>
        <v>3188.3670000000002</v>
      </c>
      <c r="H14" s="12">
        <f t="shared" si="10"/>
        <v>39.271230581601685</v>
      </c>
      <c r="I14" s="12">
        <f t="shared" si="11"/>
        <v>-4.0380000000000109</v>
      </c>
      <c r="J14" s="18">
        <f t="shared" si="1"/>
        <v>39.271230581601685</v>
      </c>
      <c r="K14" s="18">
        <f t="shared" si="2"/>
        <v>-4.0380000000000109</v>
      </c>
      <c r="L14" s="12">
        <v>39.299999999999997</v>
      </c>
      <c r="M14" s="12">
        <v>3188.1080000000002</v>
      </c>
      <c r="N14" s="12">
        <f t="shared" si="0"/>
        <v>0</v>
      </c>
      <c r="O14" s="12">
        <v>40</v>
      </c>
      <c r="P14" s="12">
        <f t="shared" si="3"/>
        <v>-4.0380000000000109</v>
      </c>
      <c r="T14" s="12">
        <f t="shared" si="4"/>
        <v>39.271230581601685</v>
      </c>
      <c r="U14" s="12">
        <v>-3.2</v>
      </c>
      <c r="W14" s="12">
        <v>39.271230581601685</v>
      </c>
      <c r="X14" s="12">
        <v>-3.2</v>
      </c>
    </row>
    <row r="15" spans="1:24" x14ac:dyDescent="0.25">
      <c r="A15" s="21" t="s">
        <v>14</v>
      </c>
      <c r="B15" s="12" t="s">
        <v>112</v>
      </c>
      <c r="C15" s="12">
        <v>44.250209995095929</v>
      </c>
      <c r="D15" s="12">
        <f t="shared" si="6"/>
        <v>3188.1080000000002</v>
      </c>
      <c r="E15" s="12">
        <f t="shared" si="7"/>
        <v>44.250209995095929</v>
      </c>
      <c r="F15" s="12">
        <f t="shared" si="8"/>
        <v>-4.2970000000000255</v>
      </c>
      <c r="G15" s="12">
        <f t="shared" si="9"/>
        <v>3188.1080000000002</v>
      </c>
      <c r="H15" s="12">
        <f t="shared" si="10"/>
        <v>44.250209995095929</v>
      </c>
      <c r="I15" s="12">
        <f t="shared" si="11"/>
        <v>-4.2970000000000255</v>
      </c>
      <c r="J15" s="18">
        <f t="shared" si="1"/>
        <v>44.250209995095929</v>
      </c>
      <c r="K15" s="18">
        <f t="shared" si="2"/>
        <v>-4.2970000000000255</v>
      </c>
      <c r="L15" s="12">
        <v>44.3</v>
      </c>
      <c r="M15" s="12">
        <v>3187.65</v>
      </c>
      <c r="N15" s="12">
        <f t="shared" si="0"/>
        <v>0</v>
      </c>
      <c r="O15" s="12">
        <v>45</v>
      </c>
      <c r="P15" s="12">
        <f t="shared" si="3"/>
        <v>-4.2970000000000255</v>
      </c>
      <c r="T15" s="12">
        <f t="shared" si="4"/>
        <v>44.250209995095929</v>
      </c>
      <c r="U15" s="12">
        <f t="shared" si="5"/>
        <v>-4.2970000000000255</v>
      </c>
      <c r="W15" s="12">
        <v>44.250209995095929</v>
      </c>
      <c r="X15" s="12">
        <v>-4.2970000000000255</v>
      </c>
    </row>
    <row r="16" spans="1:24" x14ac:dyDescent="0.25">
      <c r="A16" s="12" t="s">
        <v>15</v>
      </c>
      <c r="B16" s="12" t="s">
        <v>113</v>
      </c>
      <c r="C16" s="12">
        <v>49.232790752093251</v>
      </c>
      <c r="D16" s="12">
        <f t="shared" si="6"/>
        <v>3187.65</v>
      </c>
      <c r="E16" s="12">
        <f t="shared" si="7"/>
        <v>49.232790752093251</v>
      </c>
      <c r="F16" s="12">
        <f t="shared" si="8"/>
        <v>-4.7550000000001091</v>
      </c>
      <c r="G16" s="12">
        <f t="shared" si="9"/>
        <v>3187.65</v>
      </c>
      <c r="H16" s="12">
        <f t="shared" si="10"/>
        <v>49.232790752093251</v>
      </c>
      <c r="I16" s="12">
        <f t="shared" si="11"/>
        <v>-4.7550000000001091</v>
      </c>
      <c r="J16" s="18">
        <f t="shared" si="1"/>
        <v>49.232790752093251</v>
      </c>
      <c r="K16" s="18">
        <f t="shared" si="2"/>
        <v>-4.7550000000001091</v>
      </c>
      <c r="L16" s="12">
        <v>49.2</v>
      </c>
      <c r="M16" s="12">
        <v>3187.2330000000002</v>
      </c>
      <c r="N16" s="12">
        <f t="shared" si="0"/>
        <v>0</v>
      </c>
      <c r="O16" s="12">
        <v>50</v>
      </c>
      <c r="P16" s="12">
        <f t="shared" si="3"/>
        <v>-4.7550000000001091</v>
      </c>
      <c r="T16" s="12">
        <f t="shared" si="4"/>
        <v>49.232790752093251</v>
      </c>
      <c r="U16" s="12">
        <f t="shared" si="5"/>
        <v>-4.7550000000001091</v>
      </c>
      <c r="W16" s="12">
        <v>49.232790752093251</v>
      </c>
      <c r="X16" s="12">
        <v>-4.7550000000001091</v>
      </c>
    </row>
    <row r="17" spans="1:24" x14ac:dyDescent="0.25">
      <c r="A17" s="21" t="s">
        <v>16</v>
      </c>
      <c r="B17" s="12" t="s">
        <v>114</v>
      </c>
      <c r="C17" s="12">
        <v>54.225332289226344</v>
      </c>
      <c r="D17" s="12">
        <f t="shared" si="6"/>
        <v>3187.2330000000002</v>
      </c>
      <c r="E17" s="12">
        <f t="shared" si="7"/>
        <v>54.225332289226344</v>
      </c>
      <c r="F17" s="12">
        <f t="shared" si="8"/>
        <v>-5.1720000000000255</v>
      </c>
      <c r="G17" s="12">
        <f t="shared" si="9"/>
        <v>3187.2330000000002</v>
      </c>
      <c r="H17" s="12">
        <f t="shared" si="10"/>
        <v>54.225332289226344</v>
      </c>
      <c r="I17" s="12">
        <f t="shared" si="11"/>
        <v>-5.1720000000000255</v>
      </c>
      <c r="J17" s="18">
        <f t="shared" si="1"/>
        <v>54.225332289226344</v>
      </c>
      <c r="K17" s="18">
        <f t="shared" si="2"/>
        <v>-5.1720000000000255</v>
      </c>
      <c r="L17" s="12">
        <v>54.2</v>
      </c>
      <c r="M17" s="12">
        <v>3187.5059999999999</v>
      </c>
      <c r="N17" s="12">
        <f t="shared" si="0"/>
        <v>0</v>
      </c>
      <c r="O17" s="12">
        <v>55</v>
      </c>
      <c r="P17" s="12">
        <f t="shared" si="3"/>
        <v>-5.1720000000000255</v>
      </c>
      <c r="T17" s="12">
        <f t="shared" si="4"/>
        <v>54.225332289226344</v>
      </c>
      <c r="U17" s="12">
        <f t="shared" si="5"/>
        <v>-5.1720000000000255</v>
      </c>
      <c r="W17" s="12">
        <v>54.225332289226344</v>
      </c>
      <c r="X17" s="12">
        <v>-5.1720000000000255</v>
      </c>
    </row>
    <row r="18" spans="1:24" x14ac:dyDescent="0.25">
      <c r="A18" s="12" t="s">
        <v>17</v>
      </c>
      <c r="B18" s="12" t="s">
        <v>115</v>
      </c>
      <c r="C18" s="12">
        <v>59.225315389197704</v>
      </c>
      <c r="D18" s="12">
        <f t="shared" si="6"/>
        <v>3187.5059999999999</v>
      </c>
      <c r="E18" s="12">
        <f t="shared" si="7"/>
        <v>59.225315389197704</v>
      </c>
      <c r="F18" s="12">
        <f t="shared" si="8"/>
        <v>-4.899000000000342</v>
      </c>
      <c r="G18" s="12">
        <f t="shared" si="9"/>
        <v>3187.5059999999999</v>
      </c>
      <c r="H18" s="12">
        <f t="shared" si="10"/>
        <v>59.225315389197704</v>
      </c>
      <c r="I18" s="12">
        <f t="shared" si="11"/>
        <v>-4.899000000000342</v>
      </c>
      <c r="J18" s="18">
        <f t="shared" si="1"/>
        <v>59.225315389197704</v>
      </c>
      <c r="K18" s="18">
        <f t="shared" si="2"/>
        <v>-4.899000000000342</v>
      </c>
      <c r="L18" s="12">
        <v>59.2</v>
      </c>
      <c r="M18" s="12">
        <v>3187.4929999999999</v>
      </c>
      <c r="N18" s="12">
        <f t="shared" si="0"/>
        <v>0</v>
      </c>
      <c r="O18" s="12">
        <v>60</v>
      </c>
      <c r="P18" s="12">
        <f t="shared" si="3"/>
        <v>-4.899000000000342</v>
      </c>
      <c r="T18" s="12">
        <f t="shared" si="4"/>
        <v>59.225315389197704</v>
      </c>
      <c r="U18" s="12">
        <f t="shared" si="5"/>
        <v>-4.899000000000342</v>
      </c>
      <c r="W18" s="12">
        <v>59.225315389197704</v>
      </c>
      <c r="X18" s="12">
        <v>-4.899000000000342</v>
      </c>
    </row>
    <row r="19" spans="1:24" x14ac:dyDescent="0.25">
      <c r="A19" s="21" t="s">
        <v>18</v>
      </c>
      <c r="B19" s="12" t="s">
        <v>116</v>
      </c>
      <c r="C19" s="12">
        <v>64.111229428556271</v>
      </c>
      <c r="D19" s="12">
        <f t="shared" si="6"/>
        <v>3187.4929999999999</v>
      </c>
      <c r="E19" s="12">
        <f t="shared" si="7"/>
        <v>64.111229428556271</v>
      </c>
      <c r="F19" s="12">
        <f t="shared" si="8"/>
        <v>-4.9120000000002619</v>
      </c>
      <c r="G19" s="12">
        <f t="shared" si="9"/>
        <v>3187.4929999999999</v>
      </c>
      <c r="H19" s="12">
        <f t="shared" si="10"/>
        <v>64.111229428556271</v>
      </c>
      <c r="I19" s="12">
        <f t="shared" si="11"/>
        <v>-4.9120000000002619</v>
      </c>
      <c r="J19" s="18">
        <f t="shared" si="1"/>
        <v>64.111229428556271</v>
      </c>
      <c r="K19" s="18">
        <f t="shared" si="2"/>
        <v>-4.9120000000002619</v>
      </c>
      <c r="L19" s="12">
        <v>64.099999999999994</v>
      </c>
      <c r="M19" s="12">
        <v>3186.431</v>
      </c>
      <c r="N19" s="12">
        <f t="shared" si="0"/>
        <v>0</v>
      </c>
      <c r="O19" s="12">
        <v>65</v>
      </c>
      <c r="P19" s="12">
        <f t="shared" si="3"/>
        <v>-4.9120000000002619</v>
      </c>
      <c r="T19" s="12">
        <f t="shared" si="4"/>
        <v>64.111229428556271</v>
      </c>
      <c r="U19" s="12">
        <f t="shared" si="5"/>
        <v>-4.9120000000002619</v>
      </c>
      <c r="W19" s="12">
        <v>64.111229428556271</v>
      </c>
      <c r="X19" s="12">
        <v>-4.9120000000002619</v>
      </c>
    </row>
    <row r="20" spans="1:24" x14ac:dyDescent="0.25">
      <c r="A20" s="12" t="s">
        <v>19</v>
      </c>
      <c r="B20" s="12" t="s">
        <v>117</v>
      </c>
      <c r="C20" s="12">
        <v>68.907123922808523</v>
      </c>
      <c r="D20" s="12">
        <f t="shared" si="6"/>
        <v>3186.431</v>
      </c>
      <c r="E20" s="12">
        <f t="shared" si="7"/>
        <v>68.907123922808523</v>
      </c>
      <c r="F20" s="12">
        <f t="shared" si="8"/>
        <v>-5.9740000000001601</v>
      </c>
      <c r="G20" s="12">
        <f t="shared" si="9"/>
        <v>3186.431</v>
      </c>
      <c r="H20" s="12">
        <f t="shared" si="10"/>
        <v>68.907123922808523</v>
      </c>
      <c r="I20" s="12">
        <f t="shared" si="11"/>
        <v>-5.9740000000001601</v>
      </c>
      <c r="J20" s="18">
        <f t="shared" si="1"/>
        <v>68.907123922808523</v>
      </c>
      <c r="K20" s="18">
        <f t="shared" si="2"/>
        <v>-5.9740000000001601</v>
      </c>
      <c r="L20" s="12">
        <v>68.900000000000006</v>
      </c>
      <c r="M20" s="12">
        <v>3185.0169999999998</v>
      </c>
      <c r="N20" s="12">
        <f t="shared" si="0"/>
        <v>0</v>
      </c>
      <c r="O20" s="12">
        <v>70</v>
      </c>
      <c r="P20" s="12">
        <f t="shared" si="3"/>
        <v>-5.9740000000001601</v>
      </c>
      <c r="T20" s="12">
        <f t="shared" si="4"/>
        <v>68.907123922808523</v>
      </c>
      <c r="U20" s="12">
        <f t="shared" si="5"/>
        <v>-5.9740000000001601</v>
      </c>
      <c r="W20" s="12">
        <v>68.907123922808523</v>
      </c>
      <c r="X20" s="12">
        <v>-5.9740000000001601</v>
      </c>
    </row>
    <row r="21" spans="1:24" x14ac:dyDescent="0.25">
      <c r="A21" s="21" t="s">
        <v>20</v>
      </c>
      <c r="B21" s="12" t="s">
        <v>118</v>
      </c>
      <c r="C21" s="12">
        <v>73.813314298242403</v>
      </c>
      <c r="D21" s="12">
        <f t="shared" si="6"/>
        <v>3185.0169999999998</v>
      </c>
      <c r="E21" s="12">
        <f t="shared" si="7"/>
        <v>73.813314298242403</v>
      </c>
      <c r="F21" s="12">
        <f t="shared" si="8"/>
        <v>-7.3880000000003747</v>
      </c>
      <c r="G21" s="12">
        <f t="shared" si="9"/>
        <v>3185.0169999999998</v>
      </c>
      <c r="H21" s="12">
        <f t="shared" si="10"/>
        <v>73.813314298242403</v>
      </c>
      <c r="I21" s="12">
        <f t="shared" si="11"/>
        <v>-7.3880000000003747</v>
      </c>
      <c r="J21" s="18">
        <f t="shared" si="1"/>
        <v>73.813314298242403</v>
      </c>
      <c r="K21" s="18">
        <f t="shared" si="2"/>
        <v>-7.3880000000003747</v>
      </c>
      <c r="L21" s="12">
        <v>73.8</v>
      </c>
      <c r="M21" s="12">
        <v>3184.0529999999999</v>
      </c>
      <c r="N21" s="12">
        <f t="shared" si="0"/>
        <v>0</v>
      </c>
      <c r="O21" s="12">
        <v>75</v>
      </c>
      <c r="P21" s="12">
        <f t="shared" si="3"/>
        <v>-7.3880000000003747</v>
      </c>
      <c r="T21" s="12">
        <f t="shared" si="4"/>
        <v>73.813314298242403</v>
      </c>
      <c r="U21" s="12">
        <f t="shared" si="5"/>
        <v>-7.3880000000003747</v>
      </c>
      <c r="W21" s="12">
        <v>73.813314298242403</v>
      </c>
      <c r="X21" s="12">
        <v>-7.3880000000003747</v>
      </c>
    </row>
    <row r="22" spans="1:24" ht="15.75" thickBot="1" x14ac:dyDescent="0.3">
      <c r="A22" s="12" t="s">
        <v>21</v>
      </c>
      <c r="B22" s="12" t="s">
        <v>119</v>
      </c>
      <c r="C22" s="12">
        <v>78.625083099837184</v>
      </c>
      <c r="D22" s="12">
        <f t="shared" si="6"/>
        <v>3184.0529999999999</v>
      </c>
      <c r="E22" s="12">
        <f t="shared" si="7"/>
        <v>78.625083099837184</v>
      </c>
      <c r="F22" s="12">
        <f t="shared" si="8"/>
        <v>-8.3520000000003165</v>
      </c>
      <c r="G22" s="12">
        <f t="shared" si="9"/>
        <v>3184.0529999999999</v>
      </c>
      <c r="H22" s="12">
        <f t="shared" si="10"/>
        <v>78.625083099837184</v>
      </c>
      <c r="I22" s="12">
        <f t="shared" si="11"/>
        <v>-8.3520000000003165</v>
      </c>
      <c r="J22" s="18">
        <f t="shared" si="1"/>
        <v>78.625083099837184</v>
      </c>
      <c r="K22" s="18">
        <f t="shared" si="2"/>
        <v>-8.3520000000003165</v>
      </c>
      <c r="L22" s="12">
        <v>78.599999999999994</v>
      </c>
      <c r="M22" s="12">
        <v>3182.694</v>
      </c>
      <c r="N22" s="12">
        <f t="shared" si="0"/>
        <v>0</v>
      </c>
      <c r="O22" s="12">
        <v>80</v>
      </c>
      <c r="P22" s="12">
        <f t="shared" si="3"/>
        <v>-8.3520000000003165</v>
      </c>
      <c r="T22" s="12">
        <f t="shared" si="4"/>
        <v>78.625083099837184</v>
      </c>
      <c r="U22" s="12">
        <f t="shared" si="5"/>
        <v>-8.3520000000003165</v>
      </c>
      <c r="W22" s="12">
        <v>78.625083099837184</v>
      </c>
      <c r="X22" s="12">
        <v>-8.3520000000003165</v>
      </c>
    </row>
    <row r="23" spans="1:24" ht="15.75" thickBot="1" x14ac:dyDescent="0.3">
      <c r="A23" s="21" t="s">
        <v>22</v>
      </c>
      <c r="B23" s="12" t="s">
        <v>120</v>
      </c>
      <c r="C23" s="12">
        <v>83.587363926231546</v>
      </c>
      <c r="D23" s="12">
        <f t="shared" si="6"/>
        <v>3182.694</v>
      </c>
      <c r="E23" s="12">
        <f t="shared" si="7"/>
        <v>83.587363926231546</v>
      </c>
      <c r="F23" s="12">
        <f t="shared" si="8"/>
        <v>-9.7110000000002401</v>
      </c>
      <c r="G23" s="12">
        <f t="shared" si="9"/>
        <v>3182.694</v>
      </c>
      <c r="H23" s="12">
        <f t="shared" si="10"/>
        <v>83.587363926231546</v>
      </c>
      <c r="I23" s="12">
        <f t="shared" si="11"/>
        <v>-9.7110000000002401</v>
      </c>
      <c r="J23" s="38">
        <f t="shared" si="1"/>
        <v>83.587363926231546</v>
      </c>
      <c r="K23" s="39">
        <f t="shared" si="2"/>
        <v>-9.7110000000002401</v>
      </c>
      <c r="L23" s="12">
        <v>83.6</v>
      </c>
      <c r="M23" s="12">
        <v>3182.0810000000001</v>
      </c>
      <c r="N23" s="12">
        <f t="shared" si="0"/>
        <v>0</v>
      </c>
      <c r="O23" s="12">
        <v>85</v>
      </c>
      <c r="P23" s="12">
        <f t="shared" si="3"/>
        <v>-9.7110000000002401</v>
      </c>
      <c r="T23" s="12">
        <f t="shared" si="4"/>
        <v>83.587363926231546</v>
      </c>
      <c r="U23" s="12">
        <f t="shared" si="5"/>
        <v>-9.7110000000002401</v>
      </c>
      <c r="W23" s="12">
        <v>83.587363926231546</v>
      </c>
      <c r="X23" s="12">
        <v>-9.7110000000002401</v>
      </c>
    </row>
    <row r="24" spans="1:24" x14ac:dyDescent="0.25">
      <c r="A24" s="12" t="s">
        <v>23</v>
      </c>
      <c r="B24" s="12" t="s">
        <v>121</v>
      </c>
      <c r="C24" s="12">
        <v>88.578771643499294</v>
      </c>
      <c r="D24" s="12">
        <f t="shared" si="6"/>
        <v>3182.0810000000001</v>
      </c>
      <c r="E24" s="12">
        <f t="shared" si="7"/>
        <v>88.578771643499294</v>
      </c>
      <c r="F24" s="12">
        <f t="shared" si="8"/>
        <v>-10.324000000000069</v>
      </c>
      <c r="G24" s="12">
        <f t="shared" si="9"/>
        <v>3182.0810000000001</v>
      </c>
      <c r="H24" s="12">
        <f t="shared" si="10"/>
        <v>88.578771643499294</v>
      </c>
      <c r="I24" s="12">
        <f t="shared" si="11"/>
        <v>-10.324000000000069</v>
      </c>
      <c r="J24" s="38">
        <f t="shared" si="1"/>
        <v>88.578771643499294</v>
      </c>
      <c r="K24" s="39">
        <f t="shared" si="2"/>
        <v>-10.324000000000069</v>
      </c>
      <c r="L24" s="12">
        <v>88.6</v>
      </c>
      <c r="M24" s="12">
        <v>3181.788</v>
      </c>
      <c r="N24" s="12">
        <f t="shared" si="0"/>
        <v>0</v>
      </c>
      <c r="O24" s="12">
        <v>90</v>
      </c>
      <c r="P24" s="12">
        <f t="shared" si="3"/>
        <v>-10.324000000000069</v>
      </c>
      <c r="Q24" s="12">
        <v>-7.5</v>
      </c>
      <c r="R24" s="12">
        <f>K24</f>
        <v>-10.324000000000069</v>
      </c>
      <c r="T24" s="12">
        <f t="shared" si="4"/>
        <v>88.578771643499294</v>
      </c>
      <c r="U24" s="12">
        <f t="shared" si="5"/>
        <v>-10.324000000000069</v>
      </c>
      <c r="W24" s="12">
        <v>88.578771643499294</v>
      </c>
      <c r="X24" s="12">
        <v>-10.324000000000069</v>
      </c>
    </row>
    <row r="25" spans="1:24" x14ac:dyDescent="0.25">
      <c r="A25" s="21" t="s">
        <v>24</v>
      </c>
      <c r="B25" s="12" t="s">
        <v>122</v>
      </c>
      <c r="C25" s="12">
        <v>93.578771543499215</v>
      </c>
      <c r="D25" s="12">
        <f t="shared" si="6"/>
        <v>3181.788</v>
      </c>
      <c r="E25" s="12">
        <f t="shared" si="7"/>
        <v>93.578771543499215</v>
      </c>
      <c r="F25" s="12">
        <f t="shared" si="8"/>
        <v>-10.617000000000189</v>
      </c>
      <c r="G25" s="12">
        <f t="shared" si="9"/>
        <v>3181.788</v>
      </c>
      <c r="H25" s="12">
        <f t="shared" si="10"/>
        <v>93.578771543499215</v>
      </c>
      <c r="I25" s="12">
        <f t="shared" si="11"/>
        <v>-10.617000000000189</v>
      </c>
      <c r="J25" s="23">
        <f t="shared" si="1"/>
        <v>93.578771543499215</v>
      </c>
      <c r="K25" s="24">
        <f t="shared" si="2"/>
        <v>-10.617000000000189</v>
      </c>
      <c r="L25" s="12">
        <v>93.6</v>
      </c>
      <c r="M25" s="12">
        <v>3181.7869999999998</v>
      </c>
      <c r="N25" s="12">
        <f t="shared" si="0"/>
        <v>0</v>
      </c>
      <c r="O25" s="12">
        <v>95</v>
      </c>
      <c r="P25" s="12">
        <f t="shared" si="3"/>
        <v>-10.617000000000189</v>
      </c>
      <c r="Q25" s="12">
        <v>0</v>
      </c>
      <c r="R25" s="12">
        <f t="shared" ref="R25:R49" si="12">K25</f>
        <v>-10.617000000000189</v>
      </c>
      <c r="T25" s="12">
        <f t="shared" si="4"/>
        <v>93.578771543499215</v>
      </c>
      <c r="U25" s="12">
        <f t="shared" si="5"/>
        <v>-10.617000000000189</v>
      </c>
      <c r="W25" s="12">
        <v>93.578771543499215</v>
      </c>
      <c r="X25" s="12">
        <v>-10.617000000000189</v>
      </c>
    </row>
    <row r="26" spans="1:24" x14ac:dyDescent="0.25">
      <c r="A26" s="12" t="s">
        <v>25</v>
      </c>
      <c r="B26" s="12" t="s">
        <v>123</v>
      </c>
      <c r="C26" s="12">
        <v>96.828386905353909</v>
      </c>
      <c r="D26" s="12">
        <f t="shared" si="6"/>
        <v>3181.7869999999998</v>
      </c>
      <c r="E26" s="12">
        <f t="shared" si="7"/>
        <v>96.828386905353909</v>
      </c>
      <c r="F26" s="12">
        <f t="shared" si="8"/>
        <v>-10.618000000000393</v>
      </c>
      <c r="G26" s="12">
        <f t="shared" si="9"/>
        <v>3181.7869999999998</v>
      </c>
      <c r="H26" s="12">
        <f t="shared" si="10"/>
        <v>96.828386905353909</v>
      </c>
      <c r="I26" s="12">
        <f t="shared" si="11"/>
        <v>-10.618000000000393</v>
      </c>
      <c r="J26" s="23">
        <f t="shared" si="1"/>
        <v>96.828386905353909</v>
      </c>
      <c r="K26" s="24">
        <f t="shared" si="2"/>
        <v>-10.618000000000393</v>
      </c>
      <c r="L26" s="12">
        <v>96.8</v>
      </c>
      <c r="M26" s="12">
        <v>3177.9870000000001</v>
      </c>
      <c r="N26" s="12">
        <f t="shared" si="0"/>
        <v>0</v>
      </c>
      <c r="O26" s="12">
        <v>100</v>
      </c>
      <c r="P26" s="12">
        <f t="shared" si="3"/>
        <v>-10.618000000000393</v>
      </c>
      <c r="Q26" s="12">
        <v>5</v>
      </c>
      <c r="R26" s="12">
        <f t="shared" si="12"/>
        <v>-10.618000000000393</v>
      </c>
      <c r="T26" s="12">
        <f t="shared" si="4"/>
        <v>96.828386905353909</v>
      </c>
      <c r="U26" s="12">
        <f t="shared" si="5"/>
        <v>-10.618000000000393</v>
      </c>
      <c r="W26" s="12">
        <v>96.828386905353909</v>
      </c>
      <c r="X26" s="12">
        <v>-10.618000000000393</v>
      </c>
    </row>
    <row r="27" spans="1:24" x14ac:dyDescent="0.25">
      <c r="A27" s="21" t="s">
        <v>26</v>
      </c>
      <c r="B27" s="12" t="s">
        <v>124</v>
      </c>
      <c r="C27" s="12">
        <v>101.82193113766016</v>
      </c>
      <c r="D27" s="12">
        <f t="shared" si="6"/>
        <v>3177.9870000000001</v>
      </c>
      <c r="E27" s="12">
        <f t="shared" si="7"/>
        <v>101.82193113766016</v>
      </c>
      <c r="F27" s="12">
        <f t="shared" si="8"/>
        <v>-14.41800000000012</v>
      </c>
      <c r="G27" s="12">
        <f t="shared" si="9"/>
        <v>3177.9870000000001</v>
      </c>
      <c r="H27" s="12">
        <f t="shared" si="10"/>
        <v>101.82193113766016</v>
      </c>
      <c r="I27" s="12">
        <f t="shared" si="11"/>
        <v>-14.41800000000012</v>
      </c>
      <c r="J27" s="23">
        <f t="shared" si="1"/>
        <v>101.82193113766016</v>
      </c>
      <c r="K27" s="24">
        <f t="shared" si="2"/>
        <v>-14.41800000000012</v>
      </c>
      <c r="L27" s="12">
        <v>101.8</v>
      </c>
      <c r="M27" s="12">
        <v>3178.241</v>
      </c>
      <c r="N27" s="12">
        <f t="shared" si="0"/>
        <v>0</v>
      </c>
      <c r="O27" s="12">
        <v>105</v>
      </c>
      <c r="P27" s="12">
        <f t="shared" si="3"/>
        <v>-14.41800000000012</v>
      </c>
      <c r="Q27" s="12">
        <v>10</v>
      </c>
      <c r="R27" s="12">
        <f t="shared" si="12"/>
        <v>-14.41800000000012</v>
      </c>
      <c r="T27" s="12">
        <f t="shared" si="4"/>
        <v>101.82193113766016</v>
      </c>
      <c r="U27" s="12">
        <v>-12.4</v>
      </c>
      <c r="W27" s="12">
        <v>101.82193113766016</v>
      </c>
      <c r="X27" s="12">
        <v>-12.4</v>
      </c>
    </row>
    <row r="28" spans="1:24" x14ac:dyDescent="0.25">
      <c r="A28" s="12" t="s">
        <v>27</v>
      </c>
      <c r="B28" s="12" t="s">
        <v>125</v>
      </c>
      <c r="C28" s="12">
        <v>106.77547532339236</v>
      </c>
      <c r="D28" s="12">
        <f t="shared" si="6"/>
        <v>3178.241</v>
      </c>
      <c r="E28" s="12">
        <f t="shared" si="7"/>
        <v>106.77547532339236</v>
      </c>
      <c r="F28" s="12">
        <f t="shared" si="8"/>
        <v>-14.164000000000215</v>
      </c>
      <c r="G28" s="12">
        <f t="shared" si="9"/>
        <v>3178.241</v>
      </c>
      <c r="H28" s="12">
        <f t="shared" si="10"/>
        <v>106.77547532339236</v>
      </c>
      <c r="I28" s="12">
        <f t="shared" si="11"/>
        <v>-14.164000000000215</v>
      </c>
      <c r="J28" s="23">
        <f t="shared" si="1"/>
        <v>106.77547532339236</v>
      </c>
      <c r="K28" s="24">
        <f t="shared" si="2"/>
        <v>-14.164000000000215</v>
      </c>
      <c r="L28" s="12">
        <v>106.8</v>
      </c>
      <c r="M28" s="12">
        <v>3177.5610000000001</v>
      </c>
      <c r="N28" s="12">
        <f t="shared" si="0"/>
        <v>0</v>
      </c>
      <c r="O28" s="12">
        <v>110</v>
      </c>
      <c r="P28" s="12">
        <f t="shared" si="3"/>
        <v>-14.164000000000215</v>
      </c>
      <c r="Q28" s="12">
        <v>15</v>
      </c>
      <c r="R28" s="12">
        <f t="shared" si="12"/>
        <v>-14.164000000000215</v>
      </c>
      <c r="T28" s="12">
        <f t="shared" si="4"/>
        <v>106.77547532339236</v>
      </c>
      <c r="U28" s="12">
        <f t="shared" si="5"/>
        <v>-14.164000000000215</v>
      </c>
      <c r="W28" s="12">
        <v>106.77547532339236</v>
      </c>
      <c r="X28" s="12">
        <v>-14.164000000000215</v>
      </c>
    </row>
    <row r="29" spans="1:24" x14ac:dyDescent="0.25">
      <c r="A29" s="21" t="s">
        <v>28</v>
      </c>
      <c r="B29" s="12" t="s">
        <v>126</v>
      </c>
      <c r="C29" s="12">
        <v>111.76855363241179</v>
      </c>
      <c r="D29" s="12">
        <f t="shared" si="6"/>
        <v>3177.5610000000001</v>
      </c>
      <c r="E29" s="12">
        <f t="shared" si="7"/>
        <v>111.76855363241179</v>
      </c>
      <c r="F29" s="12">
        <f t="shared" si="8"/>
        <v>-14.844000000000051</v>
      </c>
      <c r="G29" s="12">
        <f t="shared" si="9"/>
        <v>3177.5610000000001</v>
      </c>
      <c r="H29" s="12">
        <f t="shared" si="10"/>
        <v>111.76855363241179</v>
      </c>
      <c r="I29" s="12">
        <f t="shared" si="11"/>
        <v>-14.844000000000051</v>
      </c>
      <c r="J29" s="23">
        <f t="shared" si="1"/>
        <v>111.76855363241179</v>
      </c>
      <c r="K29" s="24">
        <f t="shared" si="2"/>
        <v>-14.844000000000051</v>
      </c>
      <c r="L29" s="12">
        <v>111.8</v>
      </c>
      <c r="M29" s="12">
        <v>3177.2979999999998</v>
      </c>
      <c r="N29" s="12">
        <f t="shared" si="0"/>
        <v>0</v>
      </c>
      <c r="O29" s="12">
        <v>115</v>
      </c>
      <c r="P29" s="12">
        <f t="shared" si="3"/>
        <v>-14.844000000000051</v>
      </c>
      <c r="Q29" s="12">
        <v>20</v>
      </c>
      <c r="R29" s="12">
        <f t="shared" si="12"/>
        <v>-14.844000000000051</v>
      </c>
      <c r="T29" s="12">
        <f t="shared" si="4"/>
        <v>111.76855363241179</v>
      </c>
      <c r="U29" s="12">
        <f t="shared" si="5"/>
        <v>-14.844000000000051</v>
      </c>
      <c r="W29" s="12">
        <v>111.76855363241179</v>
      </c>
      <c r="X29" s="12">
        <v>-14.844000000000051</v>
      </c>
    </row>
    <row r="30" spans="1:24" x14ac:dyDescent="0.25">
      <c r="A30" s="12" t="s">
        <v>29</v>
      </c>
      <c r="B30" s="12" t="s">
        <v>127</v>
      </c>
      <c r="C30" s="12">
        <v>116.68706956712231</v>
      </c>
      <c r="D30" s="12">
        <f t="shared" si="6"/>
        <v>3177.2979999999998</v>
      </c>
      <c r="E30" s="12">
        <f t="shared" si="7"/>
        <v>116.68706956712231</v>
      </c>
      <c r="F30" s="12">
        <f t="shared" si="8"/>
        <v>-15.107000000000426</v>
      </c>
      <c r="G30" s="12">
        <f t="shared" si="9"/>
        <v>3177.2979999999998</v>
      </c>
      <c r="H30" s="12">
        <f t="shared" si="10"/>
        <v>116.68706956712231</v>
      </c>
      <c r="I30" s="12">
        <f t="shared" si="11"/>
        <v>-15.107000000000426</v>
      </c>
      <c r="J30" s="23">
        <f t="shared" si="1"/>
        <v>116.68706956712231</v>
      </c>
      <c r="K30" s="24">
        <f t="shared" si="2"/>
        <v>-15.107000000000426</v>
      </c>
      <c r="L30" s="12">
        <v>119.3</v>
      </c>
      <c r="M30" s="12">
        <v>3176.3989999999999</v>
      </c>
      <c r="N30" s="12">
        <f t="shared" si="0"/>
        <v>0</v>
      </c>
      <c r="O30" s="12">
        <v>122.5</v>
      </c>
      <c r="P30" s="12">
        <f t="shared" si="3"/>
        <v>-15.107000000000426</v>
      </c>
      <c r="Q30" s="12">
        <v>25</v>
      </c>
      <c r="R30" s="12">
        <f t="shared" si="12"/>
        <v>-15.107000000000426</v>
      </c>
      <c r="T30" s="12">
        <f t="shared" si="4"/>
        <v>116.68706956712231</v>
      </c>
      <c r="U30" s="12">
        <f t="shared" si="5"/>
        <v>-15.107000000000426</v>
      </c>
      <c r="W30" s="12">
        <v>116.68706956712231</v>
      </c>
      <c r="X30" s="12">
        <v>-15.107000000000426</v>
      </c>
    </row>
    <row r="31" spans="1:24" x14ac:dyDescent="0.25">
      <c r="A31" s="21" t="s">
        <v>30</v>
      </c>
      <c r="B31" s="12" t="s">
        <v>128</v>
      </c>
      <c r="C31" s="12">
        <v>121.67529079317069</v>
      </c>
      <c r="D31" s="12">
        <f t="shared" si="6"/>
        <v>3176.3989999999999</v>
      </c>
      <c r="E31" s="12">
        <f t="shared" si="7"/>
        <v>121.67529079317069</v>
      </c>
      <c r="F31" s="12">
        <f t="shared" si="8"/>
        <v>-16.006000000000313</v>
      </c>
      <c r="G31" s="12">
        <f t="shared" si="9"/>
        <v>3176.3989999999999</v>
      </c>
      <c r="H31" s="12">
        <f t="shared" si="10"/>
        <v>121.67529079317069</v>
      </c>
      <c r="I31" s="12">
        <f t="shared" si="11"/>
        <v>-16.006000000000313</v>
      </c>
      <c r="J31" s="23">
        <f t="shared" si="1"/>
        <v>121.67529079317069</v>
      </c>
      <c r="K31" s="24">
        <f t="shared" si="2"/>
        <v>-16.006000000000313</v>
      </c>
      <c r="L31" s="12">
        <v>123.1</v>
      </c>
      <c r="M31" s="12">
        <v>3176.56</v>
      </c>
      <c r="N31" s="12">
        <f t="shared" si="0"/>
        <v>0</v>
      </c>
      <c r="Q31" s="12">
        <v>30</v>
      </c>
      <c r="R31" s="12">
        <f t="shared" si="12"/>
        <v>-16.006000000000313</v>
      </c>
      <c r="T31" s="12">
        <f t="shared" si="4"/>
        <v>121.67529079317069</v>
      </c>
      <c r="U31" s="12">
        <f t="shared" si="5"/>
        <v>-16.006000000000313</v>
      </c>
      <c r="W31" s="12">
        <v>121.67529079317069</v>
      </c>
      <c r="X31" s="12">
        <v>-16.006000000000313</v>
      </c>
    </row>
    <row r="32" spans="1:24" x14ac:dyDescent="0.25">
      <c r="A32" s="12" t="s">
        <v>31</v>
      </c>
      <c r="B32" s="12" t="s">
        <v>129</v>
      </c>
      <c r="C32" s="12">
        <v>126.65277248575376</v>
      </c>
      <c r="D32" s="12">
        <f t="shared" si="6"/>
        <v>3176.56</v>
      </c>
      <c r="E32" s="12">
        <f t="shared" si="7"/>
        <v>126.65277248575376</v>
      </c>
      <c r="F32" s="12">
        <f t="shared" si="8"/>
        <v>-15.845000000000255</v>
      </c>
      <c r="G32" s="12">
        <f t="shared" si="9"/>
        <v>3176.56</v>
      </c>
      <c r="H32" s="12">
        <f t="shared" si="10"/>
        <v>126.65277248575376</v>
      </c>
      <c r="I32" s="12">
        <f t="shared" si="11"/>
        <v>-15.845000000000255</v>
      </c>
      <c r="J32" s="23">
        <f t="shared" si="1"/>
        <v>126.65277248575376</v>
      </c>
      <c r="K32" s="24">
        <f t="shared" si="2"/>
        <v>-15.845000000000255</v>
      </c>
      <c r="L32" s="12">
        <v>128.1</v>
      </c>
      <c r="M32" s="12">
        <v>3175.5819999999999</v>
      </c>
      <c r="N32" s="12">
        <f t="shared" si="0"/>
        <v>0</v>
      </c>
      <c r="Q32" s="12">
        <v>35</v>
      </c>
      <c r="R32" s="12">
        <f t="shared" si="12"/>
        <v>-15.845000000000255</v>
      </c>
      <c r="T32" s="12">
        <f t="shared" si="4"/>
        <v>126.65277248575376</v>
      </c>
      <c r="U32" s="12">
        <f t="shared" si="5"/>
        <v>-15.845000000000255</v>
      </c>
      <c r="W32" s="12">
        <v>126.65277248575376</v>
      </c>
      <c r="X32" s="12">
        <v>-15.845000000000255</v>
      </c>
    </row>
    <row r="33" spans="1:24" x14ac:dyDescent="0.25">
      <c r="A33" s="21" t="s">
        <v>32</v>
      </c>
      <c r="B33" s="12" t="s">
        <v>130</v>
      </c>
      <c r="C33" s="12">
        <v>131.63543683326907</v>
      </c>
      <c r="D33" s="12">
        <f t="shared" si="6"/>
        <v>3175.5819999999999</v>
      </c>
      <c r="E33" s="12">
        <f t="shared" si="7"/>
        <v>131.63543683326907</v>
      </c>
      <c r="F33" s="12">
        <f t="shared" si="8"/>
        <v>-16.82300000000032</v>
      </c>
      <c r="G33" s="12">
        <f t="shared" si="9"/>
        <v>3175.5819999999999</v>
      </c>
      <c r="H33" s="12">
        <f t="shared" si="10"/>
        <v>131.63543683326907</v>
      </c>
      <c r="I33" s="12">
        <f t="shared" si="11"/>
        <v>-16.82300000000032</v>
      </c>
      <c r="J33" s="23">
        <f t="shared" si="1"/>
        <v>131.63543683326907</v>
      </c>
      <c r="K33" s="24">
        <f t="shared" si="2"/>
        <v>-16.82300000000032</v>
      </c>
      <c r="L33" s="12">
        <v>133</v>
      </c>
      <c r="M33" s="12">
        <v>3175.1660000000002</v>
      </c>
      <c r="N33" s="12">
        <f t="shared" si="0"/>
        <v>0</v>
      </c>
      <c r="Q33" s="12">
        <v>40</v>
      </c>
      <c r="R33" s="12">
        <f t="shared" si="12"/>
        <v>-16.82300000000032</v>
      </c>
      <c r="T33" s="12">
        <f t="shared" si="4"/>
        <v>131.63543683326907</v>
      </c>
      <c r="U33" s="12">
        <f t="shared" si="5"/>
        <v>-16.82300000000032</v>
      </c>
      <c r="W33" s="12">
        <v>131.63543683326907</v>
      </c>
      <c r="X33" s="12">
        <v>-16.82300000000032</v>
      </c>
    </row>
    <row r="34" spans="1:24" x14ac:dyDescent="0.25">
      <c r="A34" s="12" t="s">
        <v>33</v>
      </c>
      <c r="B34" s="12" t="s">
        <v>131</v>
      </c>
      <c r="C34" s="12">
        <v>136.12689439179053</v>
      </c>
      <c r="D34" s="12">
        <f t="shared" si="6"/>
        <v>3175.1660000000002</v>
      </c>
      <c r="E34" s="12">
        <f t="shared" si="7"/>
        <v>136.12689439179053</v>
      </c>
      <c r="F34" s="12">
        <f t="shared" si="8"/>
        <v>-17.239000000000033</v>
      </c>
      <c r="G34" s="12">
        <f t="shared" si="9"/>
        <v>3175.1660000000002</v>
      </c>
      <c r="H34" s="12">
        <f t="shared" si="10"/>
        <v>136.12689439179053</v>
      </c>
      <c r="I34" s="12">
        <f t="shared" si="11"/>
        <v>-17.239000000000033</v>
      </c>
      <c r="J34" s="23">
        <f t="shared" si="1"/>
        <v>136.12689439179053</v>
      </c>
      <c r="K34" s="24">
        <f t="shared" si="2"/>
        <v>-17.239000000000033</v>
      </c>
      <c r="L34" s="12">
        <v>137.5</v>
      </c>
      <c r="M34" s="12">
        <v>3172.9690000000001</v>
      </c>
      <c r="N34" s="12">
        <f t="shared" si="0"/>
        <v>0</v>
      </c>
      <c r="Q34" s="12">
        <v>45</v>
      </c>
      <c r="R34" s="12">
        <f t="shared" si="12"/>
        <v>-17.239000000000033</v>
      </c>
      <c r="T34" s="12">
        <f t="shared" si="4"/>
        <v>136.12689439179053</v>
      </c>
      <c r="U34" s="12">
        <f t="shared" si="5"/>
        <v>-17.239000000000033</v>
      </c>
      <c r="W34" s="12">
        <v>136.12689439179053</v>
      </c>
      <c r="X34" s="12">
        <v>-17.239000000000033</v>
      </c>
    </row>
    <row r="35" spans="1:24" x14ac:dyDescent="0.25">
      <c r="A35" s="21" t="s">
        <v>34</v>
      </c>
      <c r="B35" s="12" t="s">
        <v>132</v>
      </c>
      <c r="C35" s="12">
        <v>141.12433373609474</v>
      </c>
      <c r="D35" s="12">
        <f t="shared" si="6"/>
        <v>3172.9690000000001</v>
      </c>
      <c r="E35" s="12">
        <f t="shared" si="7"/>
        <v>141.12433373609474</v>
      </c>
      <c r="F35" s="12">
        <f t="shared" si="8"/>
        <v>-19.436000000000149</v>
      </c>
      <c r="G35" s="12">
        <f t="shared" si="9"/>
        <v>3172.9690000000001</v>
      </c>
      <c r="H35" s="12">
        <f t="shared" si="10"/>
        <v>141.12433373609474</v>
      </c>
      <c r="I35" s="12">
        <f t="shared" si="11"/>
        <v>-19.436000000000149</v>
      </c>
      <c r="J35" s="23">
        <f t="shared" si="1"/>
        <v>141.12433373609474</v>
      </c>
      <c r="K35" s="24">
        <f t="shared" si="2"/>
        <v>-19.436000000000149</v>
      </c>
      <c r="L35" s="12">
        <v>142.5</v>
      </c>
      <c r="M35" s="12">
        <v>3173.1289999999999</v>
      </c>
      <c r="N35" s="12">
        <f t="shared" si="0"/>
        <v>0</v>
      </c>
      <c r="Q35" s="12">
        <v>50</v>
      </c>
      <c r="R35" s="12">
        <f t="shared" si="12"/>
        <v>-19.436000000000149</v>
      </c>
      <c r="T35" s="12">
        <f t="shared" si="4"/>
        <v>141.12433373609474</v>
      </c>
      <c r="U35" s="12">
        <f>-18.4</f>
        <v>-18.399999999999999</v>
      </c>
      <c r="W35" s="12">
        <v>141.12433373609474</v>
      </c>
      <c r="X35" s="12">
        <v>-18.399999999999999</v>
      </c>
    </row>
    <row r="36" spans="1:24" x14ac:dyDescent="0.25">
      <c r="A36" s="12" t="s">
        <v>35</v>
      </c>
      <c r="B36" s="12" t="s">
        <v>133</v>
      </c>
      <c r="C36" s="12">
        <v>146.06216767416913</v>
      </c>
      <c r="D36" s="12">
        <f t="shared" si="6"/>
        <v>3173.1289999999999</v>
      </c>
      <c r="E36" s="12">
        <f t="shared" si="7"/>
        <v>146.06216767416913</v>
      </c>
      <c r="F36" s="12">
        <f t="shared" si="8"/>
        <v>-19.276000000000295</v>
      </c>
      <c r="G36" s="12">
        <f t="shared" si="9"/>
        <v>3173.1289999999999</v>
      </c>
      <c r="H36" s="12">
        <f t="shared" si="10"/>
        <v>146.06216767416913</v>
      </c>
      <c r="I36" s="12">
        <f t="shared" si="11"/>
        <v>-19.276000000000295</v>
      </c>
      <c r="J36" s="23">
        <f t="shared" si="1"/>
        <v>146.06216767416913</v>
      </c>
      <c r="K36" s="24">
        <f t="shared" si="2"/>
        <v>-19.276000000000295</v>
      </c>
      <c r="L36" s="12">
        <v>147.5</v>
      </c>
      <c r="M36" s="12">
        <v>3173.915</v>
      </c>
      <c r="N36" s="12">
        <f t="shared" si="0"/>
        <v>0</v>
      </c>
      <c r="Q36" s="12">
        <v>55</v>
      </c>
      <c r="R36" s="12">
        <f t="shared" si="12"/>
        <v>-19.276000000000295</v>
      </c>
      <c r="T36" s="12">
        <f t="shared" si="4"/>
        <v>146.06216767416913</v>
      </c>
      <c r="U36" s="12">
        <f t="shared" si="5"/>
        <v>-19.276000000000295</v>
      </c>
      <c r="W36" s="12">
        <v>146.06216767416913</v>
      </c>
      <c r="X36" s="12">
        <v>-19.276000000000295</v>
      </c>
    </row>
    <row r="37" spans="1:24" x14ac:dyDescent="0.25">
      <c r="A37" s="21" t="s">
        <v>36</v>
      </c>
      <c r="B37" s="12" t="s">
        <v>134</v>
      </c>
      <c r="C37" s="12">
        <v>151.03014261371936</v>
      </c>
      <c r="D37" s="12">
        <f t="shared" si="6"/>
        <v>3173.915</v>
      </c>
      <c r="E37" s="12">
        <f t="shared" si="7"/>
        <v>151.03014261371936</v>
      </c>
      <c r="F37" s="12">
        <f t="shared" si="8"/>
        <v>-18.490000000000236</v>
      </c>
      <c r="G37" s="12">
        <f t="shared" si="9"/>
        <v>3173.915</v>
      </c>
      <c r="H37" s="12">
        <f t="shared" si="10"/>
        <v>151.03014261371936</v>
      </c>
      <c r="I37" s="12">
        <f t="shared" si="11"/>
        <v>-18.490000000000236</v>
      </c>
      <c r="J37" s="23">
        <f t="shared" si="1"/>
        <v>151.03014261371936</v>
      </c>
      <c r="K37" s="24">
        <f t="shared" si="2"/>
        <v>-18.490000000000236</v>
      </c>
      <c r="L37" s="12">
        <v>152.4</v>
      </c>
      <c r="M37" s="12">
        <v>3173.35</v>
      </c>
      <c r="N37" s="12">
        <f t="shared" si="0"/>
        <v>0</v>
      </c>
      <c r="Q37" s="12">
        <v>60</v>
      </c>
      <c r="R37" s="12">
        <f t="shared" si="12"/>
        <v>-18.490000000000236</v>
      </c>
      <c r="T37" s="12">
        <f t="shared" si="4"/>
        <v>151.03014261371936</v>
      </c>
      <c r="U37" s="12">
        <f t="shared" si="5"/>
        <v>-18.490000000000236</v>
      </c>
      <c r="W37" s="12">
        <v>151.03014261371936</v>
      </c>
      <c r="X37" s="12">
        <v>-18.490000000000236</v>
      </c>
    </row>
    <row r="38" spans="1:24" x14ac:dyDescent="0.25">
      <c r="A38" s="12" t="s">
        <v>37</v>
      </c>
      <c r="B38" s="12" t="s">
        <v>135</v>
      </c>
      <c r="C38" s="12">
        <v>155.91255144543356</v>
      </c>
      <c r="D38" s="12">
        <f t="shared" si="6"/>
        <v>3173.35</v>
      </c>
      <c r="E38" s="12">
        <f t="shared" si="7"/>
        <v>155.91255144543356</v>
      </c>
      <c r="F38" s="12">
        <f t="shared" si="8"/>
        <v>-19.055000000000291</v>
      </c>
      <c r="G38" s="12">
        <f t="shared" si="9"/>
        <v>3173.35</v>
      </c>
      <c r="H38" s="12">
        <f t="shared" si="10"/>
        <v>155.91255144543356</v>
      </c>
      <c r="I38" s="12">
        <f t="shared" si="11"/>
        <v>-19.055000000000291</v>
      </c>
      <c r="J38" s="23">
        <f t="shared" si="1"/>
        <v>155.91255144543356</v>
      </c>
      <c r="K38" s="24">
        <f t="shared" si="2"/>
        <v>-19.055000000000291</v>
      </c>
      <c r="L38" s="12">
        <v>157.30000000000001</v>
      </c>
      <c r="M38" s="12">
        <v>3172.2719999999999</v>
      </c>
      <c r="N38" s="12">
        <f t="shared" si="0"/>
        <v>0</v>
      </c>
      <c r="Q38" s="12">
        <v>65</v>
      </c>
      <c r="R38" s="12">
        <f t="shared" si="12"/>
        <v>-19.055000000000291</v>
      </c>
      <c r="T38" s="12">
        <f t="shared" si="4"/>
        <v>155.91255144543356</v>
      </c>
      <c r="U38" s="12">
        <f t="shared" si="5"/>
        <v>-19.055000000000291</v>
      </c>
      <c r="W38" s="12">
        <v>155.91255144543356</v>
      </c>
      <c r="X38" s="12">
        <v>-19.055000000000291</v>
      </c>
    </row>
    <row r="39" spans="1:24" x14ac:dyDescent="0.25">
      <c r="A39" s="21" t="s">
        <v>38</v>
      </c>
      <c r="B39" s="12" t="s">
        <v>136</v>
      </c>
      <c r="C39" s="12">
        <v>160.46028890487423</v>
      </c>
      <c r="D39" s="12">
        <f t="shared" si="6"/>
        <v>3172.2719999999999</v>
      </c>
      <c r="E39" s="12">
        <f t="shared" si="7"/>
        <v>160.46028890487423</v>
      </c>
      <c r="F39" s="12">
        <f t="shared" si="8"/>
        <v>-20.133000000000266</v>
      </c>
      <c r="G39" s="12">
        <f t="shared" si="9"/>
        <v>3172.2719999999999</v>
      </c>
      <c r="H39" s="12">
        <f t="shared" si="10"/>
        <v>160.46028890487423</v>
      </c>
      <c r="I39" s="12">
        <f t="shared" si="11"/>
        <v>-20.133000000000266</v>
      </c>
      <c r="J39" s="23">
        <f t="shared" si="1"/>
        <v>160.46028890487423</v>
      </c>
      <c r="K39" s="24">
        <f t="shared" si="2"/>
        <v>-20.133000000000266</v>
      </c>
      <c r="L39" s="12">
        <v>161.9</v>
      </c>
      <c r="M39" s="12">
        <v>3174.35</v>
      </c>
      <c r="N39" s="12">
        <f t="shared" si="0"/>
        <v>0</v>
      </c>
      <c r="Q39" s="12">
        <v>70</v>
      </c>
      <c r="R39" s="12">
        <f t="shared" si="12"/>
        <v>-20.133000000000266</v>
      </c>
      <c r="T39" s="12">
        <f t="shared" si="4"/>
        <v>160.46028890487423</v>
      </c>
      <c r="U39" s="12">
        <v>-19.899999999999999</v>
      </c>
      <c r="W39" s="12">
        <v>160.46028890487423</v>
      </c>
      <c r="X39" s="12">
        <v>-19.899999999999999</v>
      </c>
    </row>
    <row r="40" spans="1:24" x14ac:dyDescent="0.25">
      <c r="A40" s="12" t="s">
        <v>39</v>
      </c>
      <c r="B40" s="12" t="s">
        <v>137</v>
      </c>
      <c r="C40" s="12">
        <v>165.34203439189014</v>
      </c>
      <c r="D40" s="12">
        <f t="shared" si="6"/>
        <v>3174.35</v>
      </c>
      <c r="E40" s="12">
        <f t="shared" si="7"/>
        <v>165.34203439189014</v>
      </c>
      <c r="F40" s="12">
        <f t="shared" si="8"/>
        <v>-18.055000000000291</v>
      </c>
      <c r="G40" s="12">
        <f t="shared" si="9"/>
        <v>3174.35</v>
      </c>
      <c r="H40" s="12">
        <f t="shared" si="10"/>
        <v>165.34203439189014</v>
      </c>
      <c r="I40" s="12">
        <f t="shared" si="11"/>
        <v>-18.055000000000291</v>
      </c>
      <c r="J40" s="23">
        <f t="shared" si="1"/>
        <v>165.34203439189014</v>
      </c>
      <c r="K40" s="24">
        <f t="shared" si="2"/>
        <v>-18.055000000000291</v>
      </c>
      <c r="L40" s="12">
        <v>166.8</v>
      </c>
      <c r="M40" s="12">
        <v>3173.2689999999998</v>
      </c>
      <c r="N40" s="12">
        <f t="shared" si="0"/>
        <v>0</v>
      </c>
      <c r="Q40" s="12">
        <v>75</v>
      </c>
      <c r="R40" s="12">
        <f t="shared" si="12"/>
        <v>-18.055000000000291</v>
      </c>
      <c r="T40" s="12">
        <f t="shared" si="4"/>
        <v>165.34203439189014</v>
      </c>
      <c r="U40" s="12">
        <v>-19.100000000000001</v>
      </c>
      <c r="W40" s="12">
        <v>165.34203439189014</v>
      </c>
      <c r="X40" s="12">
        <v>-19.100000000000001</v>
      </c>
    </row>
    <row r="41" spans="1:24" x14ac:dyDescent="0.25">
      <c r="A41" s="21" t="s">
        <v>40</v>
      </c>
      <c r="B41" s="12" t="s">
        <v>138</v>
      </c>
      <c r="C41" s="12">
        <v>170.29307428266043</v>
      </c>
      <c r="D41" s="12">
        <f t="shared" si="6"/>
        <v>3173.2689999999998</v>
      </c>
      <c r="E41" s="12">
        <f t="shared" si="7"/>
        <v>170.29307428266043</v>
      </c>
      <c r="F41" s="12">
        <f t="shared" si="8"/>
        <v>-19.136000000000422</v>
      </c>
      <c r="G41" s="12">
        <f t="shared" si="9"/>
        <v>3173.2689999999998</v>
      </c>
      <c r="H41" s="12">
        <f t="shared" si="10"/>
        <v>170.29307428266043</v>
      </c>
      <c r="I41" s="12">
        <f t="shared" si="11"/>
        <v>-19.136000000000422</v>
      </c>
      <c r="J41" s="23">
        <f t="shared" si="1"/>
        <v>170.29307428266043</v>
      </c>
      <c r="K41" s="24">
        <f t="shared" si="2"/>
        <v>-19.136000000000422</v>
      </c>
      <c r="L41" s="12">
        <v>171.7</v>
      </c>
      <c r="M41" s="12">
        <v>3173.9670000000001</v>
      </c>
      <c r="N41" s="12">
        <f t="shared" si="0"/>
        <v>0</v>
      </c>
      <c r="Q41" s="12">
        <v>80</v>
      </c>
      <c r="R41" s="12">
        <f t="shared" si="12"/>
        <v>-19.136000000000422</v>
      </c>
      <c r="T41" s="12">
        <f t="shared" si="4"/>
        <v>170.29307428266043</v>
      </c>
      <c r="U41" s="12">
        <f t="shared" si="5"/>
        <v>-19.136000000000422</v>
      </c>
      <c r="W41" s="12">
        <v>170.29307428266043</v>
      </c>
      <c r="X41" s="12">
        <v>-19.136000000000422</v>
      </c>
    </row>
    <row r="42" spans="1:24" x14ac:dyDescent="0.25">
      <c r="A42" s="12" t="s">
        <v>41</v>
      </c>
      <c r="B42" s="12" t="s">
        <v>139</v>
      </c>
      <c r="C42" s="12">
        <v>174.86863370201013</v>
      </c>
      <c r="D42" s="12">
        <f>M41</f>
        <v>3173.9670000000001</v>
      </c>
      <c r="E42" s="12">
        <f t="shared" si="7"/>
        <v>174.86863370201013</v>
      </c>
      <c r="F42" s="12">
        <f t="shared" si="8"/>
        <v>-18.438000000000102</v>
      </c>
      <c r="G42" s="12">
        <f t="shared" si="9"/>
        <v>3173.9670000000001</v>
      </c>
      <c r="H42" s="12">
        <f t="shared" si="10"/>
        <v>174.86863370201013</v>
      </c>
      <c r="I42" s="12">
        <f t="shared" si="11"/>
        <v>-18.438000000000102</v>
      </c>
      <c r="J42" s="23">
        <f t="shared" si="1"/>
        <v>174.86863370201013</v>
      </c>
      <c r="K42" s="24">
        <f t="shared" si="2"/>
        <v>-18.438000000000102</v>
      </c>
      <c r="L42" s="12">
        <v>176.3</v>
      </c>
      <c r="M42" s="12">
        <v>3171.951</v>
      </c>
      <c r="N42" s="12">
        <f t="shared" si="0"/>
        <v>0</v>
      </c>
      <c r="Q42" s="12">
        <v>85</v>
      </c>
      <c r="R42" s="12">
        <f t="shared" si="12"/>
        <v>-18.438000000000102</v>
      </c>
      <c r="T42" s="12">
        <f t="shared" si="4"/>
        <v>174.86863370201013</v>
      </c>
      <c r="U42" s="12">
        <v>-18.899999999999999</v>
      </c>
      <c r="W42" s="12">
        <v>174.86863370201013</v>
      </c>
      <c r="X42" s="12">
        <v>-18.899999999999999</v>
      </c>
    </row>
    <row r="43" spans="1:24" x14ac:dyDescent="0.25">
      <c r="A43" s="21" t="s">
        <v>42</v>
      </c>
      <c r="B43" s="12" t="s">
        <v>140</v>
      </c>
      <c r="C43" s="12">
        <v>179.85187752506363</v>
      </c>
      <c r="D43" s="12">
        <f t="shared" si="6"/>
        <v>3171.951</v>
      </c>
      <c r="E43" s="12">
        <f t="shared" si="7"/>
        <v>179.85187752506363</v>
      </c>
      <c r="F43" s="12">
        <f t="shared" si="8"/>
        <v>-20.454000000000178</v>
      </c>
      <c r="G43" s="12">
        <f t="shared" si="9"/>
        <v>3171.951</v>
      </c>
      <c r="H43" s="12">
        <f t="shared" si="10"/>
        <v>179.85187752506363</v>
      </c>
      <c r="I43" s="12">
        <f t="shared" si="11"/>
        <v>-20.454000000000178</v>
      </c>
      <c r="J43" s="23">
        <f t="shared" si="1"/>
        <v>179.85187752506363</v>
      </c>
      <c r="K43" s="24">
        <f t="shared" si="2"/>
        <v>-20.454000000000178</v>
      </c>
      <c r="L43" s="12">
        <v>181.3</v>
      </c>
      <c r="M43" s="12">
        <v>3172.36</v>
      </c>
      <c r="N43" s="12">
        <f t="shared" si="0"/>
        <v>0</v>
      </c>
      <c r="Q43" s="12">
        <v>90</v>
      </c>
      <c r="R43" s="12">
        <f t="shared" si="12"/>
        <v>-20.454000000000178</v>
      </c>
      <c r="T43" s="12">
        <f t="shared" si="4"/>
        <v>179.85187752506363</v>
      </c>
      <c r="U43" s="12">
        <f t="shared" si="5"/>
        <v>-20.454000000000178</v>
      </c>
      <c r="W43" s="12">
        <v>179.85187752506363</v>
      </c>
      <c r="X43" s="12">
        <v>-20.454000000000178</v>
      </c>
    </row>
    <row r="44" spans="1:24" x14ac:dyDescent="0.25">
      <c r="A44" s="12" t="s">
        <v>43</v>
      </c>
      <c r="B44" s="12" t="s">
        <v>141</v>
      </c>
      <c r="C44" s="12">
        <v>184.85085732098196</v>
      </c>
      <c r="D44" s="12">
        <f t="shared" si="6"/>
        <v>3172.36</v>
      </c>
      <c r="E44" s="12">
        <f t="shared" si="7"/>
        <v>184.85085732098196</v>
      </c>
      <c r="F44" s="12">
        <f t="shared" si="8"/>
        <v>-20.045000000000073</v>
      </c>
      <c r="G44" s="12">
        <f t="shared" si="9"/>
        <v>3172.36</v>
      </c>
      <c r="H44" s="12">
        <f t="shared" si="10"/>
        <v>184.85085732098196</v>
      </c>
      <c r="I44" s="12">
        <f t="shared" si="11"/>
        <v>-20.045000000000073</v>
      </c>
      <c r="J44" s="23">
        <f t="shared" si="1"/>
        <v>184.85085732098196</v>
      </c>
      <c r="K44" s="24">
        <f t="shared" si="2"/>
        <v>-20.045000000000073</v>
      </c>
      <c r="L44" s="12">
        <v>186.3</v>
      </c>
      <c r="M44" s="12">
        <v>3172.259</v>
      </c>
      <c r="N44" s="12">
        <f t="shared" si="0"/>
        <v>0</v>
      </c>
      <c r="Q44" s="12">
        <v>95</v>
      </c>
      <c r="R44" s="12">
        <f t="shared" si="12"/>
        <v>-20.045000000000073</v>
      </c>
      <c r="T44" s="12">
        <f t="shared" si="4"/>
        <v>184.85085732098196</v>
      </c>
      <c r="U44" s="12">
        <f t="shared" si="5"/>
        <v>-20.045000000000073</v>
      </c>
      <c r="W44" s="12">
        <v>184.85085732098196</v>
      </c>
      <c r="X44" s="12">
        <v>-20.045000000000073</v>
      </c>
    </row>
    <row r="45" spans="1:24" x14ac:dyDescent="0.25">
      <c r="A45" s="21" t="s">
        <v>44</v>
      </c>
      <c r="B45" s="12" t="s">
        <v>142</v>
      </c>
      <c r="C45" s="12">
        <v>189.75997119214026</v>
      </c>
      <c r="D45" s="12">
        <f t="shared" si="6"/>
        <v>3172.259</v>
      </c>
      <c r="E45" s="12">
        <f t="shared" si="7"/>
        <v>189.75997119214026</v>
      </c>
      <c r="F45" s="12">
        <f t="shared" si="8"/>
        <v>-20.146000000000186</v>
      </c>
      <c r="G45" s="12">
        <f t="shared" si="9"/>
        <v>3172.259</v>
      </c>
      <c r="H45" s="12">
        <f t="shared" si="10"/>
        <v>189.75997119214026</v>
      </c>
      <c r="I45" s="12">
        <f t="shared" si="11"/>
        <v>-20.146000000000186</v>
      </c>
      <c r="J45" s="23">
        <f t="shared" si="1"/>
        <v>189.75997119214026</v>
      </c>
      <c r="K45" s="24">
        <f t="shared" si="2"/>
        <v>-20.146000000000186</v>
      </c>
      <c r="L45" s="12">
        <v>191.2</v>
      </c>
      <c r="M45" s="12">
        <v>3171.31</v>
      </c>
      <c r="N45" s="12">
        <f t="shared" si="0"/>
        <v>0</v>
      </c>
      <c r="Q45" s="12">
        <v>100</v>
      </c>
      <c r="R45" s="12">
        <f t="shared" si="12"/>
        <v>-20.146000000000186</v>
      </c>
      <c r="T45" s="12">
        <f t="shared" si="4"/>
        <v>189.75997119214026</v>
      </c>
      <c r="U45" s="12">
        <f t="shared" si="5"/>
        <v>-20.146000000000186</v>
      </c>
      <c r="W45" s="12">
        <v>189.75997119214026</v>
      </c>
      <c r="X45" s="12">
        <v>-20.146000000000186</v>
      </c>
    </row>
    <row r="46" spans="1:24" x14ac:dyDescent="0.25">
      <c r="A46" s="12" t="s">
        <v>45</v>
      </c>
      <c r="B46" s="12" t="s">
        <v>143</v>
      </c>
      <c r="C46" s="12">
        <v>194.4043329351573</v>
      </c>
      <c r="D46" s="12">
        <f t="shared" si="6"/>
        <v>3171.31</v>
      </c>
      <c r="E46" s="12">
        <f t="shared" si="7"/>
        <v>194.4043329351573</v>
      </c>
      <c r="F46" s="12">
        <f t="shared" si="8"/>
        <v>-21.095000000000255</v>
      </c>
      <c r="G46" s="12">
        <f t="shared" si="9"/>
        <v>3171.31</v>
      </c>
      <c r="H46" s="12">
        <f t="shared" si="10"/>
        <v>194.4043329351573</v>
      </c>
      <c r="I46" s="12">
        <f t="shared" si="11"/>
        <v>-21.095000000000255</v>
      </c>
      <c r="J46" s="23">
        <f t="shared" si="1"/>
        <v>194.4043329351573</v>
      </c>
      <c r="K46" s="24">
        <f t="shared" si="2"/>
        <v>-21.095000000000255</v>
      </c>
      <c r="L46" s="12">
        <v>195.8</v>
      </c>
      <c r="M46" s="12">
        <v>3173.1619999999998</v>
      </c>
      <c r="N46" s="12">
        <f t="shared" si="0"/>
        <v>0</v>
      </c>
      <c r="Q46" s="12">
        <v>105</v>
      </c>
      <c r="R46" s="12">
        <f t="shared" si="12"/>
        <v>-21.095000000000255</v>
      </c>
      <c r="T46" s="12">
        <f t="shared" si="4"/>
        <v>194.4043329351573</v>
      </c>
      <c r="U46" s="12">
        <f t="shared" si="5"/>
        <v>-21.095000000000255</v>
      </c>
      <c r="W46" s="12">
        <v>194.4043329351573</v>
      </c>
      <c r="X46" s="12">
        <v>-21.095000000000255</v>
      </c>
    </row>
    <row r="47" spans="1:24" x14ac:dyDescent="0.25">
      <c r="A47" s="21" t="s">
        <v>46</v>
      </c>
      <c r="B47" s="12" t="s">
        <v>144</v>
      </c>
      <c r="C47" s="12">
        <v>199.12633081741001</v>
      </c>
      <c r="D47" s="12">
        <f t="shared" si="6"/>
        <v>3173.1619999999998</v>
      </c>
      <c r="E47" s="12">
        <f t="shared" si="7"/>
        <v>199.12633081741001</v>
      </c>
      <c r="F47" s="12">
        <f t="shared" si="8"/>
        <v>-19.243000000000393</v>
      </c>
      <c r="G47" s="12">
        <f t="shared" si="9"/>
        <v>3173.1619999999998</v>
      </c>
      <c r="H47" s="12">
        <f t="shared" si="10"/>
        <v>199.12633081741001</v>
      </c>
      <c r="I47" s="12">
        <f t="shared" si="11"/>
        <v>-19.243000000000393</v>
      </c>
      <c r="J47" s="23">
        <f t="shared" si="1"/>
        <v>199.12633081741001</v>
      </c>
      <c r="K47" s="24">
        <f t="shared" si="2"/>
        <v>-19.243000000000393</v>
      </c>
      <c r="L47" s="12">
        <v>200.5</v>
      </c>
      <c r="M47" s="12">
        <v>3174.806</v>
      </c>
      <c r="N47" s="12">
        <f t="shared" si="0"/>
        <v>0</v>
      </c>
      <c r="Q47" s="12">
        <v>110</v>
      </c>
      <c r="R47" s="12">
        <f t="shared" si="12"/>
        <v>-19.243000000000393</v>
      </c>
      <c r="T47" s="12">
        <f t="shared" si="4"/>
        <v>199.12633081741001</v>
      </c>
      <c r="U47" s="12">
        <f t="shared" si="5"/>
        <v>-19.243000000000393</v>
      </c>
      <c r="W47" s="12">
        <v>199.12633081741001</v>
      </c>
      <c r="X47" s="12">
        <v>-19.243000000000393</v>
      </c>
    </row>
    <row r="48" spans="1:24" ht="15.75" thickBot="1" x14ac:dyDescent="0.3">
      <c r="A48" s="12" t="s">
        <v>47</v>
      </c>
      <c r="B48" s="12" t="s">
        <v>145</v>
      </c>
      <c r="C48" s="12">
        <v>204.1036216467669</v>
      </c>
      <c r="D48" s="12">
        <f t="shared" si="6"/>
        <v>3174.806</v>
      </c>
      <c r="E48" s="12">
        <f t="shared" si="7"/>
        <v>204.1036216467669</v>
      </c>
      <c r="F48" s="12">
        <f t="shared" si="8"/>
        <v>-17.59900000000016</v>
      </c>
      <c r="G48" s="12">
        <f t="shared" si="9"/>
        <v>3174.806</v>
      </c>
      <c r="H48" s="12">
        <f t="shared" si="10"/>
        <v>204.1036216467669</v>
      </c>
      <c r="I48" s="12">
        <f t="shared" si="11"/>
        <v>-17.59900000000016</v>
      </c>
      <c r="J48" s="40">
        <v>212.5</v>
      </c>
      <c r="K48" s="41">
        <f t="shared" si="2"/>
        <v>-17.59900000000016</v>
      </c>
      <c r="L48" s="12">
        <v>212.5</v>
      </c>
      <c r="M48" s="12">
        <v>3174.33</v>
      </c>
      <c r="N48" s="12">
        <f t="shared" si="0"/>
        <v>0</v>
      </c>
      <c r="Q48" s="12">
        <v>115</v>
      </c>
      <c r="R48" s="12">
        <f t="shared" si="12"/>
        <v>-17.59900000000016</v>
      </c>
      <c r="T48" s="12">
        <f>T47+7.5</f>
        <v>206.62633081741001</v>
      </c>
      <c r="U48" s="12">
        <v>-18.8</v>
      </c>
      <c r="W48" s="12">
        <f>E48</f>
        <v>204.1036216467669</v>
      </c>
      <c r="X48" s="12">
        <f>F48</f>
        <v>-17.59900000000016</v>
      </c>
    </row>
    <row r="49" spans="1:24" x14ac:dyDescent="0.25">
      <c r="A49" s="21" t="s">
        <v>48</v>
      </c>
      <c r="B49" s="12" t="s">
        <v>146</v>
      </c>
      <c r="C49" s="12">
        <v>208.93567866215903</v>
      </c>
      <c r="D49" s="12">
        <f>M48</f>
        <v>3174.33</v>
      </c>
      <c r="E49" s="12">
        <f t="shared" si="7"/>
        <v>208.93567866215903</v>
      </c>
      <c r="F49" s="12">
        <f t="shared" si="8"/>
        <v>-18.075000000000273</v>
      </c>
      <c r="G49" s="12">
        <f t="shared" si="9"/>
        <v>3174.33</v>
      </c>
      <c r="H49" s="12">
        <f t="shared" si="10"/>
        <v>208.93567866215903</v>
      </c>
      <c r="I49" s="12">
        <f t="shared" si="11"/>
        <v>-18.075000000000273</v>
      </c>
      <c r="J49" s="18"/>
      <c r="K49" s="18"/>
      <c r="Q49" s="12">
        <v>122.5</v>
      </c>
      <c r="R49" s="12">
        <f t="shared" si="12"/>
        <v>0</v>
      </c>
      <c r="W49" s="12">
        <f t="shared" ref="W49:W112" si="13">E49</f>
        <v>208.93567866215903</v>
      </c>
      <c r="X49" s="12">
        <f t="shared" ref="X49:X112" si="14">F49</f>
        <v>-18.075000000000273</v>
      </c>
    </row>
    <row r="50" spans="1:24" x14ac:dyDescent="0.25">
      <c r="A50" s="12" t="s">
        <v>49</v>
      </c>
      <c r="B50" s="12" t="s">
        <v>175</v>
      </c>
      <c r="C50" s="12">
        <v>213.91091644542121</v>
      </c>
      <c r="D50" s="12">
        <v>3173.5419999999999</v>
      </c>
      <c r="E50" s="12">
        <f t="shared" si="7"/>
        <v>213.91091644542121</v>
      </c>
      <c r="F50" s="12">
        <f t="shared" si="8"/>
        <v>-18.863000000000284</v>
      </c>
      <c r="G50" s="12">
        <f t="shared" si="9"/>
        <v>3173.5419999999999</v>
      </c>
      <c r="H50" s="12">
        <f t="shared" si="10"/>
        <v>213.91091644542121</v>
      </c>
      <c r="I50" s="12">
        <f t="shared" si="11"/>
        <v>-18.863000000000284</v>
      </c>
      <c r="J50" s="18"/>
      <c r="K50" s="18"/>
      <c r="W50" s="12">
        <f t="shared" si="13"/>
        <v>213.91091644542121</v>
      </c>
      <c r="X50" s="12">
        <f t="shared" si="14"/>
        <v>-18.863000000000284</v>
      </c>
    </row>
    <row r="51" spans="1:24" x14ac:dyDescent="0.25">
      <c r="A51" s="21" t="s">
        <v>50</v>
      </c>
      <c r="C51" s="12">
        <v>218.90034276514984</v>
      </c>
      <c r="D51" s="12">
        <v>3173.8670000000002</v>
      </c>
      <c r="E51" s="12">
        <f t="shared" si="7"/>
        <v>218.90034276514984</v>
      </c>
      <c r="F51" s="12">
        <f t="shared" si="8"/>
        <v>-18.538000000000011</v>
      </c>
      <c r="G51" s="12">
        <f t="shared" si="9"/>
        <v>3173.8670000000002</v>
      </c>
      <c r="J51" s="18"/>
      <c r="K51" s="18"/>
      <c r="W51" s="12">
        <f t="shared" si="13"/>
        <v>218.90034276514984</v>
      </c>
      <c r="X51" s="12">
        <f t="shared" si="14"/>
        <v>-18.538000000000011</v>
      </c>
    </row>
    <row r="52" spans="1:24" x14ac:dyDescent="0.25">
      <c r="A52" s="12" t="s">
        <v>51</v>
      </c>
      <c r="C52" s="12">
        <v>223.89527769966094</v>
      </c>
      <c r="D52" s="12">
        <v>3173.6419999999998</v>
      </c>
      <c r="E52" s="12">
        <f t="shared" si="7"/>
        <v>223.89527769966094</v>
      </c>
      <c r="F52" s="12">
        <f t="shared" si="8"/>
        <v>-18.763000000000375</v>
      </c>
      <c r="G52" s="12">
        <f t="shared" si="9"/>
        <v>3173.6419999999998</v>
      </c>
      <c r="J52" s="18"/>
      <c r="K52" s="18"/>
      <c r="W52" s="12">
        <f t="shared" si="13"/>
        <v>223.89527769966094</v>
      </c>
      <c r="X52" s="12">
        <f t="shared" si="14"/>
        <v>-18.763000000000375</v>
      </c>
    </row>
    <row r="53" spans="1:24" x14ac:dyDescent="0.25">
      <c r="A53" s="21" t="s">
        <v>52</v>
      </c>
      <c r="C53" s="12">
        <v>228.71706896432579</v>
      </c>
      <c r="D53" s="12">
        <v>3174.9650000000001</v>
      </c>
      <c r="E53" s="12">
        <f t="shared" si="7"/>
        <v>228.71706896432579</v>
      </c>
      <c r="F53" s="12">
        <f t="shared" si="8"/>
        <v>-17.440000000000055</v>
      </c>
      <c r="G53" s="12">
        <f t="shared" si="9"/>
        <v>3174.9650000000001</v>
      </c>
      <c r="J53" s="18"/>
      <c r="K53" s="18"/>
      <c r="W53" s="12">
        <f t="shared" si="13"/>
        <v>228.71706896432579</v>
      </c>
      <c r="X53" s="12">
        <f t="shared" si="14"/>
        <v>-17.440000000000055</v>
      </c>
    </row>
    <row r="54" spans="1:24" x14ac:dyDescent="0.25">
      <c r="A54" s="12" t="s">
        <v>53</v>
      </c>
      <c r="C54" s="12">
        <v>233.71553112783158</v>
      </c>
      <c r="D54" s="12">
        <v>3175.0889999999999</v>
      </c>
      <c r="E54" s="12">
        <f t="shared" si="7"/>
        <v>233.71553112783158</v>
      </c>
      <c r="F54" s="12">
        <f t="shared" si="8"/>
        <v>-17.316000000000258</v>
      </c>
      <c r="G54" s="12">
        <f t="shared" si="9"/>
        <v>3175.0889999999999</v>
      </c>
      <c r="J54" s="18"/>
      <c r="K54" s="18"/>
      <c r="W54" s="12">
        <f t="shared" si="13"/>
        <v>233.71553112783158</v>
      </c>
      <c r="X54" s="12">
        <f t="shared" si="14"/>
        <v>-17.316000000000258</v>
      </c>
    </row>
    <row r="55" spans="1:24" x14ac:dyDescent="0.25">
      <c r="A55" s="21" t="s">
        <v>54</v>
      </c>
      <c r="C55" s="12">
        <v>238.71489108686637</v>
      </c>
      <c r="D55" s="12">
        <v>3175.1689999999999</v>
      </c>
      <c r="E55" s="12">
        <f t="shared" si="7"/>
        <v>238.71489108686637</v>
      </c>
      <c r="F55" s="12">
        <f t="shared" si="8"/>
        <v>-17.236000000000331</v>
      </c>
      <c r="G55" s="12">
        <f t="shared" si="9"/>
        <v>3175.1689999999999</v>
      </c>
      <c r="J55" s="18"/>
      <c r="K55" s="18"/>
      <c r="W55" s="12">
        <f t="shared" si="13"/>
        <v>238.71489108686637</v>
      </c>
      <c r="X55" s="12">
        <f t="shared" si="14"/>
        <v>-17.236000000000331</v>
      </c>
    </row>
    <row r="56" spans="1:24" x14ac:dyDescent="0.25">
      <c r="A56" s="12" t="s">
        <v>55</v>
      </c>
      <c r="C56" s="12">
        <v>243.3265476222125</v>
      </c>
      <c r="D56" s="12">
        <v>3173.2370000000001</v>
      </c>
      <c r="E56" s="12">
        <f t="shared" si="7"/>
        <v>243.3265476222125</v>
      </c>
      <c r="F56" s="12">
        <f t="shared" si="8"/>
        <v>-19.16800000000012</v>
      </c>
      <c r="G56" s="12">
        <f t="shared" si="9"/>
        <v>3173.2370000000001</v>
      </c>
      <c r="J56" s="18"/>
      <c r="K56" s="18"/>
      <c r="W56" s="12">
        <f t="shared" si="13"/>
        <v>243.3265476222125</v>
      </c>
      <c r="X56" s="12">
        <f t="shared" si="14"/>
        <v>-19.16800000000012</v>
      </c>
    </row>
    <row r="57" spans="1:24" x14ac:dyDescent="0.25">
      <c r="A57" s="21" t="s">
        <v>56</v>
      </c>
      <c r="C57" s="12">
        <v>248.23371778433238</v>
      </c>
      <c r="D57" s="12">
        <v>3172.2779999999998</v>
      </c>
      <c r="E57" s="12">
        <f t="shared" si="7"/>
        <v>248.23371778433238</v>
      </c>
      <c r="F57" s="12">
        <f t="shared" si="8"/>
        <v>-20.127000000000407</v>
      </c>
      <c r="G57" s="12">
        <f t="shared" si="9"/>
        <v>3172.2779999999998</v>
      </c>
      <c r="J57" s="18"/>
      <c r="K57" s="18"/>
      <c r="W57" s="12">
        <f t="shared" si="13"/>
        <v>248.23371778433238</v>
      </c>
      <c r="X57" s="12">
        <f t="shared" si="14"/>
        <v>-20.127000000000407</v>
      </c>
    </row>
    <row r="58" spans="1:24" x14ac:dyDescent="0.25">
      <c r="A58" s="12" t="s">
        <v>57</v>
      </c>
      <c r="C58" s="12">
        <v>253.16701323463735</v>
      </c>
      <c r="D58" s="12">
        <v>3171.4639999999999</v>
      </c>
      <c r="E58" s="12">
        <f t="shared" si="7"/>
        <v>253.16701323463735</v>
      </c>
      <c r="F58" s="12">
        <f t="shared" si="8"/>
        <v>-20.941000000000258</v>
      </c>
      <c r="G58" s="12">
        <f t="shared" si="9"/>
        <v>3171.4639999999999</v>
      </c>
      <c r="J58" s="18"/>
      <c r="K58" s="18"/>
      <c r="W58" s="12">
        <f t="shared" si="13"/>
        <v>253.16701323463735</v>
      </c>
      <c r="X58" s="12">
        <f t="shared" si="14"/>
        <v>-20.941000000000258</v>
      </c>
    </row>
    <row r="59" spans="1:24" x14ac:dyDescent="0.25">
      <c r="A59" s="21" t="s">
        <v>58</v>
      </c>
      <c r="C59" s="12">
        <v>258.11328849992537</v>
      </c>
      <c r="D59" s="12">
        <v>3170.7330000000002</v>
      </c>
      <c r="E59" s="12">
        <f t="shared" si="7"/>
        <v>258.11328849992537</v>
      </c>
      <c r="F59" s="12">
        <f t="shared" si="8"/>
        <v>-21.672000000000025</v>
      </c>
      <c r="G59" s="12">
        <f t="shared" si="9"/>
        <v>3170.7330000000002</v>
      </c>
      <c r="J59" s="18"/>
      <c r="K59" s="18"/>
      <c r="W59" s="12">
        <f t="shared" si="13"/>
        <v>258.11328849992537</v>
      </c>
      <c r="X59" s="12">
        <f t="shared" si="14"/>
        <v>-21.672000000000025</v>
      </c>
    </row>
    <row r="60" spans="1:24" x14ac:dyDescent="0.25">
      <c r="A60" s="12" t="s">
        <v>59</v>
      </c>
      <c r="C60" s="12">
        <v>263.10657589401762</v>
      </c>
      <c r="D60" s="12">
        <v>3170.9920000000002</v>
      </c>
      <c r="E60" s="12">
        <f t="shared" si="7"/>
        <v>263.10657589401762</v>
      </c>
      <c r="F60" s="12">
        <f t="shared" si="8"/>
        <v>-21.413000000000011</v>
      </c>
      <c r="G60" s="12">
        <f t="shared" si="9"/>
        <v>3170.9920000000002</v>
      </c>
      <c r="J60" s="18"/>
      <c r="K60" s="18"/>
      <c r="W60" s="12">
        <f t="shared" si="13"/>
        <v>263.10657589401762</v>
      </c>
      <c r="X60" s="12">
        <f t="shared" si="14"/>
        <v>-21.413000000000011</v>
      </c>
    </row>
    <row r="61" spans="1:24" x14ac:dyDescent="0.25">
      <c r="A61" s="21" t="s">
        <v>60</v>
      </c>
      <c r="C61" s="12">
        <v>267.80906449049508</v>
      </c>
      <c r="D61" s="12">
        <v>3169.2930000000001</v>
      </c>
      <c r="E61" s="12">
        <f t="shared" si="7"/>
        <v>267.80906449049508</v>
      </c>
      <c r="F61" s="12">
        <f t="shared" si="8"/>
        <v>-23.11200000000008</v>
      </c>
      <c r="G61" s="12">
        <f t="shared" si="9"/>
        <v>3169.2930000000001</v>
      </c>
      <c r="J61" s="18"/>
      <c r="K61" s="18"/>
      <c r="W61" s="12">
        <f t="shared" si="13"/>
        <v>267.80906449049508</v>
      </c>
      <c r="X61" s="12">
        <f t="shared" si="14"/>
        <v>-23.11200000000008</v>
      </c>
    </row>
    <row r="62" spans="1:24" x14ac:dyDescent="0.25">
      <c r="A62" s="12" t="s">
        <v>61</v>
      </c>
      <c r="C62" s="12">
        <v>271.81206136783567</v>
      </c>
      <c r="D62" s="12">
        <v>3166.297</v>
      </c>
      <c r="E62" s="12">
        <f t="shared" si="7"/>
        <v>271.81206136783567</v>
      </c>
      <c r="F62" s="12">
        <f t="shared" si="8"/>
        <v>-26.108000000000175</v>
      </c>
      <c r="G62" s="12">
        <f t="shared" si="9"/>
        <v>3166.297</v>
      </c>
      <c r="J62" s="18"/>
      <c r="K62" s="18"/>
      <c r="W62" s="12">
        <f t="shared" si="13"/>
        <v>271.81206136783567</v>
      </c>
      <c r="X62" s="12">
        <f t="shared" si="14"/>
        <v>-26.108000000000175</v>
      </c>
    </row>
    <row r="63" spans="1:24" x14ac:dyDescent="0.25">
      <c r="A63" s="21" t="s">
        <v>62</v>
      </c>
      <c r="C63" s="12">
        <v>276.68569563806977</v>
      </c>
      <c r="D63" s="12">
        <v>3165.18</v>
      </c>
      <c r="E63" s="12">
        <f t="shared" si="7"/>
        <v>276.68569563806977</v>
      </c>
      <c r="F63" s="12">
        <f t="shared" si="8"/>
        <v>-27.225000000000364</v>
      </c>
      <c r="G63" s="12">
        <f t="shared" si="9"/>
        <v>3165.18</v>
      </c>
      <c r="J63" s="18"/>
      <c r="K63" s="18"/>
      <c r="W63" s="12">
        <f t="shared" si="13"/>
        <v>276.68569563806977</v>
      </c>
      <c r="X63" s="12">
        <f t="shared" si="14"/>
        <v>-27.225000000000364</v>
      </c>
    </row>
    <row r="64" spans="1:24" x14ac:dyDescent="0.25">
      <c r="A64" s="12" t="s">
        <v>63</v>
      </c>
      <c r="C64" s="12">
        <v>281.35506990021668</v>
      </c>
      <c r="D64" s="12">
        <v>3163.3919999999998</v>
      </c>
      <c r="E64" s="12">
        <f t="shared" si="7"/>
        <v>281.35506990021668</v>
      </c>
      <c r="F64" s="12">
        <f t="shared" si="8"/>
        <v>-29.013000000000375</v>
      </c>
      <c r="G64" s="12">
        <f t="shared" si="9"/>
        <v>3163.3919999999998</v>
      </c>
      <c r="J64" s="18"/>
      <c r="K64" s="18"/>
      <c r="W64" s="12">
        <f t="shared" si="13"/>
        <v>281.35506990021668</v>
      </c>
      <c r="X64" s="12">
        <f t="shared" si="14"/>
        <v>-29.013000000000375</v>
      </c>
    </row>
    <row r="65" spans="1:24" x14ac:dyDescent="0.25">
      <c r="A65" s="21" t="s">
        <v>64</v>
      </c>
      <c r="C65" s="12">
        <v>284.702636777816</v>
      </c>
      <c r="D65" s="12">
        <v>3159.6779999999999</v>
      </c>
      <c r="E65" s="12">
        <f t="shared" si="7"/>
        <v>284.702636777816</v>
      </c>
      <c r="F65" s="12">
        <f t="shared" si="8"/>
        <v>-32.727000000000317</v>
      </c>
      <c r="G65" s="12">
        <f t="shared" si="9"/>
        <v>3159.6779999999999</v>
      </c>
      <c r="J65" s="18"/>
      <c r="K65" s="18"/>
      <c r="W65" s="12">
        <f t="shared" si="13"/>
        <v>284.702636777816</v>
      </c>
      <c r="X65" s="12">
        <f t="shared" si="14"/>
        <v>-32.727000000000317</v>
      </c>
    </row>
    <row r="66" spans="1:24" x14ac:dyDescent="0.25">
      <c r="A66" s="12" t="s">
        <v>65</v>
      </c>
      <c r="C66" s="12">
        <v>289.02755515854869</v>
      </c>
      <c r="D66" s="12">
        <v>3157.1689999999999</v>
      </c>
      <c r="E66" s="12">
        <f t="shared" si="7"/>
        <v>289.02755515854869</v>
      </c>
      <c r="F66" s="12">
        <f t="shared" si="8"/>
        <v>-35.236000000000331</v>
      </c>
      <c r="G66" s="12">
        <f t="shared" si="9"/>
        <v>3157.1689999999999</v>
      </c>
      <c r="J66" s="18"/>
      <c r="K66" s="18"/>
      <c r="W66" s="12">
        <f t="shared" si="13"/>
        <v>289.02755515854869</v>
      </c>
      <c r="X66" s="12">
        <f t="shared" si="14"/>
        <v>-35.236000000000331</v>
      </c>
    </row>
    <row r="67" spans="1:24" x14ac:dyDescent="0.25">
      <c r="A67" s="21" t="s">
        <v>66</v>
      </c>
      <c r="C67" s="12">
        <v>293.57346276869657</v>
      </c>
      <c r="D67" s="12">
        <v>3155.087</v>
      </c>
      <c r="E67" s="12">
        <f t="shared" si="7"/>
        <v>293.57346276869657</v>
      </c>
      <c r="F67" s="12">
        <f t="shared" si="8"/>
        <v>-37.318000000000211</v>
      </c>
      <c r="G67" s="12">
        <f t="shared" si="9"/>
        <v>3155.087</v>
      </c>
      <c r="J67" s="18"/>
      <c r="K67" s="18"/>
      <c r="W67" s="12">
        <f t="shared" si="13"/>
        <v>293.57346276869657</v>
      </c>
      <c r="X67" s="12">
        <f t="shared" si="14"/>
        <v>-37.318000000000211</v>
      </c>
    </row>
    <row r="68" spans="1:24" x14ac:dyDescent="0.25">
      <c r="A68" s="12" t="s">
        <v>67</v>
      </c>
      <c r="C68" s="12">
        <v>298.38011139325818</v>
      </c>
      <c r="D68" s="12">
        <v>3153.71</v>
      </c>
      <c r="E68" s="12">
        <f t="shared" si="7"/>
        <v>298.38011139325818</v>
      </c>
      <c r="F68" s="12">
        <f t="shared" si="8"/>
        <v>-38.695000000000164</v>
      </c>
      <c r="G68" s="12">
        <f t="shared" si="9"/>
        <v>3153.71</v>
      </c>
      <c r="J68" s="18"/>
      <c r="K68" s="18"/>
      <c r="W68" s="12">
        <f t="shared" si="13"/>
        <v>298.38011139325818</v>
      </c>
      <c r="X68" s="12">
        <f t="shared" si="14"/>
        <v>-38.695000000000164</v>
      </c>
    </row>
    <row r="69" spans="1:24" x14ac:dyDescent="0.25">
      <c r="A69" s="21" t="s">
        <v>68</v>
      </c>
      <c r="C69" s="12">
        <v>303.37192509170495</v>
      </c>
      <c r="D69" s="12">
        <v>3153.424</v>
      </c>
      <c r="E69" s="12">
        <f t="shared" si="7"/>
        <v>303.37192509170495</v>
      </c>
      <c r="F69" s="12">
        <f t="shared" si="8"/>
        <v>-38.981000000000222</v>
      </c>
      <c r="G69" s="12">
        <f t="shared" si="9"/>
        <v>3153.424</v>
      </c>
      <c r="J69" s="18"/>
      <c r="K69" s="18"/>
      <c r="W69" s="12">
        <f t="shared" si="13"/>
        <v>303.37192509170495</v>
      </c>
      <c r="X69" s="12">
        <f t="shared" si="14"/>
        <v>-38.981000000000222</v>
      </c>
    </row>
    <row r="70" spans="1:24" x14ac:dyDescent="0.25">
      <c r="A70" s="12" t="s">
        <v>69</v>
      </c>
      <c r="C70" s="12">
        <v>308.36808201478084</v>
      </c>
      <c r="D70" s="12">
        <v>3153.62</v>
      </c>
      <c r="E70" s="12">
        <f t="shared" si="7"/>
        <v>308.36808201478084</v>
      </c>
      <c r="F70" s="12">
        <f t="shared" si="8"/>
        <v>-38.785000000000309</v>
      </c>
      <c r="G70" s="12">
        <f t="shared" si="9"/>
        <v>3153.62</v>
      </c>
      <c r="J70" s="18"/>
      <c r="K70" s="18"/>
      <c r="W70" s="12">
        <f t="shared" si="13"/>
        <v>308.36808201478084</v>
      </c>
      <c r="X70" s="12">
        <f t="shared" si="14"/>
        <v>-38.785000000000309</v>
      </c>
    </row>
    <row r="71" spans="1:24" x14ac:dyDescent="0.25">
      <c r="A71" s="21" t="s">
        <v>70</v>
      </c>
      <c r="C71" s="12">
        <v>313.24938419760042</v>
      </c>
      <c r="D71" s="12">
        <v>3152.5369999999998</v>
      </c>
      <c r="E71" s="12">
        <f t="shared" ref="E71:E125" si="15">C71</f>
        <v>313.24938419760042</v>
      </c>
      <c r="F71" s="12">
        <f t="shared" ref="F71:F125" si="16">D71-MAX($D$6:$D$125)</f>
        <v>-39.868000000000393</v>
      </c>
      <c r="G71" s="12">
        <f t="shared" ref="G71:G125" si="17">D71</f>
        <v>3152.5369999999998</v>
      </c>
      <c r="J71" s="18"/>
      <c r="K71" s="18"/>
      <c r="W71" s="12">
        <f t="shared" si="13"/>
        <v>313.24938419760042</v>
      </c>
      <c r="X71" s="12">
        <f t="shared" si="14"/>
        <v>-39.868000000000393</v>
      </c>
    </row>
    <row r="72" spans="1:24" x14ac:dyDescent="0.25">
      <c r="A72" s="12" t="s">
        <v>71</v>
      </c>
      <c r="C72" s="12">
        <v>318.16022933871409</v>
      </c>
      <c r="D72" s="12">
        <v>3151.5970000000002</v>
      </c>
      <c r="E72" s="12">
        <f t="shared" si="15"/>
        <v>318.16022933871409</v>
      </c>
      <c r="F72" s="12">
        <f t="shared" si="16"/>
        <v>-40.807999999999993</v>
      </c>
      <c r="G72" s="12">
        <f t="shared" si="17"/>
        <v>3151.5970000000002</v>
      </c>
      <c r="J72" s="18"/>
      <c r="K72" s="18"/>
      <c r="W72" s="12">
        <f t="shared" si="13"/>
        <v>318.16022933871409</v>
      </c>
      <c r="X72" s="12">
        <f t="shared" si="14"/>
        <v>-40.807999999999993</v>
      </c>
    </row>
    <row r="73" spans="1:24" x14ac:dyDescent="0.25">
      <c r="A73" s="21" t="s">
        <v>72</v>
      </c>
      <c r="C73" s="12">
        <v>323.13586507698915</v>
      </c>
      <c r="D73" s="12">
        <v>3151.1039999999998</v>
      </c>
      <c r="E73" s="12">
        <f t="shared" si="15"/>
        <v>323.13586507698915</v>
      </c>
      <c r="F73" s="12">
        <f t="shared" si="16"/>
        <v>-41.301000000000386</v>
      </c>
      <c r="G73" s="12">
        <f t="shared" si="17"/>
        <v>3151.1039999999998</v>
      </c>
      <c r="J73" s="18"/>
      <c r="K73" s="18"/>
      <c r="W73" s="12">
        <f t="shared" si="13"/>
        <v>323.13586507698915</v>
      </c>
      <c r="X73" s="12">
        <f t="shared" si="14"/>
        <v>-41.301000000000386</v>
      </c>
    </row>
    <row r="74" spans="1:24" x14ac:dyDescent="0.25">
      <c r="A74" s="12" t="s">
        <v>73</v>
      </c>
      <c r="C74" s="12">
        <v>328.07745955650694</v>
      </c>
      <c r="D74" s="12">
        <v>3150.3420000000001</v>
      </c>
      <c r="E74" s="12">
        <f t="shared" si="15"/>
        <v>328.07745955650694</v>
      </c>
      <c r="F74" s="12">
        <f t="shared" si="16"/>
        <v>-42.063000000000102</v>
      </c>
      <c r="G74" s="12">
        <f t="shared" si="17"/>
        <v>3150.3420000000001</v>
      </c>
      <c r="J74" s="18"/>
      <c r="K74" s="18"/>
      <c r="W74" s="12">
        <f t="shared" si="13"/>
        <v>328.07745955650694</v>
      </c>
      <c r="X74" s="12">
        <f t="shared" si="14"/>
        <v>-42.063000000000102</v>
      </c>
    </row>
    <row r="75" spans="1:24" x14ac:dyDescent="0.25">
      <c r="A75" s="21" t="s">
        <v>74</v>
      </c>
      <c r="C75" s="12">
        <v>332.07295251733149</v>
      </c>
      <c r="D75" s="12">
        <v>3147.3359999999998</v>
      </c>
      <c r="E75" s="12">
        <f t="shared" si="15"/>
        <v>332.07295251733149</v>
      </c>
      <c r="F75" s="12">
        <f t="shared" si="16"/>
        <v>-45.069000000000415</v>
      </c>
      <c r="G75" s="12">
        <f t="shared" si="17"/>
        <v>3147.3359999999998</v>
      </c>
      <c r="J75" s="18"/>
      <c r="K75" s="18"/>
      <c r="W75" s="12">
        <f t="shared" si="13"/>
        <v>332.07295251733149</v>
      </c>
      <c r="X75" s="12">
        <f t="shared" si="14"/>
        <v>-45.069000000000415</v>
      </c>
    </row>
    <row r="76" spans="1:24" x14ac:dyDescent="0.25">
      <c r="A76" s="12" t="s">
        <v>75</v>
      </c>
      <c r="C76" s="12">
        <v>336.22886396970875</v>
      </c>
      <c r="D76" s="12">
        <v>3144.556</v>
      </c>
      <c r="E76" s="12">
        <f t="shared" si="15"/>
        <v>336.22886396970875</v>
      </c>
      <c r="F76" s="12">
        <f t="shared" si="16"/>
        <v>-47.84900000000016</v>
      </c>
      <c r="G76" s="12">
        <f t="shared" si="17"/>
        <v>3144.556</v>
      </c>
      <c r="J76" s="18"/>
      <c r="K76" s="18"/>
      <c r="W76" s="12">
        <f t="shared" si="13"/>
        <v>336.22886396970875</v>
      </c>
      <c r="X76" s="12">
        <f t="shared" si="14"/>
        <v>-47.84900000000016</v>
      </c>
    </row>
    <row r="77" spans="1:24" x14ac:dyDescent="0.25">
      <c r="A77" s="21" t="s">
        <v>76</v>
      </c>
      <c r="C77" s="12">
        <v>341.14142328232788</v>
      </c>
      <c r="D77" s="12">
        <v>3143.625</v>
      </c>
      <c r="E77" s="12">
        <f t="shared" si="15"/>
        <v>341.14142328232788</v>
      </c>
      <c r="F77" s="12">
        <f t="shared" si="16"/>
        <v>-48.7800000000002</v>
      </c>
      <c r="G77" s="12">
        <f t="shared" si="17"/>
        <v>3143.625</v>
      </c>
      <c r="J77" s="18"/>
      <c r="K77" s="18"/>
      <c r="W77" s="12">
        <f t="shared" si="13"/>
        <v>341.14142328232788</v>
      </c>
      <c r="X77" s="12">
        <f t="shared" si="14"/>
        <v>-48.7800000000002</v>
      </c>
    </row>
    <row r="78" spans="1:24" x14ac:dyDescent="0.25">
      <c r="A78" s="12" t="s">
        <v>77</v>
      </c>
      <c r="C78" s="12">
        <v>346.13306419489368</v>
      </c>
      <c r="D78" s="12">
        <v>3143.3359999999998</v>
      </c>
      <c r="E78" s="12">
        <f t="shared" si="15"/>
        <v>346.13306419489368</v>
      </c>
      <c r="F78" s="12">
        <f t="shared" si="16"/>
        <v>-49.069000000000415</v>
      </c>
      <c r="G78" s="12">
        <f t="shared" si="17"/>
        <v>3143.3359999999998</v>
      </c>
      <c r="J78" s="18"/>
      <c r="K78" s="18"/>
      <c r="W78" s="12">
        <f t="shared" si="13"/>
        <v>346.13306419489368</v>
      </c>
      <c r="X78" s="12">
        <f t="shared" si="14"/>
        <v>-49.069000000000415</v>
      </c>
    </row>
    <row r="79" spans="1:24" x14ac:dyDescent="0.25">
      <c r="A79" s="21" t="s">
        <v>78</v>
      </c>
      <c r="C79" s="12">
        <v>350.85541011614941</v>
      </c>
      <c r="D79" s="12">
        <v>3141.6930000000002</v>
      </c>
      <c r="E79" s="12">
        <f t="shared" si="15"/>
        <v>350.85541011614941</v>
      </c>
      <c r="F79" s="12">
        <f t="shared" si="16"/>
        <v>-50.711999999999989</v>
      </c>
      <c r="G79" s="12">
        <f t="shared" si="17"/>
        <v>3141.6930000000002</v>
      </c>
      <c r="J79" s="18"/>
      <c r="K79" s="18"/>
      <c r="W79" s="12">
        <f t="shared" si="13"/>
        <v>350.85541011614941</v>
      </c>
      <c r="X79" s="12">
        <f t="shared" si="14"/>
        <v>-50.711999999999989</v>
      </c>
    </row>
    <row r="80" spans="1:24" x14ac:dyDescent="0.25">
      <c r="A80" s="12" t="s">
        <v>79</v>
      </c>
      <c r="C80" s="12">
        <v>355.70529093942741</v>
      </c>
      <c r="D80" s="12">
        <v>3140.4769999999999</v>
      </c>
      <c r="E80" s="12">
        <f t="shared" si="15"/>
        <v>355.70529093942741</v>
      </c>
      <c r="F80" s="12">
        <f t="shared" si="16"/>
        <v>-51.928000000000338</v>
      </c>
      <c r="G80" s="12">
        <f t="shared" si="17"/>
        <v>3140.4769999999999</v>
      </c>
      <c r="J80" s="18"/>
      <c r="K80" s="18"/>
      <c r="W80" s="12">
        <f t="shared" si="13"/>
        <v>355.70529093942741</v>
      </c>
      <c r="X80" s="12">
        <f t="shared" si="14"/>
        <v>-51.928000000000338</v>
      </c>
    </row>
    <row r="81" spans="1:24" x14ac:dyDescent="0.25">
      <c r="A81" s="21" t="s">
        <v>80</v>
      </c>
      <c r="C81" s="12">
        <v>360.54366659660832</v>
      </c>
      <c r="D81" s="12">
        <v>3139.2159999999999</v>
      </c>
      <c r="E81" s="12">
        <f t="shared" si="15"/>
        <v>360.54366659660832</v>
      </c>
      <c r="F81" s="12">
        <f t="shared" si="16"/>
        <v>-53.189000000000306</v>
      </c>
      <c r="G81" s="12">
        <f t="shared" si="17"/>
        <v>3139.2159999999999</v>
      </c>
      <c r="J81" s="18"/>
      <c r="K81" s="18"/>
      <c r="W81" s="12">
        <f t="shared" si="13"/>
        <v>360.54366659660832</v>
      </c>
      <c r="X81" s="12">
        <f t="shared" si="14"/>
        <v>-53.189000000000306</v>
      </c>
    </row>
    <row r="82" spans="1:24" x14ac:dyDescent="0.25">
      <c r="A82" s="12" t="s">
        <v>81</v>
      </c>
      <c r="C82" s="12">
        <v>365.06113834527491</v>
      </c>
      <c r="D82" s="12">
        <v>3141.3589999999999</v>
      </c>
      <c r="E82" s="12">
        <f t="shared" si="15"/>
        <v>365.06113834527491</v>
      </c>
      <c r="F82" s="12">
        <f t="shared" si="16"/>
        <v>-51.046000000000276</v>
      </c>
      <c r="G82" s="12">
        <f t="shared" si="17"/>
        <v>3141.3589999999999</v>
      </c>
      <c r="J82" s="18"/>
      <c r="K82" s="18"/>
      <c r="W82" s="12">
        <f t="shared" si="13"/>
        <v>365.06113834527491</v>
      </c>
      <c r="X82" s="12">
        <f t="shared" si="14"/>
        <v>-51.046000000000276</v>
      </c>
    </row>
    <row r="83" spans="1:24" x14ac:dyDescent="0.25">
      <c r="A83" s="21" t="s">
        <v>82</v>
      </c>
      <c r="C83" s="12">
        <v>369.94199636410735</v>
      </c>
      <c r="D83" s="12">
        <v>3142.444</v>
      </c>
      <c r="E83" s="12">
        <f t="shared" si="15"/>
        <v>369.94199636410735</v>
      </c>
      <c r="F83" s="12">
        <f t="shared" si="16"/>
        <v>-49.96100000000024</v>
      </c>
      <c r="G83" s="12">
        <f t="shared" si="17"/>
        <v>3142.444</v>
      </c>
      <c r="J83" s="18"/>
      <c r="K83" s="18"/>
      <c r="W83" s="12">
        <f t="shared" si="13"/>
        <v>369.94199636410735</v>
      </c>
      <c r="X83" s="12">
        <f t="shared" si="14"/>
        <v>-49.96100000000024</v>
      </c>
    </row>
    <row r="84" spans="1:24" x14ac:dyDescent="0.25">
      <c r="A84" s="12" t="s">
        <v>83</v>
      </c>
      <c r="C84" s="12">
        <v>374.92286285499017</v>
      </c>
      <c r="D84" s="12">
        <v>3142.8809999999999</v>
      </c>
      <c r="E84" s="12">
        <f t="shared" si="15"/>
        <v>374.92286285499017</v>
      </c>
      <c r="F84" s="12">
        <f t="shared" si="16"/>
        <v>-49.524000000000342</v>
      </c>
      <c r="G84" s="12">
        <f t="shared" si="17"/>
        <v>3142.8809999999999</v>
      </c>
      <c r="J84" s="18"/>
      <c r="K84" s="18"/>
      <c r="W84" s="12">
        <f t="shared" si="13"/>
        <v>374.92286285499017</v>
      </c>
      <c r="X84" s="12">
        <f t="shared" si="14"/>
        <v>-49.524000000000342</v>
      </c>
    </row>
    <row r="85" spans="1:24" x14ac:dyDescent="0.25">
      <c r="A85" s="21" t="s">
        <v>84</v>
      </c>
      <c r="C85" s="12">
        <v>379.67096889845629</v>
      </c>
      <c r="D85" s="12">
        <v>3141.3139999999999</v>
      </c>
      <c r="E85" s="12">
        <f t="shared" si="15"/>
        <v>379.67096889845629</v>
      </c>
      <c r="F85" s="12">
        <f t="shared" si="16"/>
        <v>-51.091000000000349</v>
      </c>
      <c r="G85" s="12">
        <f t="shared" si="17"/>
        <v>3141.3139999999999</v>
      </c>
      <c r="J85" s="18"/>
      <c r="K85" s="18"/>
      <c r="W85" s="12">
        <f t="shared" si="13"/>
        <v>379.67096889845629</v>
      </c>
      <c r="X85" s="12">
        <f t="shared" si="14"/>
        <v>-51.091000000000349</v>
      </c>
    </row>
    <row r="86" spans="1:24" x14ac:dyDescent="0.25">
      <c r="A86" s="12" t="s">
        <v>85</v>
      </c>
      <c r="C86" s="12">
        <v>384.56393926419537</v>
      </c>
      <c r="D86" s="12">
        <v>3140.2849999999999</v>
      </c>
      <c r="E86" s="12">
        <f t="shared" si="15"/>
        <v>384.56393926419537</v>
      </c>
      <c r="F86" s="12">
        <f t="shared" si="16"/>
        <v>-52.120000000000346</v>
      </c>
      <c r="G86" s="12">
        <f t="shared" si="17"/>
        <v>3140.2849999999999</v>
      </c>
      <c r="J86" s="18"/>
      <c r="K86" s="18"/>
      <c r="W86" s="12">
        <f t="shared" si="13"/>
        <v>384.56393926419537</v>
      </c>
      <c r="X86" s="12">
        <f t="shared" si="14"/>
        <v>-52.120000000000346</v>
      </c>
    </row>
    <row r="87" spans="1:24" x14ac:dyDescent="0.25">
      <c r="A87" s="21" t="s">
        <v>86</v>
      </c>
      <c r="C87" s="12">
        <v>389.47208392384005</v>
      </c>
      <c r="D87" s="12">
        <v>3141.239</v>
      </c>
      <c r="E87" s="12">
        <f t="shared" si="15"/>
        <v>389.47208392384005</v>
      </c>
      <c r="F87" s="12">
        <f t="shared" si="16"/>
        <v>-51.166000000000167</v>
      </c>
      <c r="G87" s="12">
        <f t="shared" si="17"/>
        <v>3141.239</v>
      </c>
      <c r="J87" s="18"/>
      <c r="K87" s="18"/>
      <c r="W87" s="12">
        <f t="shared" si="13"/>
        <v>389.47208392384005</v>
      </c>
      <c r="X87" s="12">
        <f t="shared" si="14"/>
        <v>-51.166000000000167</v>
      </c>
    </row>
    <row r="88" spans="1:24" x14ac:dyDescent="0.25">
      <c r="A88" s="12" t="s">
        <v>87</v>
      </c>
      <c r="C88" s="12">
        <v>394.4719683225037</v>
      </c>
      <c r="D88" s="12">
        <v>3141.2730000000001</v>
      </c>
      <c r="E88" s="12">
        <f t="shared" si="15"/>
        <v>394.4719683225037</v>
      </c>
      <c r="F88" s="12">
        <f t="shared" si="16"/>
        <v>-51.132000000000062</v>
      </c>
      <c r="G88" s="12">
        <f t="shared" si="17"/>
        <v>3141.2730000000001</v>
      </c>
      <c r="J88" s="18"/>
      <c r="K88" s="18"/>
      <c r="W88" s="12">
        <f t="shared" si="13"/>
        <v>394.4719683225037</v>
      </c>
      <c r="X88" s="12">
        <f t="shared" si="14"/>
        <v>-51.132000000000062</v>
      </c>
    </row>
    <row r="89" spans="1:24" x14ac:dyDescent="0.25">
      <c r="A89" s="21" t="s">
        <v>88</v>
      </c>
      <c r="C89" s="12">
        <v>399.14932986508302</v>
      </c>
      <c r="D89" s="12">
        <v>3139.5059999999999</v>
      </c>
      <c r="E89" s="12">
        <f t="shared" si="15"/>
        <v>399.14932986508302</v>
      </c>
      <c r="F89" s="12">
        <f t="shared" si="16"/>
        <v>-52.899000000000342</v>
      </c>
      <c r="G89" s="12">
        <f t="shared" si="17"/>
        <v>3139.5059999999999</v>
      </c>
      <c r="J89" s="18"/>
      <c r="K89" s="18"/>
      <c r="W89" s="12">
        <f t="shared" si="13"/>
        <v>399.14932986508302</v>
      </c>
      <c r="X89" s="12">
        <f t="shared" si="14"/>
        <v>-52.899000000000342</v>
      </c>
    </row>
    <row r="90" spans="1:24" x14ac:dyDescent="0.25">
      <c r="A90" s="12" t="s">
        <v>89</v>
      </c>
      <c r="C90" s="12">
        <v>403.75720562295669</v>
      </c>
      <c r="D90" s="12">
        <v>3137.5650000000001</v>
      </c>
      <c r="E90" s="12">
        <f t="shared" si="15"/>
        <v>403.75720562295669</v>
      </c>
      <c r="F90" s="12">
        <f t="shared" si="16"/>
        <v>-54.840000000000146</v>
      </c>
      <c r="G90" s="12">
        <f t="shared" si="17"/>
        <v>3137.5650000000001</v>
      </c>
      <c r="J90" s="18"/>
      <c r="K90" s="18"/>
      <c r="W90" s="12">
        <f t="shared" si="13"/>
        <v>403.75720562295669</v>
      </c>
      <c r="X90" s="12">
        <f t="shared" si="14"/>
        <v>-54.840000000000146</v>
      </c>
    </row>
    <row r="91" spans="1:24" x14ac:dyDescent="0.25">
      <c r="A91" s="21" t="s">
        <v>90</v>
      </c>
      <c r="C91" s="12">
        <v>408.72495269783872</v>
      </c>
      <c r="D91" s="12">
        <v>3136.998</v>
      </c>
      <c r="E91" s="12">
        <f t="shared" si="15"/>
        <v>408.72495269783872</v>
      </c>
      <c r="F91" s="12">
        <f t="shared" si="16"/>
        <v>-55.407000000000153</v>
      </c>
      <c r="G91" s="12">
        <f t="shared" si="17"/>
        <v>3136.998</v>
      </c>
      <c r="J91" s="18"/>
      <c r="K91" s="18"/>
      <c r="W91" s="12">
        <f t="shared" si="13"/>
        <v>408.72495269783872</v>
      </c>
      <c r="X91" s="12">
        <f t="shared" si="14"/>
        <v>-55.407000000000153</v>
      </c>
    </row>
    <row r="92" spans="1:24" x14ac:dyDescent="0.25">
      <c r="A92" s="12" t="s">
        <v>91</v>
      </c>
      <c r="C92" s="12">
        <v>413.58298841199326</v>
      </c>
      <c r="D92" s="12">
        <v>3135.8150000000001</v>
      </c>
      <c r="E92" s="12">
        <f t="shared" si="15"/>
        <v>413.58298841199326</v>
      </c>
      <c r="F92" s="12">
        <f t="shared" si="16"/>
        <v>-56.590000000000146</v>
      </c>
      <c r="G92" s="12">
        <f t="shared" si="17"/>
        <v>3135.8150000000001</v>
      </c>
      <c r="J92" s="18"/>
      <c r="K92" s="18"/>
      <c r="W92" s="12">
        <f t="shared" si="13"/>
        <v>413.58298841199326</v>
      </c>
      <c r="X92" s="12">
        <f t="shared" si="14"/>
        <v>-56.590000000000146</v>
      </c>
    </row>
    <row r="93" spans="1:24" x14ac:dyDescent="0.25">
      <c r="A93" s="21" t="s">
        <v>92</v>
      </c>
      <c r="C93" s="12">
        <v>418.42188487709768</v>
      </c>
      <c r="D93" s="12">
        <v>3134.556</v>
      </c>
      <c r="E93" s="12">
        <f t="shared" si="15"/>
        <v>418.42188487709768</v>
      </c>
      <c r="F93" s="12">
        <f t="shared" si="16"/>
        <v>-57.84900000000016</v>
      </c>
      <c r="G93" s="12">
        <f t="shared" si="17"/>
        <v>3134.556</v>
      </c>
      <c r="J93" s="18"/>
      <c r="K93" s="18"/>
      <c r="W93" s="12">
        <f t="shared" si="13"/>
        <v>418.42188487709768</v>
      </c>
      <c r="X93" s="12">
        <f t="shared" si="14"/>
        <v>-57.84900000000016</v>
      </c>
    </row>
    <row r="94" spans="1:24" x14ac:dyDescent="0.25">
      <c r="A94" s="12" t="s">
        <v>93</v>
      </c>
      <c r="C94" s="12">
        <v>423.3516693551453</v>
      </c>
      <c r="D94" s="12">
        <v>3133.721</v>
      </c>
      <c r="E94" s="12">
        <f t="shared" si="15"/>
        <v>423.3516693551453</v>
      </c>
      <c r="F94" s="12">
        <f t="shared" si="16"/>
        <v>-58.684000000000196</v>
      </c>
      <c r="G94" s="12">
        <f t="shared" si="17"/>
        <v>3133.721</v>
      </c>
      <c r="J94" s="18"/>
      <c r="K94" s="18"/>
      <c r="W94" s="12">
        <f t="shared" si="13"/>
        <v>423.3516693551453</v>
      </c>
      <c r="X94" s="12">
        <f t="shared" si="14"/>
        <v>-58.684000000000196</v>
      </c>
    </row>
    <row r="95" spans="1:24" x14ac:dyDescent="0.25">
      <c r="A95" s="21" t="s">
        <v>94</v>
      </c>
      <c r="C95" s="12">
        <v>428.32809126250004</v>
      </c>
      <c r="D95" s="12">
        <v>3133.2359999999999</v>
      </c>
      <c r="E95" s="12">
        <f t="shared" si="15"/>
        <v>428.32809126250004</v>
      </c>
      <c r="F95" s="12">
        <f t="shared" si="16"/>
        <v>-59.169000000000324</v>
      </c>
      <c r="G95" s="12">
        <f t="shared" si="17"/>
        <v>3133.2359999999999</v>
      </c>
      <c r="J95" s="18"/>
      <c r="K95" s="18"/>
      <c r="W95" s="12">
        <f t="shared" si="13"/>
        <v>428.32809126250004</v>
      </c>
      <c r="X95" s="12">
        <f t="shared" si="14"/>
        <v>-59.169000000000324</v>
      </c>
    </row>
    <row r="96" spans="1:24" x14ac:dyDescent="0.25">
      <c r="A96" s="12" t="s">
        <v>95</v>
      </c>
      <c r="C96" s="12">
        <v>433.2737737229902</v>
      </c>
      <c r="D96" s="12">
        <v>3132.5010000000002</v>
      </c>
      <c r="E96" s="12">
        <f t="shared" si="15"/>
        <v>433.2737737229902</v>
      </c>
      <c r="F96" s="12">
        <f t="shared" si="16"/>
        <v>-59.903999999999996</v>
      </c>
      <c r="G96" s="12">
        <f t="shared" si="17"/>
        <v>3132.5010000000002</v>
      </c>
      <c r="J96" s="18"/>
      <c r="K96" s="18"/>
      <c r="W96" s="12">
        <f t="shared" si="13"/>
        <v>433.2737737229902</v>
      </c>
      <c r="X96" s="12">
        <f t="shared" si="14"/>
        <v>-59.903999999999996</v>
      </c>
    </row>
    <row r="97" spans="1:24" x14ac:dyDescent="0.25">
      <c r="A97" s="21" t="s">
        <v>96</v>
      </c>
      <c r="C97" s="12">
        <v>438.19767857584839</v>
      </c>
      <c r="D97" s="12">
        <v>3131.6320000000001</v>
      </c>
      <c r="E97" s="12">
        <f t="shared" si="15"/>
        <v>438.19767857584839</v>
      </c>
      <c r="F97" s="12">
        <f t="shared" si="16"/>
        <v>-60.773000000000138</v>
      </c>
      <c r="G97" s="12">
        <f t="shared" si="17"/>
        <v>3131.6320000000001</v>
      </c>
      <c r="J97" s="18"/>
      <c r="K97" s="18"/>
      <c r="W97" s="12">
        <f t="shared" si="13"/>
        <v>438.19767857584839</v>
      </c>
      <c r="X97" s="12">
        <f t="shared" si="14"/>
        <v>-60.773000000000138</v>
      </c>
    </row>
    <row r="98" spans="1:24" x14ac:dyDescent="0.25">
      <c r="A98" s="12" t="s">
        <v>97</v>
      </c>
      <c r="C98" s="12">
        <v>443.16644461984765</v>
      </c>
      <c r="D98" s="12">
        <v>3132.19</v>
      </c>
      <c r="E98" s="12">
        <f t="shared" si="15"/>
        <v>443.16644461984765</v>
      </c>
      <c r="F98" s="12">
        <f t="shared" si="16"/>
        <v>-60.215000000000146</v>
      </c>
      <c r="G98" s="12">
        <f t="shared" si="17"/>
        <v>3132.19</v>
      </c>
      <c r="J98" s="18"/>
      <c r="K98" s="18"/>
      <c r="W98" s="12">
        <f t="shared" si="13"/>
        <v>443.16644461984765</v>
      </c>
      <c r="X98" s="12">
        <f t="shared" si="14"/>
        <v>-60.215000000000146</v>
      </c>
    </row>
    <row r="99" spans="1:24" x14ac:dyDescent="0.25">
      <c r="A99" s="21" t="s">
        <v>98</v>
      </c>
      <c r="C99" s="12">
        <v>447.97990397877038</v>
      </c>
      <c r="D99" s="12">
        <v>3130.837</v>
      </c>
      <c r="E99" s="12">
        <f t="shared" si="15"/>
        <v>447.97990397877038</v>
      </c>
      <c r="F99" s="12">
        <f t="shared" si="16"/>
        <v>-61.568000000000211</v>
      </c>
      <c r="G99" s="12">
        <f t="shared" si="17"/>
        <v>3130.837</v>
      </c>
      <c r="J99" s="18"/>
      <c r="K99" s="18"/>
      <c r="W99" s="12">
        <f t="shared" si="13"/>
        <v>447.97990397877038</v>
      </c>
      <c r="X99" s="12">
        <f t="shared" si="14"/>
        <v>-61.568000000000211</v>
      </c>
    </row>
    <row r="100" spans="1:24" x14ac:dyDescent="0.25">
      <c r="A100" s="12" t="s">
        <v>99</v>
      </c>
      <c r="C100" s="12">
        <v>452.6794944928472</v>
      </c>
      <c r="D100" s="12">
        <v>3129.13</v>
      </c>
      <c r="E100" s="12">
        <f t="shared" si="15"/>
        <v>452.6794944928472</v>
      </c>
      <c r="F100" s="12">
        <f t="shared" si="16"/>
        <v>-63.275000000000091</v>
      </c>
      <c r="G100" s="12">
        <f t="shared" si="17"/>
        <v>3129.13</v>
      </c>
      <c r="J100" s="18"/>
      <c r="K100" s="18"/>
      <c r="W100" s="12">
        <f t="shared" si="13"/>
        <v>452.6794944928472</v>
      </c>
      <c r="X100" s="12">
        <f t="shared" si="14"/>
        <v>-63.275000000000091</v>
      </c>
    </row>
    <row r="101" spans="1:24" x14ac:dyDescent="0.25">
      <c r="A101" s="21" t="s">
        <v>100</v>
      </c>
      <c r="C101" s="12">
        <v>457.62606492093164</v>
      </c>
      <c r="D101" s="12">
        <v>3129.8589999999999</v>
      </c>
      <c r="E101" s="12">
        <f t="shared" si="15"/>
        <v>457.62606492093164</v>
      </c>
      <c r="F101" s="12">
        <f t="shared" si="16"/>
        <v>-62.546000000000276</v>
      </c>
      <c r="G101" s="12">
        <f t="shared" si="17"/>
        <v>3129.8589999999999</v>
      </c>
      <c r="J101" s="18"/>
      <c r="K101" s="18"/>
      <c r="W101" s="12">
        <f t="shared" si="13"/>
        <v>457.62606492093164</v>
      </c>
      <c r="X101" s="12">
        <f t="shared" si="14"/>
        <v>-62.546000000000276</v>
      </c>
    </row>
    <row r="102" spans="1:24" x14ac:dyDescent="0.25">
      <c r="A102" s="12" t="s">
        <v>187</v>
      </c>
      <c r="C102" s="12">
        <v>462.22461153915788</v>
      </c>
      <c r="D102" s="12">
        <v>3127.8960000000002</v>
      </c>
      <c r="E102" s="12">
        <f t="shared" si="15"/>
        <v>462.22461153915788</v>
      </c>
      <c r="F102" s="12">
        <f t="shared" si="16"/>
        <v>-64.509000000000015</v>
      </c>
      <c r="G102" s="12">
        <f t="shared" si="17"/>
        <v>3127.8960000000002</v>
      </c>
      <c r="J102" s="18"/>
      <c r="K102" s="18"/>
      <c r="W102" s="12">
        <f t="shared" si="13"/>
        <v>462.22461153915788</v>
      </c>
      <c r="X102" s="12">
        <f t="shared" si="14"/>
        <v>-64.509000000000015</v>
      </c>
    </row>
    <row r="103" spans="1:24" x14ac:dyDescent="0.25">
      <c r="A103" s="21" t="s">
        <v>188</v>
      </c>
      <c r="C103" s="12">
        <v>467.22367055061204</v>
      </c>
      <c r="D103" s="12">
        <v>3127.799</v>
      </c>
      <c r="E103" s="12">
        <f t="shared" si="15"/>
        <v>467.22367055061204</v>
      </c>
      <c r="F103" s="12">
        <f t="shared" si="16"/>
        <v>-64.606000000000222</v>
      </c>
      <c r="G103" s="12">
        <f t="shared" si="17"/>
        <v>3127.799</v>
      </c>
      <c r="J103" s="18"/>
      <c r="K103" s="18"/>
      <c r="W103" s="12">
        <f t="shared" si="13"/>
        <v>467.22367055061204</v>
      </c>
      <c r="X103" s="12">
        <f t="shared" si="14"/>
        <v>-64.606000000000222</v>
      </c>
    </row>
    <row r="104" spans="1:24" x14ac:dyDescent="0.25">
      <c r="A104" s="12" t="s">
        <v>189</v>
      </c>
      <c r="C104" s="12">
        <v>472.04132101530945</v>
      </c>
      <c r="D104" s="12">
        <v>3126.4609999999998</v>
      </c>
      <c r="E104" s="12">
        <f t="shared" si="15"/>
        <v>472.04132101530945</v>
      </c>
      <c r="F104" s="12">
        <f t="shared" si="16"/>
        <v>-65.944000000000415</v>
      </c>
      <c r="G104" s="12">
        <f t="shared" si="17"/>
        <v>3126.4609999999998</v>
      </c>
      <c r="J104" s="18"/>
      <c r="K104" s="18"/>
      <c r="W104" s="12">
        <f t="shared" si="13"/>
        <v>472.04132101530945</v>
      </c>
      <c r="X104" s="12">
        <f t="shared" si="14"/>
        <v>-65.944000000000415</v>
      </c>
    </row>
    <row r="105" spans="1:24" x14ac:dyDescent="0.25">
      <c r="A105" s="21" t="s">
        <v>190</v>
      </c>
      <c r="C105" s="12">
        <v>477.00335436868386</v>
      </c>
      <c r="D105" s="12">
        <v>3125.846</v>
      </c>
      <c r="E105" s="12">
        <f t="shared" si="15"/>
        <v>477.00335436868386</v>
      </c>
      <c r="F105" s="12">
        <f t="shared" si="16"/>
        <v>-66.559000000000196</v>
      </c>
      <c r="G105" s="12">
        <f t="shared" si="17"/>
        <v>3125.846</v>
      </c>
      <c r="J105" s="18"/>
      <c r="K105" s="18"/>
      <c r="W105" s="12">
        <f t="shared" si="13"/>
        <v>477.00335436868386</v>
      </c>
      <c r="X105" s="12">
        <f t="shared" si="14"/>
        <v>-66.559000000000196</v>
      </c>
    </row>
    <row r="106" spans="1:24" x14ac:dyDescent="0.25">
      <c r="A106" s="12" t="s">
        <v>191</v>
      </c>
      <c r="C106" s="12">
        <v>481.98351249870348</v>
      </c>
      <c r="D106" s="12">
        <v>3126.2910000000002</v>
      </c>
      <c r="E106" s="12">
        <f t="shared" si="15"/>
        <v>481.98351249870348</v>
      </c>
      <c r="F106" s="12">
        <f t="shared" si="16"/>
        <v>-66.114000000000033</v>
      </c>
      <c r="G106" s="12">
        <f t="shared" si="17"/>
        <v>3126.2910000000002</v>
      </c>
      <c r="J106" s="18"/>
      <c r="K106" s="18"/>
      <c r="W106" s="12">
        <f t="shared" si="13"/>
        <v>481.98351249870348</v>
      </c>
      <c r="X106" s="12">
        <f t="shared" si="14"/>
        <v>-66.114000000000033</v>
      </c>
    </row>
    <row r="107" spans="1:24" x14ac:dyDescent="0.25">
      <c r="A107" s="21" t="s">
        <v>192</v>
      </c>
      <c r="C107" s="12">
        <v>486.96221504053096</v>
      </c>
      <c r="D107" s="12">
        <v>3126.752</v>
      </c>
      <c r="E107" s="12">
        <f t="shared" si="15"/>
        <v>486.96221504053096</v>
      </c>
      <c r="F107" s="12">
        <f t="shared" si="16"/>
        <v>-65.653000000000247</v>
      </c>
      <c r="G107" s="12">
        <f t="shared" si="17"/>
        <v>3126.752</v>
      </c>
      <c r="J107" s="18"/>
      <c r="K107" s="18"/>
      <c r="W107" s="12">
        <f t="shared" si="13"/>
        <v>486.96221504053096</v>
      </c>
      <c r="X107" s="12">
        <f t="shared" si="14"/>
        <v>-65.653000000000247</v>
      </c>
    </row>
    <row r="108" spans="1:24" x14ac:dyDescent="0.25">
      <c r="A108" s="12" t="s">
        <v>193</v>
      </c>
      <c r="C108" s="12">
        <v>491.9301899800812</v>
      </c>
      <c r="D108" s="12">
        <v>3126.1869999999999</v>
      </c>
      <c r="E108" s="12">
        <f t="shared" si="15"/>
        <v>491.9301899800812</v>
      </c>
      <c r="F108" s="12">
        <f t="shared" si="16"/>
        <v>-66.218000000000302</v>
      </c>
      <c r="G108" s="12">
        <f t="shared" si="17"/>
        <v>3126.1869999999999</v>
      </c>
      <c r="J108" s="18"/>
      <c r="K108" s="18"/>
      <c r="W108" s="12">
        <f t="shared" si="13"/>
        <v>491.9301899800812</v>
      </c>
      <c r="X108" s="12">
        <f t="shared" si="14"/>
        <v>-66.218000000000302</v>
      </c>
    </row>
    <row r="109" spans="1:24" x14ac:dyDescent="0.25">
      <c r="A109" s="21" t="s">
        <v>194</v>
      </c>
      <c r="C109" s="12">
        <v>496.66388832281496</v>
      </c>
      <c r="D109" s="12">
        <v>3124.5770000000002</v>
      </c>
      <c r="E109" s="12">
        <f t="shared" si="15"/>
        <v>496.66388832281496</v>
      </c>
      <c r="F109" s="12">
        <f t="shared" si="16"/>
        <v>-67.827999999999975</v>
      </c>
      <c r="G109" s="12">
        <f t="shared" si="17"/>
        <v>3124.5770000000002</v>
      </c>
      <c r="J109" s="18"/>
      <c r="K109" s="18"/>
      <c r="W109" s="12">
        <f t="shared" si="13"/>
        <v>496.66388832281496</v>
      </c>
      <c r="X109" s="12">
        <f t="shared" si="14"/>
        <v>-67.827999999999975</v>
      </c>
    </row>
    <row r="110" spans="1:24" x14ac:dyDescent="0.25">
      <c r="A110" s="12" t="s">
        <v>195</v>
      </c>
      <c r="C110" s="12">
        <v>501.32361267088527</v>
      </c>
      <c r="D110" s="12">
        <v>3122.7640000000001</v>
      </c>
      <c r="E110" s="12">
        <f t="shared" si="15"/>
        <v>501.32361267088527</v>
      </c>
      <c r="F110" s="12">
        <f t="shared" si="16"/>
        <v>-69.641000000000076</v>
      </c>
      <c r="G110" s="12">
        <f t="shared" si="17"/>
        <v>3122.7640000000001</v>
      </c>
      <c r="J110" s="18"/>
      <c r="K110" s="18"/>
      <c r="W110" s="12">
        <f t="shared" si="13"/>
        <v>501.32361267088527</v>
      </c>
      <c r="X110" s="12">
        <f t="shared" si="14"/>
        <v>-69.641000000000076</v>
      </c>
    </row>
    <row r="111" spans="1:24" x14ac:dyDescent="0.25">
      <c r="A111" s="21" t="s">
        <v>196</v>
      </c>
      <c r="C111" s="12">
        <v>505.93944585677923</v>
      </c>
      <c r="D111" s="12">
        <v>3120.8420000000001</v>
      </c>
      <c r="E111" s="12">
        <f t="shared" si="15"/>
        <v>505.93944585677923</v>
      </c>
      <c r="F111" s="12">
        <f t="shared" si="16"/>
        <v>-71.563000000000102</v>
      </c>
      <c r="G111" s="12">
        <f t="shared" si="17"/>
        <v>3120.8420000000001</v>
      </c>
      <c r="J111" s="18"/>
      <c r="K111" s="18"/>
      <c r="W111" s="12">
        <f t="shared" si="13"/>
        <v>505.93944585677923</v>
      </c>
      <c r="X111" s="12">
        <f t="shared" si="14"/>
        <v>-71.563000000000102</v>
      </c>
    </row>
    <row r="112" spans="1:24" x14ac:dyDescent="0.25">
      <c r="A112" s="12" t="s">
        <v>197</v>
      </c>
      <c r="C112" s="12">
        <v>510.77441472948158</v>
      </c>
      <c r="D112" s="12">
        <v>3122.116</v>
      </c>
      <c r="E112" s="12">
        <f t="shared" si="15"/>
        <v>510.77441472948158</v>
      </c>
      <c r="F112" s="12">
        <f t="shared" si="16"/>
        <v>-70.289000000000215</v>
      </c>
      <c r="G112" s="12">
        <f t="shared" si="17"/>
        <v>3122.116</v>
      </c>
      <c r="J112" s="18"/>
      <c r="K112" s="18"/>
      <c r="W112" s="12">
        <f t="shared" si="13"/>
        <v>510.77441472948158</v>
      </c>
      <c r="X112" s="12">
        <f t="shared" si="14"/>
        <v>-70.289000000000215</v>
      </c>
    </row>
    <row r="113" spans="1:24" x14ac:dyDescent="0.25">
      <c r="A113" s="21" t="s">
        <v>198</v>
      </c>
      <c r="C113" s="12">
        <v>515.45253133769052</v>
      </c>
      <c r="D113" s="12">
        <v>3120.3510000000001</v>
      </c>
      <c r="E113" s="12">
        <f t="shared" si="15"/>
        <v>515.45253133769052</v>
      </c>
      <c r="F113" s="12">
        <f t="shared" si="16"/>
        <v>-72.054000000000087</v>
      </c>
      <c r="G113" s="12">
        <f t="shared" si="17"/>
        <v>3120.3510000000001</v>
      </c>
      <c r="J113" s="18"/>
      <c r="K113" s="18"/>
      <c r="W113" s="12">
        <f t="shared" ref="W113:W125" si="18">E113</f>
        <v>515.45253133769052</v>
      </c>
      <c r="X113" s="12">
        <f t="shared" ref="X113:X125" si="19">F113</f>
        <v>-72.054000000000087</v>
      </c>
    </row>
    <row r="114" spans="1:24" x14ac:dyDescent="0.25">
      <c r="A114" s="12" t="s">
        <v>199</v>
      </c>
      <c r="C114" s="12">
        <v>520.11186648339526</v>
      </c>
      <c r="D114" s="12">
        <v>3118.5369999999998</v>
      </c>
      <c r="E114" s="12">
        <f t="shared" si="15"/>
        <v>520.11186648339526</v>
      </c>
      <c r="F114" s="12">
        <f t="shared" si="16"/>
        <v>-73.868000000000393</v>
      </c>
      <c r="G114" s="12">
        <f t="shared" si="17"/>
        <v>3118.5369999999998</v>
      </c>
      <c r="J114" s="18"/>
      <c r="K114" s="18"/>
      <c r="W114" s="12">
        <f t="shared" si="18"/>
        <v>520.11186648339526</v>
      </c>
      <c r="X114" s="12">
        <f t="shared" si="19"/>
        <v>-73.868000000000393</v>
      </c>
    </row>
    <row r="115" spans="1:24" x14ac:dyDescent="0.25">
      <c r="A115" s="21" t="s">
        <v>200</v>
      </c>
      <c r="C115" s="12">
        <v>525.11004365112353</v>
      </c>
      <c r="D115" s="12">
        <v>3118.402</v>
      </c>
      <c r="E115" s="12">
        <f t="shared" si="15"/>
        <v>525.11004365112353</v>
      </c>
      <c r="F115" s="12">
        <f t="shared" si="16"/>
        <v>-74.003000000000156</v>
      </c>
      <c r="G115" s="12">
        <f t="shared" si="17"/>
        <v>3118.402</v>
      </c>
      <c r="J115" s="18"/>
      <c r="K115" s="18"/>
      <c r="W115" s="12">
        <f t="shared" si="18"/>
        <v>525.11004365112353</v>
      </c>
      <c r="X115" s="12">
        <f t="shared" si="19"/>
        <v>-74.003000000000156</v>
      </c>
    </row>
    <row r="116" spans="1:24" x14ac:dyDescent="0.25">
      <c r="A116" s="12" t="s">
        <v>201</v>
      </c>
      <c r="C116" s="12">
        <v>529.82290902157501</v>
      </c>
      <c r="D116" s="12">
        <v>3116.732</v>
      </c>
      <c r="E116" s="12">
        <f t="shared" si="15"/>
        <v>529.82290902157501</v>
      </c>
      <c r="F116" s="12">
        <f t="shared" si="16"/>
        <v>-75.673000000000229</v>
      </c>
      <c r="G116" s="12">
        <f t="shared" si="17"/>
        <v>3116.732</v>
      </c>
      <c r="J116" s="18"/>
      <c r="K116" s="18"/>
      <c r="W116" s="12">
        <f t="shared" si="18"/>
        <v>529.82290902157501</v>
      </c>
      <c r="X116" s="12">
        <f t="shared" si="19"/>
        <v>-75.673000000000229</v>
      </c>
    </row>
    <row r="117" spans="1:24" x14ac:dyDescent="0.25">
      <c r="A117" s="21" t="s">
        <v>202</v>
      </c>
      <c r="C117" s="12">
        <v>534.60682833527585</v>
      </c>
      <c r="D117" s="12">
        <v>3115.2779999999998</v>
      </c>
      <c r="E117" s="12">
        <f t="shared" si="15"/>
        <v>534.60682833527585</v>
      </c>
      <c r="F117" s="12">
        <f t="shared" si="16"/>
        <v>-77.127000000000407</v>
      </c>
      <c r="G117" s="12">
        <f t="shared" si="17"/>
        <v>3115.2779999999998</v>
      </c>
      <c r="J117" s="18"/>
      <c r="K117" s="18"/>
      <c r="W117" s="12">
        <f t="shared" si="18"/>
        <v>534.60682833527585</v>
      </c>
      <c r="X117" s="12">
        <f t="shared" si="19"/>
        <v>-77.127000000000407</v>
      </c>
    </row>
    <row r="118" spans="1:24" x14ac:dyDescent="0.25">
      <c r="A118" s="12" t="s">
        <v>203</v>
      </c>
      <c r="C118" s="12">
        <v>539.45645832116156</v>
      </c>
      <c r="D118" s="12">
        <v>3114.0610000000001</v>
      </c>
      <c r="E118" s="12">
        <f t="shared" si="15"/>
        <v>539.45645832116156</v>
      </c>
      <c r="F118" s="12">
        <f t="shared" si="16"/>
        <v>-78.344000000000051</v>
      </c>
      <c r="G118" s="12">
        <f t="shared" si="17"/>
        <v>3114.0610000000001</v>
      </c>
      <c r="J118" s="18"/>
      <c r="K118" s="18"/>
      <c r="W118" s="12">
        <f t="shared" si="18"/>
        <v>539.45645832116156</v>
      </c>
      <c r="X118" s="12">
        <f t="shared" si="19"/>
        <v>-78.344000000000051</v>
      </c>
    </row>
    <row r="119" spans="1:24" x14ac:dyDescent="0.25">
      <c r="A119" s="21" t="s">
        <v>204</v>
      </c>
      <c r="C119" s="12">
        <v>544.45628191804985</v>
      </c>
      <c r="D119" s="12">
        <v>3114.0189999999998</v>
      </c>
      <c r="E119" s="12">
        <f t="shared" si="15"/>
        <v>544.45628191804985</v>
      </c>
      <c r="F119" s="12">
        <f t="shared" si="16"/>
        <v>-78.386000000000422</v>
      </c>
      <c r="G119" s="12">
        <f t="shared" si="17"/>
        <v>3114.0189999999998</v>
      </c>
      <c r="J119" s="18"/>
      <c r="K119" s="18"/>
      <c r="W119" s="12">
        <f t="shared" si="18"/>
        <v>544.45628191804985</v>
      </c>
      <c r="X119" s="12">
        <f t="shared" si="19"/>
        <v>-78.386000000000422</v>
      </c>
    </row>
    <row r="120" spans="1:24" x14ac:dyDescent="0.25">
      <c r="A120" s="12" t="s">
        <v>205</v>
      </c>
      <c r="C120" s="12">
        <v>549.41781786974866</v>
      </c>
      <c r="D120" s="12">
        <v>3113.4</v>
      </c>
      <c r="E120" s="12">
        <f t="shared" si="15"/>
        <v>549.41781786974866</v>
      </c>
      <c r="F120" s="12">
        <f t="shared" si="16"/>
        <v>-79.005000000000109</v>
      </c>
      <c r="G120" s="12">
        <f t="shared" si="17"/>
        <v>3113.4</v>
      </c>
      <c r="J120" s="18"/>
      <c r="K120" s="18"/>
      <c r="W120" s="12">
        <f t="shared" si="18"/>
        <v>549.41781786974866</v>
      </c>
      <c r="X120" s="12">
        <f t="shared" si="19"/>
        <v>-79.005000000000109</v>
      </c>
    </row>
    <row r="121" spans="1:24" x14ac:dyDescent="0.25">
      <c r="A121" s="21" t="s">
        <v>206</v>
      </c>
      <c r="C121" s="12">
        <v>554.23351875331673</v>
      </c>
      <c r="D121" s="12">
        <v>3112.0549999999998</v>
      </c>
      <c r="E121" s="12">
        <f t="shared" si="15"/>
        <v>554.23351875331673</v>
      </c>
      <c r="F121" s="12">
        <f t="shared" si="16"/>
        <v>-80.350000000000364</v>
      </c>
      <c r="G121" s="12">
        <f t="shared" si="17"/>
        <v>3112.0549999999998</v>
      </c>
      <c r="J121" s="18"/>
      <c r="K121" s="18"/>
      <c r="W121" s="12">
        <f t="shared" si="18"/>
        <v>554.23351875331673</v>
      </c>
      <c r="X121" s="12">
        <f t="shared" si="19"/>
        <v>-80.350000000000364</v>
      </c>
    </row>
    <row r="122" spans="1:24" x14ac:dyDescent="0.25">
      <c r="A122" s="12" t="s">
        <v>207</v>
      </c>
      <c r="C122" s="12">
        <v>559.10508154158083</v>
      </c>
      <c r="D122" s="12">
        <v>3110.9290000000001</v>
      </c>
      <c r="E122" s="12">
        <f t="shared" si="15"/>
        <v>559.10508154158083</v>
      </c>
      <c r="F122" s="12">
        <f t="shared" si="16"/>
        <v>-81.476000000000113</v>
      </c>
      <c r="G122" s="12">
        <f t="shared" si="17"/>
        <v>3110.9290000000001</v>
      </c>
      <c r="J122" s="18"/>
      <c r="K122" s="18"/>
      <c r="W122" s="12">
        <f t="shared" si="18"/>
        <v>559.10508154158083</v>
      </c>
      <c r="X122" s="12">
        <f t="shared" si="19"/>
        <v>-81.476000000000113</v>
      </c>
    </row>
    <row r="123" spans="1:24" x14ac:dyDescent="0.25">
      <c r="A123" s="21" t="s">
        <v>208</v>
      </c>
      <c r="C123" s="12">
        <v>564.00689793961124</v>
      </c>
      <c r="D123" s="12">
        <v>3109.9430000000002</v>
      </c>
      <c r="E123" s="12">
        <f t="shared" si="15"/>
        <v>564.00689793961124</v>
      </c>
      <c r="F123" s="12">
        <f t="shared" si="16"/>
        <v>-82.461999999999989</v>
      </c>
      <c r="G123" s="12">
        <f t="shared" si="17"/>
        <v>3109.9430000000002</v>
      </c>
      <c r="J123" s="18"/>
      <c r="K123" s="18"/>
      <c r="W123" s="12">
        <f t="shared" si="18"/>
        <v>564.00689793961124</v>
      </c>
      <c r="X123" s="12">
        <f t="shared" si="19"/>
        <v>-82.461999999999989</v>
      </c>
    </row>
    <row r="124" spans="1:24" x14ac:dyDescent="0.25">
      <c r="A124" s="12" t="s">
        <v>209</v>
      </c>
      <c r="C124" s="12">
        <v>568.69101994912376</v>
      </c>
      <c r="D124" s="12">
        <v>3108.194</v>
      </c>
      <c r="E124" s="12">
        <f t="shared" si="15"/>
        <v>568.69101994912376</v>
      </c>
      <c r="F124" s="12">
        <f t="shared" si="16"/>
        <v>-84.21100000000024</v>
      </c>
      <c r="G124" s="12">
        <f t="shared" si="17"/>
        <v>3108.194</v>
      </c>
      <c r="J124" s="18"/>
      <c r="K124" s="18"/>
      <c r="W124" s="12">
        <f t="shared" si="18"/>
        <v>568.69101994912376</v>
      </c>
      <c r="X124" s="12">
        <f t="shared" si="19"/>
        <v>-84.21100000000024</v>
      </c>
    </row>
    <row r="125" spans="1:24" x14ac:dyDescent="0.25">
      <c r="A125" s="21" t="s">
        <v>210</v>
      </c>
      <c r="C125" s="12">
        <v>573.62821550935837</v>
      </c>
      <c r="D125" s="12">
        <v>3107.404</v>
      </c>
      <c r="E125" s="12">
        <f t="shared" si="15"/>
        <v>573.62821550935837</v>
      </c>
      <c r="F125" s="12">
        <f t="shared" si="16"/>
        <v>-85.001000000000204</v>
      </c>
      <c r="G125" s="12">
        <f t="shared" si="17"/>
        <v>3107.404</v>
      </c>
      <c r="J125" s="18">
        <f t="shared" ref="J125" si="20">H125</f>
        <v>0</v>
      </c>
      <c r="K125" s="18">
        <f t="shared" ref="K125" si="21">I125</f>
        <v>0</v>
      </c>
      <c r="W125" s="12">
        <f t="shared" si="18"/>
        <v>573.62821550935837</v>
      </c>
      <c r="X125" s="12">
        <f t="shared" si="19"/>
        <v>-85.001000000000204</v>
      </c>
    </row>
  </sheetData>
  <mergeCells count="4">
    <mergeCell ref="C3:D3"/>
    <mergeCell ref="G3:I3"/>
    <mergeCell ref="J3:K3"/>
    <mergeCell ref="O4:P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9B18-5D62-4710-80B7-F29263D57D17}">
  <dimension ref="A1:T125"/>
  <sheetViews>
    <sheetView topLeftCell="A68" workbookViewId="0">
      <selection activeCell="Q76" sqref="Q76:R101"/>
    </sheetView>
  </sheetViews>
  <sheetFormatPr defaultColWidth="9.140625" defaultRowHeight="15" x14ac:dyDescent="0.25"/>
  <cols>
    <col min="1" max="16384" width="9.140625" style="12"/>
  </cols>
  <sheetData>
    <row r="1" spans="1:20" x14ac:dyDescent="0.25">
      <c r="A1" s="21" t="s">
        <v>186</v>
      </c>
      <c r="B1" s="21"/>
      <c r="C1" s="21" t="s">
        <v>211</v>
      </c>
    </row>
    <row r="2" spans="1:20" ht="15.75" thickBot="1" x14ac:dyDescent="0.3"/>
    <row r="3" spans="1:20" x14ac:dyDescent="0.25">
      <c r="A3" s="21"/>
      <c r="B3" s="21"/>
      <c r="C3" s="150" t="s">
        <v>178</v>
      </c>
      <c r="D3" s="150"/>
      <c r="E3" s="22"/>
      <c r="F3" s="22"/>
      <c r="G3" s="150" t="s">
        <v>4</v>
      </c>
      <c r="H3" s="150"/>
      <c r="I3" s="150"/>
      <c r="J3" s="150"/>
      <c r="K3" s="151" t="s">
        <v>179</v>
      </c>
      <c r="L3" s="152"/>
      <c r="O3" s="12" t="s">
        <v>317</v>
      </c>
      <c r="R3" s="12" t="s">
        <v>318</v>
      </c>
      <c r="T3" s="12">
        <f>MAX(L76:L101)</f>
        <v>-46.459000000000287</v>
      </c>
    </row>
    <row r="4" spans="1:20" x14ac:dyDescent="0.25">
      <c r="A4" s="21" t="s">
        <v>101</v>
      </c>
      <c r="B4" s="21" t="s">
        <v>102</v>
      </c>
      <c r="C4" s="21" t="s">
        <v>2</v>
      </c>
      <c r="D4" s="21" t="s">
        <v>3</v>
      </c>
      <c r="E4" s="21" t="s">
        <v>2</v>
      </c>
      <c r="F4" s="21" t="s">
        <v>177</v>
      </c>
      <c r="G4" s="21" t="s">
        <v>2</v>
      </c>
      <c r="H4" s="21"/>
      <c r="I4" s="21" t="s">
        <v>176</v>
      </c>
      <c r="J4" s="21" t="s">
        <v>177</v>
      </c>
      <c r="K4" s="23" t="s">
        <v>2</v>
      </c>
      <c r="L4" s="24" t="s">
        <v>3</v>
      </c>
    </row>
    <row r="5" spans="1:2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18"/>
      <c r="L5" s="18"/>
      <c r="O5" s="153" t="s">
        <v>216</v>
      </c>
      <c r="P5" s="153"/>
    </row>
    <row r="6" spans="1:20" x14ac:dyDescent="0.25">
      <c r="A6" s="12" t="s">
        <v>5</v>
      </c>
      <c r="C6" s="12">
        <v>0</v>
      </c>
      <c r="D6" s="12">
        <f>GOL07ab!D6</f>
        <v>3192.4050000000002</v>
      </c>
      <c r="E6" s="12">
        <v>0</v>
      </c>
      <c r="F6" s="12">
        <v>0</v>
      </c>
      <c r="G6" s="12">
        <f>D6</f>
        <v>3192.4050000000002</v>
      </c>
      <c r="K6" s="18"/>
      <c r="L6" s="18"/>
      <c r="O6" s="12">
        <f>E6</f>
        <v>0</v>
      </c>
      <c r="P6" s="12">
        <f>F6-$T$3</f>
        <v>46.459000000000287</v>
      </c>
    </row>
    <row r="7" spans="1:20" x14ac:dyDescent="0.25">
      <c r="A7" s="21" t="s">
        <v>6</v>
      </c>
      <c r="C7" s="12">
        <v>4.9555801880303534</v>
      </c>
      <c r="D7" s="12">
        <f>GOL07ab!D7</f>
        <v>3192.4050000000002</v>
      </c>
      <c r="E7" s="12">
        <v>4.9555801880303534</v>
      </c>
      <c r="F7" s="12">
        <v>0</v>
      </c>
      <c r="G7" s="12">
        <f t="shared" ref="G7:G70" si="0">D7</f>
        <v>3192.4050000000002</v>
      </c>
      <c r="K7" s="18"/>
      <c r="L7" s="18"/>
      <c r="O7" s="12">
        <f t="shared" ref="O7:O70" si="1">E7</f>
        <v>4.9555801880303534</v>
      </c>
      <c r="P7" s="12">
        <f t="shared" ref="P7:P70" si="2">F7-$T$3</f>
        <v>46.459000000000287</v>
      </c>
    </row>
    <row r="8" spans="1:20" x14ac:dyDescent="0.25">
      <c r="A8" s="12" t="s">
        <v>7</v>
      </c>
      <c r="C8" s="12">
        <v>9.9518151704946831</v>
      </c>
      <c r="D8" s="12">
        <f>GOL07ab!D8</f>
        <v>3191.74</v>
      </c>
      <c r="E8" s="12">
        <v>9.9518151704946831</v>
      </c>
      <c r="F8" s="12">
        <v>-0.66500000000041837</v>
      </c>
      <c r="G8" s="12">
        <f t="shared" si="0"/>
        <v>3191.74</v>
      </c>
      <c r="K8" s="18"/>
      <c r="L8" s="18"/>
      <c r="O8" s="12">
        <f t="shared" si="1"/>
        <v>9.9518151704946831</v>
      </c>
      <c r="P8" s="12">
        <f t="shared" si="2"/>
        <v>45.793999999999869</v>
      </c>
    </row>
    <row r="9" spans="1:20" x14ac:dyDescent="0.25">
      <c r="A9" s="21" t="s">
        <v>8</v>
      </c>
      <c r="C9" s="12">
        <v>14.951813570494437</v>
      </c>
      <c r="D9" s="12">
        <f>GOL07ab!D9</f>
        <v>3191.5459999999998</v>
      </c>
      <c r="E9" s="12">
        <v>14.951813570494437</v>
      </c>
      <c r="F9" s="12">
        <v>-0.85900000000037835</v>
      </c>
      <c r="G9" s="12">
        <f t="shared" si="0"/>
        <v>3191.5459999999998</v>
      </c>
      <c r="K9" s="18"/>
      <c r="L9" s="18"/>
      <c r="O9" s="12">
        <f t="shared" si="1"/>
        <v>14.951813570494437</v>
      </c>
      <c r="P9" s="12">
        <f t="shared" si="2"/>
        <v>45.599999999999909</v>
      </c>
    </row>
    <row r="10" spans="1:20" x14ac:dyDescent="0.25">
      <c r="A10" s="12" t="s">
        <v>9</v>
      </c>
      <c r="C10" s="12">
        <v>19.664324472338535</v>
      </c>
      <c r="D10" s="12">
        <f>GOL07ab!D10</f>
        <v>3191.55</v>
      </c>
      <c r="E10" s="12">
        <v>19.664324472338535</v>
      </c>
      <c r="F10" s="12">
        <v>-0.85500000000001819</v>
      </c>
      <c r="G10" s="12">
        <f t="shared" si="0"/>
        <v>3191.55</v>
      </c>
      <c r="K10" s="18"/>
      <c r="L10" s="18"/>
      <c r="O10" s="12">
        <f t="shared" si="1"/>
        <v>19.664324472338535</v>
      </c>
      <c r="P10" s="12">
        <f t="shared" si="2"/>
        <v>45.604000000000269</v>
      </c>
    </row>
    <row r="11" spans="1:20" x14ac:dyDescent="0.25">
      <c r="A11" s="21" t="s">
        <v>10</v>
      </c>
      <c r="C11" s="12">
        <v>24.620971625404763</v>
      </c>
      <c r="D11" s="12">
        <f>GOL07ab!D11</f>
        <v>3189.8789999999999</v>
      </c>
      <c r="E11" s="12">
        <v>24.620971625404763</v>
      </c>
      <c r="F11" s="12">
        <v>-1.5</v>
      </c>
      <c r="G11" s="12">
        <f t="shared" si="0"/>
        <v>3189.8789999999999</v>
      </c>
      <c r="K11" s="18"/>
      <c r="L11" s="18"/>
      <c r="O11" s="12">
        <f t="shared" si="1"/>
        <v>24.620971625404763</v>
      </c>
      <c r="P11" s="12">
        <f t="shared" si="2"/>
        <v>44.959000000000287</v>
      </c>
    </row>
    <row r="12" spans="1:20" x14ac:dyDescent="0.25">
      <c r="A12" s="12" t="s">
        <v>11</v>
      </c>
      <c r="C12" s="12">
        <v>29.605894493413871</v>
      </c>
      <c r="D12" s="12">
        <f>GOL07ab!D12</f>
        <v>3190.5360000000001</v>
      </c>
      <c r="E12" s="12">
        <v>29.605894493413871</v>
      </c>
      <c r="F12" s="12">
        <v>-1.8690000000001419</v>
      </c>
      <c r="G12" s="12">
        <f t="shared" si="0"/>
        <v>3190.5360000000001</v>
      </c>
      <c r="K12" s="18"/>
      <c r="L12" s="18"/>
      <c r="O12" s="12">
        <f t="shared" si="1"/>
        <v>29.605894493413871</v>
      </c>
      <c r="P12" s="12">
        <f t="shared" si="2"/>
        <v>44.590000000000146</v>
      </c>
    </row>
    <row r="13" spans="1:20" x14ac:dyDescent="0.25">
      <c r="A13" s="21" t="s">
        <v>12</v>
      </c>
      <c r="C13" s="12">
        <v>34.277943187509436</v>
      </c>
      <c r="D13" s="12">
        <f>GOL07ab!D13</f>
        <v>3190.1480000000001</v>
      </c>
      <c r="E13" s="12">
        <v>34.277943187509436</v>
      </c>
      <c r="F13" s="12">
        <v>-2.2570000000000618</v>
      </c>
      <c r="G13" s="12">
        <f t="shared" si="0"/>
        <v>3190.1480000000001</v>
      </c>
      <c r="K13" s="18"/>
      <c r="L13" s="18"/>
      <c r="O13" s="12">
        <f t="shared" si="1"/>
        <v>34.277943187509436</v>
      </c>
      <c r="P13" s="12">
        <f t="shared" si="2"/>
        <v>44.202000000000226</v>
      </c>
    </row>
    <row r="14" spans="1:20" x14ac:dyDescent="0.25">
      <c r="A14" s="12" t="s">
        <v>13</v>
      </c>
      <c r="C14" s="12">
        <v>39.271230581601685</v>
      </c>
      <c r="D14" s="12">
        <f>GOL07ab!D14</f>
        <v>3188.3670000000002</v>
      </c>
      <c r="E14" s="12">
        <v>39.271230581601685</v>
      </c>
      <c r="F14" s="12">
        <v>-3.2</v>
      </c>
      <c r="G14" s="12">
        <f t="shared" si="0"/>
        <v>3188.3670000000002</v>
      </c>
      <c r="K14" s="18"/>
      <c r="L14" s="18"/>
      <c r="O14" s="12">
        <f t="shared" si="1"/>
        <v>39.271230581601685</v>
      </c>
      <c r="P14" s="12">
        <f t="shared" si="2"/>
        <v>43.259000000000285</v>
      </c>
    </row>
    <row r="15" spans="1:20" x14ac:dyDescent="0.25">
      <c r="A15" s="21" t="s">
        <v>14</v>
      </c>
      <c r="C15" s="12">
        <v>44.250209995095929</v>
      </c>
      <c r="D15" s="12">
        <f>GOL07ab!D15</f>
        <v>3188.1080000000002</v>
      </c>
      <c r="E15" s="12">
        <v>44.250209995095929</v>
      </c>
      <c r="F15" s="12">
        <v>-4.2970000000000255</v>
      </c>
      <c r="G15" s="12">
        <f t="shared" si="0"/>
        <v>3188.1080000000002</v>
      </c>
      <c r="K15" s="18"/>
      <c r="L15" s="18"/>
      <c r="O15" s="12">
        <f t="shared" si="1"/>
        <v>44.250209995095929</v>
      </c>
      <c r="P15" s="12">
        <f t="shared" si="2"/>
        <v>42.162000000000262</v>
      </c>
    </row>
    <row r="16" spans="1:20" x14ac:dyDescent="0.25">
      <c r="A16" s="12" t="s">
        <v>15</v>
      </c>
      <c r="C16" s="12">
        <v>49.232790752093251</v>
      </c>
      <c r="D16" s="12">
        <f>GOL07ab!D16</f>
        <v>3187.65</v>
      </c>
      <c r="E16" s="12">
        <v>49.232790752093251</v>
      </c>
      <c r="F16" s="12">
        <v>-4.7550000000001091</v>
      </c>
      <c r="G16" s="12">
        <f t="shared" si="0"/>
        <v>3187.65</v>
      </c>
      <c r="K16" s="18"/>
      <c r="L16" s="18"/>
      <c r="O16" s="12">
        <f t="shared" si="1"/>
        <v>49.232790752093251</v>
      </c>
      <c r="P16" s="12">
        <f t="shared" si="2"/>
        <v>41.704000000000178</v>
      </c>
    </row>
    <row r="17" spans="1:16" x14ac:dyDescent="0.25">
      <c r="A17" s="21" t="s">
        <v>16</v>
      </c>
      <c r="C17" s="12">
        <v>54.225332289226344</v>
      </c>
      <c r="D17" s="12">
        <f>GOL07ab!D17</f>
        <v>3187.2330000000002</v>
      </c>
      <c r="E17" s="12">
        <v>54.225332289226344</v>
      </c>
      <c r="F17" s="12">
        <v>-5.1720000000000255</v>
      </c>
      <c r="G17" s="12">
        <f t="shared" si="0"/>
        <v>3187.2330000000002</v>
      </c>
      <c r="K17" s="18"/>
      <c r="L17" s="18"/>
      <c r="O17" s="12">
        <f t="shared" si="1"/>
        <v>54.225332289226344</v>
      </c>
      <c r="P17" s="12">
        <f t="shared" si="2"/>
        <v>41.287000000000262</v>
      </c>
    </row>
    <row r="18" spans="1:16" x14ac:dyDescent="0.25">
      <c r="A18" s="12" t="s">
        <v>17</v>
      </c>
      <c r="C18" s="12">
        <v>59.225315389197704</v>
      </c>
      <c r="D18" s="12">
        <f>GOL07ab!D18</f>
        <v>3187.5059999999999</v>
      </c>
      <c r="E18" s="12">
        <v>59.225315389197704</v>
      </c>
      <c r="F18" s="12">
        <v>-4.899000000000342</v>
      </c>
      <c r="G18" s="12">
        <f t="shared" si="0"/>
        <v>3187.5059999999999</v>
      </c>
      <c r="K18" s="18"/>
      <c r="L18" s="18"/>
      <c r="O18" s="12">
        <f t="shared" si="1"/>
        <v>59.225315389197704</v>
      </c>
      <c r="P18" s="12">
        <f t="shared" si="2"/>
        <v>41.559999999999945</v>
      </c>
    </row>
    <row r="19" spans="1:16" x14ac:dyDescent="0.25">
      <c r="A19" s="21" t="s">
        <v>18</v>
      </c>
      <c r="C19" s="12">
        <v>64.111229428556271</v>
      </c>
      <c r="D19" s="12">
        <f>GOL07ab!D19</f>
        <v>3187.4929999999999</v>
      </c>
      <c r="E19" s="12">
        <v>64.111229428556271</v>
      </c>
      <c r="F19" s="12">
        <v>-4.9120000000002619</v>
      </c>
      <c r="G19" s="12">
        <f t="shared" si="0"/>
        <v>3187.4929999999999</v>
      </c>
      <c r="K19" s="18"/>
      <c r="L19" s="18"/>
      <c r="O19" s="12">
        <f t="shared" si="1"/>
        <v>64.111229428556271</v>
      </c>
      <c r="P19" s="12">
        <f t="shared" si="2"/>
        <v>41.547000000000025</v>
      </c>
    </row>
    <row r="20" spans="1:16" x14ac:dyDescent="0.25">
      <c r="A20" s="12" t="s">
        <v>19</v>
      </c>
      <c r="C20" s="12">
        <v>68.907123922808523</v>
      </c>
      <c r="D20" s="12">
        <f>GOL07ab!D20</f>
        <v>3186.431</v>
      </c>
      <c r="E20" s="12">
        <v>68.907123922808523</v>
      </c>
      <c r="F20" s="12">
        <v>-5.9740000000001601</v>
      </c>
      <c r="G20" s="12">
        <f t="shared" si="0"/>
        <v>3186.431</v>
      </c>
      <c r="K20" s="18"/>
      <c r="L20" s="18"/>
      <c r="O20" s="12">
        <f t="shared" si="1"/>
        <v>68.907123922808523</v>
      </c>
      <c r="P20" s="12">
        <f t="shared" si="2"/>
        <v>40.485000000000127</v>
      </c>
    </row>
    <row r="21" spans="1:16" x14ac:dyDescent="0.25">
      <c r="A21" s="21" t="s">
        <v>20</v>
      </c>
      <c r="C21" s="12">
        <v>73.813314298242403</v>
      </c>
      <c r="D21" s="12">
        <f>GOL07ab!D21</f>
        <v>3185.0169999999998</v>
      </c>
      <c r="E21" s="12">
        <v>73.813314298242403</v>
      </c>
      <c r="F21" s="12">
        <v>-7.3880000000003747</v>
      </c>
      <c r="G21" s="12">
        <f t="shared" si="0"/>
        <v>3185.0169999999998</v>
      </c>
      <c r="K21" s="18"/>
      <c r="L21" s="18"/>
      <c r="O21" s="12">
        <f t="shared" si="1"/>
        <v>73.813314298242403</v>
      </c>
      <c r="P21" s="12">
        <f t="shared" si="2"/>
        <v>39.070999999999913</v>
      </c>
    </row>
    <row r="22" spans="1:16" x14ac:dyDescent="0.25">
      <c r="A22" s="12" t="s">
        <v>21</v>
      </c>
      <c r="C22" s="12">
        <v>78.625083099837184</v>
      </c>
      <c r="D22" s="12">
        <f>GOL07ab!D22</f>
        <v>3184.0529999999999</v>
      </c>
      <c r="E22" s="12">
        <v>78.625083099837184</v>
      </c>
      <c r="F22" s="12">
        <v>-8.3520000000003165</v>
      </c>
      <c r="G22" s="12">
        <f t="shared" si="0"/>
        <v>3184.0529999999999</v>
      </c>
      <c r="K22" s="18"/>
      <c r="L22" s="18"/>
      <c r="O22" s="12">
        <f t="shared" si="1"/>
        <v>78.625083099837184</v>
      </c>
      <c r="P22" s="12">
        <f t="shared" si="2"/>
        <v>38.106999999999971</v>
      </c>
    </row>
    <row r="23" spans="1:16" x14ac:dyDescent="0.25">
      <c r="A23" s="21" t="s">
        <v>22</v>
      </c>
      <c r="C23" s="12">
        <v>83.587363926231546</v>
      </c>
      <c r="D23" s="12">
        <f>GOL07ab!D23</f>
        <v>3182.694</v>
      </c>
      <c r="E23" s="12">
        <v>83.587363926231546</v>
      </c>
      <c r="F23" s="12">
        <v>-9.7110000000002401</v>
      </c>
      <c r="G23" s="12">
        <f t="shared" si="0"/>
        <v>3182.694</v>
      </c>
      <c r="K23" s="18"/>
      <c r="L23" s="18"/>
      <c r="O23" s="12">
        <f t="shared" si="1"/>
        <v>83.587363926231546</v>
      </c>
      <c r="P23" s="12">
        <f t="shared" si="2"/>
        <v>36.748000000000047</v>
      </c>
    </row>
    <row r="24" spans="1:16" x14ac:dyDescent="0.25">
      <c r="A24" s="12" t="s">
        <v>23</v>
      </c>
      <c r="C24" s="12">
        <v>88.578771643499294</v>
      </c>
      <c r="D24" s="12">
        <f>GOL07ab!D24</f>
        <v>3182.0810000000001</v>
      </c>
      <c r="E24" s="12">
        <v>88.578771643499294</v>
      </c>
      <c r="F24" s="12">
        <v>-10.324000000000069</v>
      </c>
      <c r="G24" s="12">
        <f t="shared" si="0"/>
        <v>3182.0810000000001</v>
      </c>
      <c r="K24" s="18"/>
      <c r="L24" s="18"/>
      <c r="O24" s="12">
        <f t="shared" si="1"/>
        <v>88.578771643499294</v>
      </c>
      <c r="P24" s="12">
        <f t="shared" si="2"/>
        <v>36.135000000000218</v>
      </c>
    </row>
    <row r="25" spans="1:16" x14ac:dyDescent="0.25">
      <c r="A25" s="21" t="s">
        <v>24</v>
      </c>
      <c r="C25" s="12">
        <v>93.578771543499215</v>
      </c>
      <c r="D25" s="12">
        <f>GOL07ab!D25</f>
        <v>3181.788</v>
      </c>
      <c r="E25" s="12">
        <v>93.578771543499215</v>
      </c>
      <c r="F25" s="12">
        <v>-10.617000000000189</v>
      </c>
      <c r="G25" s="12">
        <f t="shared" si="0"/>
        <v>3181.788</v>
      </c>
      <c r="K25" s="18"/>
      <c r="L25" s="18"/>
      <c r="O25" s="12">
        <f t="shared" si="1"/>
        <v>93.578771543499215</v>
      </c>
      <c r="P25" s="12">
        <f t="shared" si="2"/>
        <v>35.842000000000098</v>
      </c>
    </row>
    <row r="26" spans="1:16" x14ac:dyDescent="0.25">
      <c r="A26" s="12" t="s">
        <v>25</v>
      </c>
      <c r="C26" s="12">
        <v>96.828386905353909</v>
      </c>
      <c r="D26" s="12">
        <f>GOL07ab!D26</f>
        <v>3181.7869999999998</v>
      </c>
      <c r="E26" s="12">
        <v>96.828386905353909</v>
      </c>
      <c r="F26" s="12">
        <v>-10.618000000000393</v>
      </c>
      <c r="G26" s="12">
        <f t="shared" si="0"/>
        <v>3181.7869999999998</v>
      </c>
      <c r="K26" s="18"/>
      <c r="L26" s="18"/>
      <c r="O26" s="12">
        <f t="shared" si="1"/>
        <v>96.828386905353909</v>
      </c>
      <c r="P26" s="12">
        <f t="shared" si="2"/>
        <v>35.840999999999894</v>
      </c>
    </row>
    <row r="27" spans="1:16" x14ac:dyDescent="0.25">
      <c r="A27" s="21" t="s">
        <v>26</v>
      </c>
      <c r="C27" s="12">
        <v>101.82193113766016</v>
      </c>
      <c r="D27" s="12">
        <f>GOL07ab!D27</f>
        <v>3177.9870000000001</v>
      </c>
      <c r="E27" s="12">
        <v>101.82193113766016</v>
      </c>
      <c r="F27" s="12">
        <v>-12.4</v>
      </c>
      <c r="G27" s="12">
        <f t="shared" si="0"/>
        <v>3177.9870000000001</v>
      </c>
      <c r="K27" s="18"/>
      <c r="L27" s="18"/>
      <c r="O27" s="12">
        <f t="shared" si="1"/>
        <v>101.82193113766016</v>
      </c>
      <c r="P27" s="12">
        <f t="shared" si="2"/>
        <v>34.059000000000289</v>
      </c>
    </row>
    <row r="28" spans="1:16" x14ac:dyDescent="0.25">
      <c r="A28" s="12" t="s">
        <v>27</v>
      </c>
      <c r="C28" s="12">
        <v>106.77547532339236</v>
      </c>
      <c r="D28" s="12">
        <f>GOL07ab!D28</f>
        <v>3178.241</v>
      </c>
      <c r="E28" s="12">
        <v>106.77547532339236</v>
      </c>
      <c r="F28" s="12">
        <v>-14.164000000000215</v>
      </c>
      <c r="G28" s="12">
        <f t="shared" si="0"/>
        <v>3178.241</v>
      </c>
      <c r="K28" s="18"/>
      <c r="L28" s="18"/>
      <c r="O28" s="12">
        <f t="shared" si="1"/>
        <v>106.77547532339236</v>
      </c>
      <c r="P28" s="12">
        <f t="shared" si="2"/>
        <v>32.295000000000073</v>
      </c>
    </row>
    <row r="29" spans="1:16" x14ac:dyDescent="0.25">
      <c r="A29" s="21" t="s">
        <v>28</v>
      </c>
      <c r="C29" s="12">
        <v>111.76855363241179</v>
      </c>
      <c r="D29" s="12">
        <f>GOL07ab!D29</f>
        <v>3177.5610000000001</v>
      </c>
      <c r="E29" s="12">
        <v>111.76855363241179</v>
      </c>
      <c r="F29" s="12">
        <v>-14.844000000000051</v>
      </c>
      <c r="G29" s="12">
        <f t="shared" si="0"/>
        <v>3177.5610000000001</v>
      </c>
      <c r="K29" s="18"/>
      <c r="L29" s="18"/>
      <c r="O29" s="12">
        <f t="shared" si="1"/>
        <v>111.76855363241179</v>
      </c>
      <c r="P29" s="12">
        <f t="shared" si="2"/>
        <v>31.615000000000236</v>
      </c>
    </row>
    <row r="30" spans="1:16" x14ac:dyDescent="0.25">
      <c r="A30" s="12" t="s">
        <v>29</v>
      </c>
      <c r="C30" s="12">
        <v>116.68706956712231</v>
      </c>
      <c r="D30" s="12">
        <f>GOL07ab!D30</f>
        <v>3177.2979999999998</v>
      </c>
      <c r="E30" s="12">
        <v>116.68706956712231</v>
      </c>
      <c r="F30" s="12">
        <v>-15.107000000000426</v>
      </c>
      <c r="G30" s="12">
        <f t="shared" si="0"/>
        <v>3177.2979999999998</v>
      </c>
      <c r="K30" s="18"/>
      <c r="L30" s="18"/>
      <c r="O30" s="12">
        <f t="shared" si="1"/>
        <v>116.68706956712231</v>
      </c>
      <c r="P30" s="12">
        <f t="shared" si="2"/>
        <v>31.351999999999862</v>
      </c>
    </row>
    <row r="31" spans="1:16" x14ac:dyDescent="0.25">
      <c r="A31" s="21" t="s">
        <v>30</v>
      </c>
      <c r="C31" s="12">
        <v>121.67529079317069</v>
      </c>
      <c r="D31" s="12">
        <f>GOL07ab!D31</f>
        <v>3176.3989999999999</v>
      </c>
      <c r="E31" s="12">
        <v>121.67529079317069</v>
      </c>
      <c r="F31" s="12">
        <v>-16.006000000000313</v>
      </c>
      <c r="G31" s="12">
        <f t="shared" si="0"/>
        <v>3176.3989999999999</v>
      </c>
      <c r="K31" s="18"/>
      <c r="L31" s="18"/>
      <c r="O31" s="12">
        <f t="shared" si="1"/>
        <v>121.67529079317069</v>
      </c>
      <c r="P31" s="12">
        <f t="shared" si="2"/>
        <v>30.452999999999975</v>
      </c>
    </row>
    <row r="32" spans="1:16" x14ac:dyDescent="0.25">
      <c r="A32" s="12" t="s">
        <v>31</v>
      </c>
      <c r="C32" s="12">
        <v>126.65277248575376</v>
      </c>
      <c r="D32" s="12">
        <f>GOL07ab!D32</f>
        <v>3176.56</v>
      </c>
      <c r="E32" s="12">
        <v>126.65277248575376</v>
      </c>
      <c r="F32" s="12">
        <v>-15.845000000000255</v>
      </c>
      <c r="G32" s="12">
        <f t="shared" si="0"/>
        <v>3176.56</v>
      </c>
      <c r="K32" s="18"/>
      <c r="L32" s="18"/>
      <c r="O32" s="12">
        <f t="shared" si="1"/>
        <v>126.65277248575376</v>
      </c>
      <c r="P32" s="12">
        <f t="shared" si="2"/>
        <v>30.614000000000033</v>
      </c>
    </row>
    <row r="33" spans="1:16" x14ac:dyDescent="0.25">
      <c r="A33" s="21" t="s">
        <v>32</v>
      </c>
      <c r="C33" s="12">
        <v>131.63543683326907</v>
      </c>
      <c r="D33" s="12">
        <f>GOL07ab!D33</f>
        <v>3175.5819999999999</v>
      </c>
      <c r="E33" s="12">
        <v>131.63543683326907</v>
      </c>
      <c r="F33" s="12">
        <v>-16.82300000000032</v>
      </c>
      <c r="G33" s="12">
        <f t="shared" si="0"/>
        <v>3175.5819999999999</v>
      </c>
      <c r="K33" s="18"/>
      <c r="L33" s="18"/>
      <c r="O33" s="12">
        <f t="shared" si="1"/>
        <v>131.63543683326907</v>
      </c>
      <c r="P33" s="12">
        <f t="shared" si="2"/>
        <v>29.635999999999967</v>
      </c>
    </row>
    <row r="34" spans="1:16" x14ac:dyDescent="0.25">
      <c r="A34" s="12" t="s">
        <v>33</v>
      </c>
      <c r="C34" s="12">
        <v>136.12689439179053</v>
      </c>
      <c r="D34" s="12">
        <f>GOL07ab!D34</f>
        <v>3175.1660000000002</v>
      </c>
      <c r="E34" s="12">
        <v>136.12689439179053</v>
      </c>
      <c r="F34" s="12">
        <v>-17.239000000000033</v>
      </c>
      <c r="G34" s="12">
        <f t="shared" si="0"/>
        <v>3175.1660000000002</v>
      </c>
      <c r="K34" s="18"/>
      <c r="L34" s="18"/>
      <c r="O34" s="12">
        <f t="shared" si="1"/>
        <v>136.12689439179053</v>
      </c>
      <c r="P34" s="12">
        <f t="shared" si="2"/>
        <v>29.220000000000255</v>
      </c>
    </row>
    <row r="35" spans="1:16" x14ac:dyDescent="0.25">
      <c r="A35" s="21" t="s">
        <v>34</v>
      </c>
      <c r="C35" s="12">
        <v>141.12433373609474</v>
      </c>
      <c r="D35" s="12">
        <f>GOL07ab!D35</f>
        <v>3172.9690000000001</v>
      </c>
      <c r="E35" s="12">
        <v>141.12433373609474</v>
      </c>
      <c r="F35" s="12">
        <v>-18.399999999999999</v>
      </c>
      <c r="G35" s="12">
        <f t="shared" si="0"/>
        <v>3172.9690000000001</v>
      </c>
      <c r="K35" s="18"/>
      <c r="L35" s="18"/>
      <c r="O35" s="12">
        <f t="shared" si="1"/>
        <v>141.12433373609474</v>
      </c>
      <c r="P35" s="12">
        <f t="shared" si="2"/>
        <v>28.059000000000289</v>
      </c>
    </row>
    <row r="36" spans="1:16" x14ac:dyDescent="0.25">
      <c r="A36" s="12" t="s">
        <v>35</v>
      </c>
      <c r="C36" s="12">
        <v>146.06216767416913</v>
      </c>
      <c r="D36" s="12">
        <f>GOL07ab!D36</f>
        <v>3173.1289999999999</v>
      </c>
      <c r="E36" s="12">
        <v>146.06216767416913</v>
      </c>
      <c r="F36" s="12">
        <v>-19.276000000000295</v>
      </c>
      <c r="G36" s="12">
        <f t="shared" si="0"/>
        <v>3173.1289999999999</v>
      </c>
      <c r="K36" s="18"/>
      <c r="L36" s="18"/>
      <c r="O36" s="12">
        <f t="shared" si="1"/>
        <v>146.06216767416913</v>
      </c>
      <c r="P36" s="12">
        <f t="shared" si="2"/>
        <v>27.182999999999993</v>
      </c>
    </row>
    <row r="37" spans="1:16" x14ac:dyDescent="0.25">
      <c r="A37" s="21" t="s">
        <v>36</v>
      </c>
      <c r="C37" s="12">
        <v>151.03014261371936</v>
      </c>
      <c r="D37" s="12">
        <f>GOL07ab!D37</f>
        <v>3173.915</v>
      </c>
      <c r="E37" s="12">
        <v>151.03014261371936</v>
      </c>
      <c r="F37" s="12">
        <v>-18.490000000000236</v>
      </c>
      <c r="G37" s="12">
        <f t="shared" si="0"/>
        <v>3173.915</v>
      </c>
      <c r="K37" s="18"/>
      <c r="L37" s="18"/>
      <c r="O37" s="12">
        <f t="shared" si="1"/>
        <v>151.03014261371936</v>
      </c>
      <c r="P37" s="12">
        <f t="shared" si="2"/>
        <v>27.969000000000051</v>
      </c>
    </row>
    <row r="38" spans="1:16" x14ac:dyDescent="0.25">
      <c r="A38" s="12" t="s">
        <v>37</v>
      </c>
      <c r="C38" s="12">
        <v>155.91255144543356</v>
      </c>
      <c r="D38" s="12">
        <f>GOL07ab!D38</f>
        <v>3173.35</v>
      </c>
      <c r="E38" s="12">
        <v>155.91255144543356</v>
      </c>
      <c r="F38" s="12">
        <v>-19.055000000000291</v>
      </c>
      <c r="G38" s="12">
        <f t="shared" si="0"/>
        <v>3173.35</v>
      </c>
      <c r="K38" s="18"/>
      <c r="L38" s="18"/>
      <c r="O38" s="12">
        <f t="shared" si="1"/>
        <v>155.91255144543356</v>
      </c>
      <c r="P38" s="12">
        <f t="shared" si="2"/>
        <v>27.403999999999996</v>
      </c>
    </row>
    <row r="39" spans="1:16" x14ac:dyDescent="0.25">
      <c r="A39" s="21" t="s">
        <v>38</v>
      </c>
      <c r="C39" s="12">
        <v>160.46028890487423</v>
      </c>
      <c r="D39" s="12">
        <f>GOL07ab!D39</f>
        <v>3172.2719999999999</v>
      </c>
      <c r="E39" s="12">
        <v>160.46028890487423</v>
      </c>
      <c r="F39" s="12">
        <v>-19.899999999999999</v>
      </c>
      <c r="G39" s="12">
        <f t="shared" si="0"/>
        <v>3172.2719999999999</v>
      </c>
      <c r="K39" s="18"/>
      <c r="L39" s="18"/>
      <c r="O39" s="12">
        <f t="shared" si="1"/>
        <v>160.46028890487423</v>
      </c>
      <c r="P39" s="12">
        <f t="shared" si="2"/>
        <v>26.559000000000289</v>
      </c>
    </row>
    <row r="40" spans="1:16" x14ac:dyDescent="0.25">
      <c r="A40" s="12" t="s">
        <v>39</v>
      </c>
      <c r="C40" s="12">
        <v>165.34203439189014</v>
      </c>
      <c r="D40" s="12">
        <f>GOL07ab!D40</f>
        <v>3174.35</v>
      </c>
      <c r="E40" s="12">
        <v>165.34203439189014</v>
      </c>
      <c r="F40" s="12">
        <v>-19.100000000000001</v>
      </c>
      <c r="G40" s="12">
        <f t="shared" si="0"/>
        <v>3174.35</v>
      </c>
      <c r="K40" s="18"/>
      <c r="L40" s="18"/>
      <c r="O40" s="12">
        <f t="shared" si="1"/>
        <v>165.34203439189014</v>
      </c>
      <c r="P40" s="12">
        <f t="shared" si="2"/>
        <v>27.359000000000286</v>
      </c>
    </row>
    <row r="41" spans="1:16" x14ac:dyDescent="0.25">
      <c r="A41" s="21" t="s">
        <v>40</v>
      </c>
      <c r="C41" s="12">
        <v>170.29307428266043</v>
      </c>
      <c r="D41" s="12">
        <f>GOL07ab!D41</f>
        <v>3173.2689999999998</v>
      </c>
      <c r="E41" s="12">
        <v>170.29307428266043</v>
      </c>
      <c r="F41" s="12">
        <v>-19.136000000000422</v>
      </c>
      <c r="G41" s="12">
        <f t="shared" si="0"/>
        <v>3173.2689999999998</v>
      </c>
      <c r="K41" s="18"/>
      <c r="L41" s="18"/>
      <c r="O41" s="12">
        <f t="shared" si="1"/>
        <v>170.29307428266043</v>
      </c>
      <c r="P41" s="12">
        <f t="shared" si="2"/>
        <v>27.322999999999865</v>
      </c>
    </row>
    <row r="42" spans="1:16" x14ac:dyDescent="0.25">
      <c r="A42" s="12" t="s">
        <v>41</v>
      </c>
      <c r="C42" s="12">
        <v>174.86863370201013</v>
      </c>
      <c r="D42" s="12">
        <f>GOL07ab!D42</f>
        <v>3173.9670000000001</v>
      </c>
      <c r="E42" s="12">
        <v>174.86863370201013</v>
      </c>
      <c r="F42" s="12">
        <v>-18.899999999999999</v>
      </c>
      <c r="G42" s="12">
        <f t="shared" si="0"/>
        <v>3173.9670000000001</v>
      </c>
      <c r="K42" s="18"/>
      <c r="L42" s="18"/>
      <c r="O42" s="12">
        <f t="shared" si="1"/>
        <v>174.86863370201013</v>
      </c>
      <c r="P42" s="12">
        <f t="shared" si="2"/>
        <v>27.559000000000289</v>
      </c>
    </row>
    <row r="43" spans="1:16" x14ac:dyDescent="0.25">
      <c r="A43" s="21" t="s">
        <v>42</v>
      </c>
      <c r="C43" s="12">
        <v>179.85187752506363</v>
      </c>
      <c r="D43" s="12">
        <f>GOL07ab!D43</f>
        <v>3171.951</v>
      </c>
      <c r="E43" s="12">
        <v>179.85187752506363</v>
      </c>
      <c r="F43" s="12">
        <v>-20.454000000000178</v>
      </c>
      <c r="G43" s="12">
        <f t="shared" si="0"/>
        <v>3171.951</v>
      </c>
      <c r="K43" s="18"/>
      <c r="L43" s="18"/>
      <c r="O43" s="12">
        <f t="shared" si="1"/>
        <v>179.85187752506363</v>
      </c>
      <c r="P43" s="12">
        <f t="shared" si="2"/>
        <v>26.005000000000109</v>
      </c>
    </row>
    <row r="44" spans="1:16" x14ac:dyDescent="0.25">
      <c r="A44" s="12" t="s">
        <v>43</v>
      </c>
      <c r="C44" s="12">
        <v>184.85085732098196</v>
      </c>
      <c r="D44" s="12">
        <f>GOL07ab!D44</f>
        <v>3172.36</v>
      </c>
      <c r="E44" s="12">
        <v>184.85085732098196</v>
      </c>
      <c r="F44" s="12">
        <v>-20.045000000000073</v>
      </c>
      <c r="G44" s="12">
        <f t="shared" si="0"/>
        <v>3172.36</v>
      </c>
      <c r="K44" s="18"/>
      <c r="L44" s="18"/>
      <c r="O44" s="12">
        <f t="shared" si="1"/>
        <v>184.85085732098196</v>
      </c>
      <c r="P44" s="12">
        <f t="shared" si="2"/>
        <v>26.414000000000215</v>
      </c>
    </row>
    <row r="45" spans="1:16" x14ac:dyDescent="0.25">
      <c r="A45" s="21" t="s">
        <v>44</v>
      </c>
      <c r="C45" s="12">
        <v>189.75997119214026</v>
      </c>
      <c r="D45" s="12">
        <f>GOL07ab!D45</f>
        <v>3172.259</v>
      </c>
      <c r="E45" s="12">
        <v>189.75997119214026</v>
      </c>
      <c r="F45" s="12">
        <v>-20.146000000000186</v>
      </c>
      <c r="G45" s="12">
        <f t="shared" si="0"/>
        <v>3172.259</v>
      </c>
      <c r="K45" s="18"/>
      <c r="L45" s="18"/>
      <c r="O45" s="12">
        <f t="shared" si="1"/>
        <v>189.75997119214026</v>
      </c>
      <c r="P45" s="12">
        <f t="shared" si="2"/>
        <v>26.313000000000102</v>
      </c>
    </row>
    <row r="46" spans="1:16" x14ac:dyDescent="0.25">
      <c r="A46" s="12" t="s">
        <v>45</v>
      </c>
      <c r="C46" s="12">
        <v>194.4043329351573</v>
      </c>
      <c r="D46" s="12">
        <f>GOL07ab!D46</f>
        <v>3171.31</v>
      </c>
      <c r="E46" s="12">
        <v>194.4043329351573</v>
      </c>
      <c r="F46" s="12">
        <v>-21.095000000000255</v>
      </c>
      <c r="G46" s="12">
        <f t="shared" si="0"/>
        <v>3171.31</v>
      </c>
      <c r="K46" s="18"/>
      <c r="L46" s="18"/>
      <c r="O46" s="12">
        <f t="shared" si="1"/>
        <v>194.4043329351573</v>
      </c>
      <c r="P46" s="12">
        <f t="shared" si="2"/>
        <v>25.364000000000033</v>
      </c>
    </row>
    <row r="47" spans="1:16" x14ac:dyDescent="0.25">
      <c r="A47" s="21" t="s">
        <v>46</v>
      </c>
      <c r="C47" s="12">
        <v>199.12633081741001</v>
      </c>
      <c r="D47" s="12">
        <f>GOL07ab!D47</f>
        <v>3173.1619999999998</v>
      </c>
      <c r="E47" s="12">
        <v>199.12633081741001</v>
      </c>
      <c r="F47" s="12">
        <v>-19.243000000000393</v>
      </c>
      <c r="G47" s="12">
        <f t="shared" si="0"/>
        <v>3173.1619999999998</v>
      </c>
      <c r="K47" s="18"/>
      <c r="L47" s="18"/>
      <c r="O47" s="12">
        <f t="shared" si="1"/>
        <v>199.12633081741001</v>
      </c>
      <c r="P47" s="12">
        <f t="shared" si="2"/>
        <v>27.215999999999894</v>
      </c>
    </row>
    <row r="48" spans="1:16" x14ac:dyDescent="0.25">
      <c r="A48" s="12" t="s">
        <v>47</v>
      </c>
      <c r="C48" s="12">
        <v>204.1036216467669</v>
      </c>
      <c r="D48" s="12">
        <f>GOL07ab!D48</f>
        <v>3174.806</v>
      </c>
      <c r="E48" s="12">
        <v>204.1036216467669</v>
      </c>
      <c r="F48" s="12">
        <v>-17.59900000000016</v>
      </c>
      <c r="G48" s="12">
        <f t="shared" si="0"/>
        <v>3174.806</v>
      </c>
      <c r="K48" s="18"/>
      <c r="L48" s="18"/>
      <c r="O48" s="12">
        <f t="shared" si="1"/>
        <v>204.1036216467669</v>
      </c>
      <c r="P48" s="12">
        <f t="shared" si="2"/>
        <v>28.860000000000127</v>
      </c>
    </row>
    <row r="49" spans="1:16" x14ac:dyDescent="0.25">
      <c r="A49" s="21" t="s">
        <v>48</v>
      </c>
      <c r="C49" s="12">
        <v>208.93567866215903</v>
      </c>
      <c r="D49" s="12">
        <f>GOL07ab!D49</f>
        <v>3174.33</v>
      </c>
      <c r="E49" s="12">
        <v>208.93567866215903</v>
      </c>
      <c r="F49" s="12">
        <v>-18.075000000000273</v>
      </c>
      <c r="G49" s="12">
        <f t="shared" si="0"/>
        <v>3174.33</v>
      </c>
      <c r="K49" s="18"/>
      <c r="L49" s="18"/>
      <c r="O49" s="12">
        <f t="shared" si="1"/>
        <v>208.93567866215903</v>
      </c>
      <c r="P49" s="12">
        <f t="shared" si="2"/>
        <v>28.384000000000015</v>
      </c>
    </row>
    <row r="50" spans="1:16" x14ac:dyDescent="0.25">
      <c r="A50" s="12" t="s">
        <v>49</v>
      </c>
      <c r="C50" s="12">
        <v>213.91091644542121</v>
      </c>
      <c r="D50" s="12">
        <f>GOL07ab!D50</f>
        <v>3173.5419999999999</v>
      </c>
      <c r="E50" s="12">
        <v>213.91091644542121</v>
      </c>
      <c r="F50" s="12">
        <v>-18.863000000000284</v>
      </c>
      <c r="G50" s="12">
        <f t="shared" si="0"/>
        <v>3173.5419999999999</v>
      </c>
      <c r="K50" s="18"/>
      <c r="L50" s="18"/>
      <c r="O50" s="12">
        <f t="shared" si="1"/>
        <v>213.91091644542121</v>
      </c>
      <c r="P50" s="12">
        <f t="shared" si="2"/>
        <v>27.596000000000004</v>
      </c>
    </row>
    <row r="51" spans="1:16" x14ac:dyDescent="0.25">
      <c r="A51" s="21" t="s">
        <v>50</v>
      </c>
      <c r="C51" s="12">
        <v>218.90034276514984</v>
      </c>
      <c r="D51" s="12">
        <f>GOL07ab!D51</f>
        <v>3173.8670000000002</v>
      </c>
      <c r="E51" s="12">
        <v>218.90034276514984</v>
      </c>
      <c r="F51" s="12">
        <v>-18.538000000000011</v>
      </c>
      <c r="G51" s="12">
        <f t="shared" si="0"/>
        <v>3173.8670000000002</v>
      </c>
      <c r="K51" s="18"/>
      <c r="L51" s="18"/>
      <c r="O51" s="12">
        <f t="shared" si="1"/>
        <v>218.90034276514984</v>
      </c>
      <c r="P51" s="12">
        <f t="shared" si="2"/>
        <v>27.921000000000276</v>
      </c>
    </row>
    <row r="52" spans="1:16" x14ac:dyDescent="0.25">
      <c r="A52" s="12" t="s">
        <v>51</v>
      </c>
      <c r="C52" s="12">
        <v>223.89527769966094</v>
      </c>
      <c r="D52" s="12">
        <f>GOL07ab!D52</f>
        <v>3173.6419999999998</v>
      </c>
      <c r="E52" s="12">
        <v>223.89527769966094</v>
      </c>
      <c r="F52" s="12">
        <v>-18.763000000000375</v>
      </c>
      <c r="G52" s="12">
        <f t="shared" si="0"/>
        <v>3173.6419999999998</v>
      </c>
      <c r="K52" s="18"/>
      <c r="L52" s="18"/>
      <c r="O52" s="12">
        <f t="shared" si="1"/>
        <v>223.89527769966094</v>
      </c>
      <c r="P52" s="12">
        <f t="shared" si="2"/>
        <v>27.695999999999913</v>
      </c>
    </row>
    <row r="53" spans="1:16" x14ac:dyDescent="0.25">
      <c r="A53" s="21" t="s">
        <v>52</v>
      </c>
      <c r="C53" s="12">
        <v>228.71706896432579</v>
      </c>
      <c r="D53" s="12">
        <f>GOL07ab!D53</f>
        <v>3174.9650000000001</v>
      </c>
      <c r="E53" s="12">
        <v>228.71706896432579</v>
      </c>
      <c r="F53" s="12">
        <v>-17.440000000000055</v>
      </c>
      <c r="G53" s="12">
        <f t="shared" si="0"/>
        <v>3174.9650000000001</v>
      </c>
      <c r="K53" s="18"/>
      <c r="L53" s="18"/>
      <c r="O53" s="12">
        <f t="shared" si="1"/>
        <v>228.71706896432579</v>
      </c>
      <c r="P53" s="12">
        <f t="shared" si="2"/>
        <v>29.019000000000233</v>
      </c>
    </row>
    <row r="54" spans="1:16" x14ac:dyDescent="0.25">
      <c r="A54" s="12" t="s">
        <v>53</v>
      </c>
      <c r="C54" s="12">
        <v>233.71553112783158</v>
      </c>
      <c r="D54" s="12">
        <f>GOL07ab!D54</f>
        <v>3175.0889999999999</v>
      </c>
      <c r="E54" s="12">
        <v>233.71553112783158</v>
      </c>
      <c r="F54" s="12">
        <v>-17.316000000000258</v>
      </c>
      <c r="G54" s="12">
        <f t="shared" si="0"/>
        <v>3175.0889999999999</v>
      </c>
      <c r="K54" s="18"/>
      <c r="L54" s="18"/>
      <c r="O54" s="12">
        <f t="shared" si="1"/>
        <v>233.71553112783158</v>
      </c>
      <c r="P54" s="12">
        <f t="shared" si="2"/>
        <v>29.143000000000029</v>
      </c>
    </row>
    <row r="55" spans="1:16" x14ac:dyDescent="0.25">
      <c r="A55" s="21" t="s">
        <v>54</v>
      </c>
      <c r="C55" s="12">
        <v>238.71489108686637</v>
      </c>
      <c r="D55" s="12">
        <f>GOL07ab!D55</f>
        <v>3175.1689999999999</v>
      </c>
      <c r="E55" s="12">
        <v>238.71489108686637</v>
      </c>
      <c r="F55" s="12">
        <v>-17.236000000000331</v>
      </c>
      <c r="G55" s="12">
        <f t="shared" si="0"/>
        <v>3175.1689999999999</v>
      </c>
      <c r="K55" s="18"/>
      <c r="L55" s="18"/>
      <c r="O55" s="12">
        <f t="shared" si="1"/>
        <v>238.71489108686637</v>
      </c>
      <c r="P55" s="12">
        <f t="shared" si="2"/>
        <v>29.222999999999956</v>
      </c>
    </row>
    <row r="56" spans="1:16" x14ac:dyDescent="0.25">
      <c r="A56" s="12" t="s">
        <v>55</v>
      </c>
      <c r="C56" s="12">
        <v>243.3265476222125</v>
      </c>
      <c r="D56" s="12">
        <f>GOL07ab!D56</f>
        <v>3173.2370000000001</v>
      </c>
      <c r="E56" s="12">
        <v>243.3265476222125</v>
      </c>
      <c r="F56" s="12">
        <v>-19.16800000000012</v>
      </c>
      <c r="G56" s="12">
        <f t="shared" si="0"/>
        <v>3173.2370000000001</v>
      </c>
      <c r="K56" s="18"/>
      <c r="L56" s="18"/>
      <c r="O56" s="12">
        <f t="shared" si="1"/>
        <v>243.3265476222125</v>
      </c>
      <c r="P56" s="12">
        <f t="shared" si="2"/>
        <v>27.291000000000167</v>
      </c>
    </row>
    <row r="57" spans="1:16" x14ac:dyDescent="0.25">
      <c r="A57" s="21" t="s">
        <v>56</v>
      </c>
      <c r="C57" s="12">
        <v>248.23371778433238</v>
      </c>
      <c r="D57" s="12">
        <f>GOL07ab!D57</f>
        <v>3172.2779999999998</v>
      </c>
      <c r="E57" s="12">
        <v>248.23371778433238</v>
      </c>
      <c r="F57" s="12">
        <v>-20.127000000000407</v>
      </c>
      <c r="G57" s="12">
        <f t="shared" si="0"/>
        <v>3172.2779999999998</v>
      </c>
      <c r="K57" s="18"/>
      <c r="L57" s="18"/>
      <c r="O57" s="12">
        <f t="shared" si="1"/>
        <v>248.23371778433238</v>
      </c>
      <c r="P57" s="12">
        <f t="shared" si="2"/>
        <v>26.33199999999988</v>
      </c>
    </row>
    <row r="58" spans="1:16" x14ac:dyDescent="0.25">
      <c r="A58" s="12" t="s">
        <v>57</v>
      </c>
      <c r="C58" s="12">
        <v>253.16701323463735</v>
      </c>
      <c r="D58" s="12">
        <f>GOL07ab!D58</f>
        <v>3171.4639999999999</v>
      </c>
      <c r="E58" s="12">
        <v>253.16701323463735</v>
      </c>
      <c r="F58" s="12">
        <v>-20.941000000000258</v>
      </c>
      <c r="G58" s="12">
        <f t="shared" si="0"/>
        <v>3171.4639999999999</v>
      </c>
      <c r="K58" s="18"/>
      <c r="L58" s="18"/>
      <c r="O58" s="12">
        <f t="shared" si="1"/>
        <v>253.16701323463735</v>
      </c>
      <c r="P58" s="12">
        <f t="shared" si="2"/>
        <v>25.518000000000029</v>
      </c>
    </row>
    <row r="59" spans="1:16" x14ac:dyDescent="0.25">
      <c r="A59" s="21" t="s">
        <v>58</v>
      </c>
      <c r="C59" s="12">
        <v>258.11328849992537</v>
      </c>
      <c r="D59" s="12">
        <f>GOL07ab!D59</f>
        <v>3170.7330000000002</v>
      </c>
      <c r="E59" s="12">
        <v>258.11328849992537</v>
      </c>
      <c r="F59" s="12">
        <v>-21.672000000000025</v>
      </c>
      <c r="G59" s="12">
        <f t="shared" si="0"/>
        <v>3170.7330000000002</v>
      </c>
      <c r="K59" s="18"/>
      <c r="L59" s="18"/>
      <c r="O59" s="12">
        <f t="shared" si="1"/>
        <v>258.11328849992537</v>
      </c>
      <c r="P59" s="12">
        <f t="shared" si="2"/>
        <v>24.787000000000262</v>
      </c>
    </row>
    <row r="60" spans="1:16" x14ac:dyDescent="0.25">
      <c r="A60" s="12" t="s">
        <v>59</v>
      </c>
      <c r="C60" s="12">
        <v>263.10657589401762</v>
      </c>
      <c r="D60" s="12">
        <f>GOL07ab!D60</f>
        <v>3170.9920000000002</v>
      </c>
      <c r="E60" s="12">
        <v>263.10657589401762</v>
      </c>
      <c r="F60" s="12">
        <v>-21.413000000000011</v>
      </c>
      <c r="G60" s="12">
        <f t="shared" si="0"/>
        <v>3170.9920000000002</v>
      </c>
      <c r="K60" s="18"/>
      <c r="L60" s="18"/>
      <c r="O60" s="12">
        <f t="shared" si="1"/>
        <v>263.10657589401762</v>
      </c>
      <c r="P60" s="12">
        <f t="shared" si="2"/>
        <v>25.046000000000276</v>
      </c>
    </row>
    <row r="61" spans="1:16" x14ac:dyDescent="0.25">
      <c r="A61" s="21" t="s">
        <v>60</v>
      </c>
      <c r="C61" s="12">
        <v>267.80906449049508</v>
      </c>
      <c r="D61" s="12">
        <f>GOL07ab!D61</f>
        <v>3169.2930000000001</v>
      </c>
      <c r="E61" s="12">
        <v>267.80906449049508</v>
      </c>
      <c r="F61" s="12">
        <v>-23.11200000000008</v>
      </c>
      <c r="G61" s="12">
        <f t="shared" si="0"/>
        <v>3169.2930000000001</v>
      </c>
      <c r="K61" s="18"/>
      <c r="L61" s="18"/>
      <c r="O61" s="12">
        <f t="shared" si="1"/>
        <v>267.80906449049508</v>
      </c>
      <c r="P61" s="12">
        <f t="shared" si="2"/>
        <v>23.347000000000207</v>
      </c>
    </row>
    <row r="62" spans="1:16" x14ac:dyDescent="0.25">
      <c r="A62" s="12" t="s">
        <v>61</v>
      </c>
      <c r="C62" s="12">
        <v>271.81206136783567</v>
      </c>
      <c r="D62" s="12">
        <f>GOL07ab!D62</f>
        <v>3166.297</v>
      </c>
      <c r="E62" s="12">
        <v>271.81206136783567</v>
      </c>
      <c r="F62" s="12">
        <v>-26.108000000000175</v>
      </c>
      <c r="G62" s="12">
        <f t="shared" si="0"/>
        <v>3166.297</v>
      </c>
      <c r="K62" s="18"/>
      <c r="L62" s="18"/>
      <c r="O62" s="12">
        <f t="shared" si="1"/>
        <v>271.81206136783567</v>
      </c>
      <c r="P62" s="12">
        <f t="shared" si="2"/>
        <v>20.351000000000113</v>
      </c>
    </row>
    <row r="63" spans="1:16" x14ac:dyDescent="0.25">
      <c r="A63" s="21" t="s">
        <v>62</v>
      </c>
      <c r="C63" s="12">
        <v>276.68569563806977</v>
      </c>
      <c r="D63" s="12">
        <f>GOL07ab!D63</f>
        <v>3165.18</v>
      </c>
      <c r="E63" s="12">
        <v>276.68569563806977</v>
      </c>
      <c r="F63" s="12">
        <v>-27.225000000000364</v>
      </c>
      <c r="G63" s="12">
        <f t="shared" si="0"/>
        <v>3165.18</v>
      </c>
      <c r="K63" s="18"/>
      <c r="L63" s="18"/>
      <c r="O63" s="12">
        <f t="shared" si="1"/>
        <v>276.68569563806977</v>
      </c>
      <c r="P63" s="12">
        <f t="shared" si="2"/>
        <v>19.233999999999924</v>
      </c>
    </row>
    <row r="64" spans="1:16" x14ac:dyDescent="0.25">
      <c r="A64" s="12" t="s">
        <v>63</v>
      </c>
      <c r="C64" s="12">
        <v>281.35506990021668</v>
      </c>
      <c r="D64" s="12">
        <f>GOL07ab!D64</f>
        <v>3163.3919999999998</v>
      </c>
      <c r="E64" s="12">
        <v>281.35506990021668</v>
      </c>
      <c r="F64" s="12">
        <v>-29.013000000000375</v>
      </c>
      <c r="G64" s="12">
        <f t="shared" si="0"/>
        <v>3163.3919999999998</v>
      </c>
      <c r="K64" s="18"/>
      <c r="L64" s="18"/>
      <c r="O64" s="12">
        <f t="shared" si="1"/>
        <v>281.35506990021668</v>
      </c>
      <c r="P64" s="12">
        <f t="shared" si="2"/>
        <v>17.445999999999913</v>
      </c>
    </row>
    <row r="65" spans="1:18" x14ac:dyDescent="0.25">
      <c r="A65" s="21" t="s">
        <v>64</v>
      </c>
      <c r="C65" s="12">
        <v>284.702636777816</v>
      </c>
      <c r="D65" s="12">
        <f>GOL07ab!D65</f>
        <v>3159.6779999999999</v>
      </c>
      <c r="E65" s="12">
        <v>284.702636777816</v>
      </c>
      <c r="F65" s="12">
        <v>-32.727000000000317</v>
      </c>
      <c r="G65" s="12">
        <f t="shared" si="0"/>
        <v>3159.6779999999999</v>
      </c>
      <c r="K65" s="18"/>
      <c r="L65" s="18"/>
      <c r="O65" s="12">
        <f t="shared" si="1"/>
        <v>284.702636777816</v>
      </c>
      <c r="P65" s="12">
        <f t="shared" si="2"/>
        <v>13.731999999999971</v>
      </c>
    </row>
    <row r="66" spans="1:18" x14ac:dyDescent="0.25">
      <c r="A66" s="12" t="s">
        <v>65</v>
      </c>
      <c r="C66" s="12">
        <v>289.02755515854869</v>
      </c>
      <c r="D66" s="12">
        <f>GOL07ab!D66</f>
        <v>3157.1689999999999</v>
      </c>
      <c r="E66" s="12">
        <v>289.02755515854869</v>
      </c>
      <c r="F66" s="12">
        <v>-35.236000000000331</v>
      </c>
      <c r="G66" s="12">
        <f t="shared" si="0"/>
        <v>3157.1689999999999</v>
      </c>
      <c r="K66" s="18"/>
      <c r="L66" s="18"/>
      <c r="O66" s="12">
        <f t="shared" si="1"/>
        <v>289.02755515854869</v>
      </c>
      <c r="P66" s="12">
        <f t="shared" si="2"/>
        <v>11.222999999999956</v>
      </c>
    </row>
    <row r="67" spans="1:18" x14ac:dyDescent="0.25">
      <c r="A67" s="21" t="s">
        <v>66</v>
      </c>
      <c r="C67" s="12">
        <v>293.57346276869657</v>
      </c>
      <c r="D67" s="12">
        <f>GOL07ab!D67</f>
        <v>3155.087</v>
      </c>
      <c r="E67" s="12">
        <v>293.57346276869657</v>
      </c>
      <c r="F67" s="12">
        <v>-37.318000000000211</v>
      </c>
      <c r="G67" s="12">
        <f t="shared" si="0"/>
        <v>3155.087</v>
      </c>
      <c r="K67" s="18"/>
      <c r="L67" s="18"/>
      <c r="O67" s="12">
        <f t="shared" si="1"/>
        <v>293.57346276869657</v>
      </c>
      <c r="P67" s="12">
        <f t="shared" si="2"/>
        <v>9.1410000000000764</v>
      </c>
    </row>
    <row r="68" spans="1:18" x14ac:dyDescent="0.25">
      <c r="A68" s="12" t="s">
        <v>67</v>
      </c>
      <c r="C68" s="12">
        <v>298.38011139325818</v>
      </c>
      <c r="D68" s="12">
        <f>GOL07ab!D68</f>
        <v>3153.71</v>
      </c>
      <c r="E68" s="12">
        <v>298.38011139325818</v>
      </c>
      <c r="F68" s="12">
        <v>-38.695000000000164</v>
      </c>
      <c r="G68" s="12">
        <f t="shared" si="0"/>
        <v>3153.71</v>
      </c>
      <c r="K68" s="18"/>
      <c r="L68" s="18"/>
      <c r="O68" s="12">
        <f t="shared" si="1"/>
        <v>298.38011139325818</v>
      </c>
      <c r="P68" s="12">
        <f t="shared" si="2"/>
        <v>7.7640000000001237</v>
      </c>
    </row>
    <row r="69" spans="1:18" x14ac:dyDescent="0.25">
      <c r="A69" s="21" t="s">
        <v>68</v>
      </c>
      <c r="C69" s="12">
        <v>303.37192509170495</v>
      </c>
      <c r="D69" s="12">
        <f>GOL07ab!D69</f>
        <v>3153.424</v>
      </c>
      <c r="E69" s="12">
        <v>303.37192509170495</v>
      </c>
      <c r="F69" s="12">
        <v>-38.981000000000222</v>
      </c>
      <c r="G69" s="12">
        <f t="shared" si="0"/>
        <v>3153.424</v>
      </c>
      <c r="K69" s="18"/>
      <c r="L69" s="18"/>
      <c r="O69" s="12">
        <f t="shared" si="1"/>
        <v>303.37192509170495</v>
      </c>
      <c r="P69" s="12">
        <f t="shared" si="2"/>
        <v>7.4780000000000655</v>
      </c>
    </row>
    <row r="70" spans="1:18" x14ac:dyDescent="0.25">
      <c r="A70" s="12" t="s">
        <v>69</v>
      </c>
      <c r="C70" s="12">
        <v>308.36808201478084</v>
      </c>
      <c r="D70" s="12">
        <f>GOL07ab!D70</f>
        <v>3153.62</v>
      </c>
      <c r="E70" s="12">
        <v>308.36808201478084</v>
      </c>
      <c r="F70" s="12">
        <v>-38.785000000000309</v>
      </c>
      <c r="G70" s="12">
        <f t="shared" si="0"/>
        <v>3153.62</v>
      </c>
      <c r="K70" s="18"/>
      <c r="L70" s="18"/>
      <c r="O70" s="12">
        <f t="shared" si="1"/>
        <v>308.36808201478084</v>
      </c>
      <c r="P70" s="12">
        <f t="shared" si="2"/>
        <v>7.6739999999999782</v>
      </c>
    </row>
    <row r="71" spans="1:18" x14ac:dyDescent="0.25">
      <c r="A71" s="21" t="s">
        <v>70</v>
      </c>
      <c r="C71" s="12">
        <v>313.24938419760042</v>
      </c>
      <c r="D71" s="12">
        <f>GOL07ab!D71</f>
        <v>3152.5369999999998</v>
      </c>
      <c r="E71" s="12">
        <v>313.24938419760042</v>
      </c>
      <c r="F71" s="12">
        <v>-39.868000000000393</v>
      </c>
      <c r="G71" s="12">
        <f t="shared" ref="G71:G125" si="3">D71</f>
        <v>3152.5369999999998</v>
      </c>
      <c r="K71" s="18"/>
      <c r="L71" s="18"/>
      <c r="O71" s="12">
        <f t="shared" ref="O71:O125" si="4">E71</f>
        <v>313.24938419760042</v>
      </c>
      <c r="P71" s="12">
        <f t="shared" ref="P71:P125" si="5">F71-$T$3</f>
        <v>6.5909999999998945</v>
      </c>
    </row>
    <row r="72" spans="1:18" x14ac:dyDescent="0.25">
      <c r="A72" s="12" t="s">
        <v>71</v>
      </c>
      <c r="C72" s="12">
        <v>318.16022933871409</v>
      </c>
      <c r="D72" s="12">
        <f>GOL07ab!D72</f>
        <v>3151.5970000000002</v>
      </c>
      <c r="E72" s="12">
        <v>318.16022933871409</v>
      </c>
      <c r="F72" s="12">
        <v>-40.807999999999993</v>
      </c>
      <c r="G72" s="12">
        <f t="shared" si="3"/>
        <v>3151.5970000000002</v>
      </c>
      <c r="K72" s="18"/>
      <c r="L72" s="18"/>
      <c r="O72" s="12">
        <f t="shared" si="4"/>
        <v>318.16022933871409</v>
      </c>
      <c r="P72" s="12">
        <f t="shared" si="5"/>
        <v>5.6510000000002947</v>
      </c>
    </row>
    <row r="73" spans="1:18" x14ac:dyDescent="0.25">
      <c r="A73" s="21" t="s">
        <v>72</v>
      </c>
      <c r="C73" s="12">
        <v>323.13586507698915</v>
      </c>
      <c r="D73" s="12">
        <f>GOL07ab!D73</f>
        <v>3151.1039999999998</v>
      </c>
      <c r="E73" s="12">
        <v>323.13586507698915</v>
      </c>
      <c r="F73" s="12">
        <v>-41.301000000000386</v>
      </c>
      <c r="G73" s="12">
        <f t="shared" si="3"/>
        <v>3151.1039999999998</v>
      </c>
      <c r="K73" s="18"/>
      <c r="L73" s="18"/>
      <c r="O73" s="12">
        <f t="shared" si="4"/>
        <v>323.13586507698915</v>
      </c>
      <c r="P73" s="12">
        <f t="shared" si="5"/>
        <v>5.1579999999999018</v>
      </c>
    </row>
    <row r="74" spans="1:18" x14ac:dyDescent="0.25">
      <c r="A74" s="12" t="s">
        <v>73</v>
      </c>
      <c r="C74" s="12">
        <v>328.07745955650694</v>
      </c>
      <c r="D74" s="12">
        <f>GOL07ab!D74</f>
        <v>3150.3420000000001</v>
      </c>
      <c r="E74" s="12">
        <v>328.07745955650694</v>
      </c>
      <c r="F74" s="12">
        <v>-42.063000000000102</v>
      </c>
      <c r="G74" s="12">
        <f t="shared" si="3"/>
        <v>3150.3420000000001</v>
      </c>
      <c r="K74" s="18"/>
      <c r="L74" s="18"/>
      <c r="O74" s="12">
        <f t="shared" si="4"/>
        <v>328.07745955650694</v>
      </c>
      <c r="P74" s="12">
        <f t="shared" si="5"/>
        <v>4.3960000000001855</v>
      </c>
    </row>
    <row r="75" spans="1:18" x14ac:dyDescent="0.25">
      <c r="A75" s="21" t="s">
        <v>74</v>
      </c>
      <c r="C75" s="12">
        <v>332.07295251733149</v>
      </c>
      <c r="D75" s="12">
        <f>GOL07ab!D75</f>
        <v>3147.3359999999998</v>
      </c>
      <c r="E75" s="12">
        <v>332.07295251733149</v>
      </c>
      <c r="F75" s="12">
        <v>-45.069000000000415</v>
      </c>
      <c r="G75" s="12">
        <f t="shared" si="3"/>
        <v>3147.3359999999998</v>
      </c>
      <c r="K75" s="18"/>
      <c r="L75" s="18"/>
      <c r="O75" s="12">
        <f t="shared" si="4"/>
        <v>332.07295251733149</v>
      </c>
      <c r="P75" s="12">
        <f t="shared" si="5"/>
        <v>1.3899999999998727</v>
      </c>
    </row>
    <row r="76" spans="1:18" x14ac:dyDescent="0.25">
      <c r="A76" s="12" t="s">
        <v>75</v>
      </c>
      <c r="B76" s="12" t="s">
        <v>175</v>
      </c>
      <c r="C76" s="12">
        <v>336.22886396970875</v>
      </c>
      <c r="D76" s="12">
        <f>GOL07ab!D76</f>
        <v>3144.556</v>
      </c>
      <c r="E76" s="12">
        <v>336.22886396970875</v>
      </c>
      <c r="F76" s="12">
        <v>-47.84900000000016</v>
      </c>
      <c r="G76" s="12">
        <f t="shared" si="3"/>
        <v>3144.556</v>
      </c>
      <c r="I76" s="12">
        <f>C77-7.5</f>
        <v>333.64142328232788</v>
      </c>
      <c r="J76" s="12">
        <f>F75+((F76-F75)/2)</f>
        <v>-46.459000000000287</v>
      </c>
      <c r="K76" s="18">
        <f>I76</f>
        <v>333.64142328232788</v>
      </c>
      <c r="L76" s="18">
        <f>J76</f>
        <v>-46.459000000000287</v>
      </c>
      <c r="O76" s="12">
        <f t="shared" si="4"/>
        <v>336.22886396970875</v>
      </c>
      <c r="P76" s="12">
        <f t="shared" si="5"/>
        <v>-1.3899999999998727</v>
      </c>
      <c r="Q76" s="12">
        <f>K76</f>
        <v>333.64142328232788</v>
      </c>
      <c r="R76" s="12">
        <f>L76-$T$3</f>
        <v>0</v>
      </c>
    </row>
    <row r="77" spans="1:18" x14ac:dyDescent="0.25">
      <c r="A77" s="21" t="s">
        <v>76</v>
      </c>
      <c r="B77" s="12" t="s">
        <v>103</v>
      </c>
      <c r="C77" s="12">
        <v>341.14142328232788</v>
      </c>
      <c r="D77" s="12">
        <f>GOL07ab!D77</f>
        <v>3143.625</v>
      </c>
      <c r="E77" s="12">
        <v>341.14142328232788</v>
      </c>
      <c r="F77" s="12">
        <v>-48.7800000000002</v>
      </c>
      <c r="G77" s="12">
        <f t="shared" si="3"/>
        <v>3143.625</v>
      </c>
      <c r="I77" s="12">
        <f>C77</f>
        <v>341.14142328232788</v>
      </c>
      <c r="J77" s="12">
        <f>F77</f>
        <v>-48.7800000000002</v>
      </c>
      <c r="K77" s="18">
        <f t="shared" ref="K77:K101" si="6">I77</f>
        <v>341.14142328232788</v>
      </c>
      <c r="L77" s="18">
        <f t="shared" ref="L77:L101" si="7">J77</f>
        <v>-48.7800000000002</v>
      </c>
      <c r="O77" s="12">
        <f t="shared" si="4"/>
        <v>341.14142328232788</v>
      </c>
      <c r="P77" s="12">
        <f t="shared" si="5"/>
        <v>-2.3209999999999127</v>
      </c>
      <c r="Q77" s="12">
        <f t="shared" ref="Q77:Q101" si="8">K77</f>
        <v>341.14142328232788</v>
      </c>
      <c r="R77" s="12">
        <f t="shared" ref="R77:R101" si="9">L77-$T$3</f>
        <v>-2.3209999999999127</v>
      </c>
    </row>
    <row r="78" spans="1:18" x14ac:dyDescent="0.25">
      <c r="A78" s="12" t="s">
        <v>77</v>
      </c>
      <c r="B78" s="12" t="s">
        <v>104</v>
      </c>
      <c r="C78" s="12">
        <v>346.13306419489368</v>
      </c>
      <c r="D78" s="12">
        <f>GOL07ab!D78</f>
        <v>3143.3359999999998</v>
      </c>
      <c r="E78" s="12">
        <v>346.13306419489368</v>
      </c>
      <c r="F78" s="12">
        <v>-49.069000000000415</v>
      </c>
      <c r="G78" s="12">
        <f t="shared" si="3"/>
        <v>3143.3359999999998</v>
      </c>
      <c r="I78" s="12">
        <f t="shared" ref="I78:I100" si="10">C78</f>
        <v>346.13306419489368</v>
      </c>
      <c r="J78" s="12">
        <f t="shared" ref="J78:J100" si="11">F78</f>
        <v>-49.069000000000415</v>
      </c>
      <c r="K78" s="18">
        <f t="shared" si="6"/>
        <v>346.13306419489368</v>
      </c>
      <c r="L78" s="18">
        <f t="shared" si="7"/>
        <v>-49.069000000000415</v>
      </c>
      <c r="O78" s="12">
        <f t="shared" si="4"/>
        <v>346.13306419489368</v>
      </c>
      <c r="P78" s="12">
        <f t="shared" si="5"/>
        <v>-2.6100000000001273</v>
      </c>
      <c r="Q78" s="12">
        <f t="shared" si="8"/>
        <v>346.13306419489368</v>
      </c>
      <c r="R78" s="12">
        <f t="shared" si="9"/>
        <v>-2.6100000000001273</v>
      </c>
    </row>
    <row r="79" spans="1:18" x14ac:dyDescent="0.25">
      <c r="A79" s="21" t="s">
        <v>78</v>
      </c>
      <c r="B79" s="12" t="s">
        <v>105</v>
      </c>
      <c r="C79" s="12">
        <v>350.85541011614941</v>
      </c>
      <c r="D79" s="12">
        <f>GOL07ab!D79</f>
        <v>3141.6930000000002</v>
      </c>
      <c r="E79" s="12">
        <v>350.85541011614941</v>
      </c>
      <c r="F79" s="12">
        <v>-50.711999999999989</v>
      </c>
      <c r="G79" s="12">
        <f t="shared" si="3"/>
        <v>3141.6930000000002</v>
      </c>
      <c r="I79" s="12">
        <f t="shared" si="10"/>
        <v>350.85541011614941</v>
      </c>
      <c r="J79" s="12">
        <f t="shared" si="11"/>
        <v>-50.711999999999989</v>
      </c>
      <c r="K79" s="18">
        <f t="shared" si="6"/>
        <v>350.85541011614941</v>
      </c>
      <c r="L79" s="18">
        <f t="shared" si="7"/>
        <v>-50.711999999999989</v>
      </c>
      <c r="O79" s="12">
        <f t="shared" si="4"/>
        <v>350.85541011614941</v>
      </c>
      <c r="P79" s="12">
        <f t="shared" si="5"/>
        <v>-4.2529999999997017</v>
      </c>
      <c r="Q79" s="12">
        <f t="shared" si="8"/>
        <v>350.85541011614941</v>
      </c>
      <c r="R79" s="12">
        <f t="shared" si="9"/>
        <v>-4.2529999999997017</v>
      </c>
    </row>
    <row r="80" spans="1:18" x14ac:dyDescent="0.25">
      <c r="A80" s="12" t="s">
        <v>79</v>
      </c>
      <c r="B80" s="12" t="s">
        <v>106</v>
      </c>
      <c r="C80" s="12">
        <v>355.70529093942741</v>
      </c>
      <c r="D80" s="12">
        <f>GOL07ab!D80</f>
        <v>3140.4769999999999</v>
      </c>
      <c r="E80" s="12">
        <v>355.70529093942741</v>
      </c>
      <c r="F80" s="12">
        <v>-51.928000000000338</v>
      </c>
      <c r="G80" s="12">
        <f t="shared" si="3"/>
        <v>3140.4769999999999</v>
      </c>
      <c r="I80" s="12">
        <f t="shared" si="10"/>
        <v>355.70529093942741</v>
      </c>
      <c r="J80" s="12">
        <f t="shared" si="11"/>
        <v>-51.928000000000338</v>
      </c>
      <c r="K80" s="18">
        <f t="shared" si="6"/>
        <v>355.70529093942741</v>
      </c>
      <c r="L80" s="18">
        <f t="shared" si="7"/>
        <v>-51.928000000000338</v>
      </c>
      <c r="O80" s="12">
        <f t="shared" si="4"/>
        <v>355.70529093942741</v>
      </c>
      <c r="P80" s="12">
        <f t="shared" si="5"/>
        <v>-5.4690000000000509</v>
      </c>
      <c r="Q80" s="12">
        <f t="shared" si="8"/>
        <v>355.70529093942741</v>
      </c>
      <c r="R80" s="12">
        <f t="shared" si="9"/>
        <v>-5.4690000000000509</v>
      </c>
    </row>
    <row r="81" spans="1:18" x14ac:dyDescent="0.25">
      <c r="A81" s="21" t="s">
        <v>80</v>
      </c>
      <c r="B81" s="12" t="s">
        <v>107</v>
      </c>
      <c r="C81" s="12">
        <v>360.54366659660832</v>
      </c>
      <c r="D81" s="12">
        <f>GOL07ab!D81</f>
        <v>3139.2159999999999</v>
      </c>
      <c r="E81" s="12">
        <v>360.54366659660832</v>
      </c>
      <c r="F81" s="12">
        <v>-53.189000000000306</v>
      </c>
      <c r="G81" s="12">
        <f t="shared" si="3"/>
        <v>3139.2159999999999</v>
      </c>
      <c r="I81" s="12">
        <f t="shared" si="10"/>
        <v>360.54366659660832</v>
      </c>
      <c r="J81" s="12">
        <f t="shared" si="11"/>
        <v>-53.189000000000306</v>
      </c>
      <c r="K81" s="18">
        <f t="shared" si="6"/>
        <v>360.54366659660832</v>
      </c>
      <c r="L81" s="18">
        <f t="shared" si="7"/>
        <v>-53.189000000000306</v>
      </c>
      <c r="O81" s="12">
        <f t="shared" si="4"/>
        <v>360.54366659660832</v>
      </c>
      <c r="P81" s="12">
        <f t="shared" si="5"/>
        <v>-6.7300000000000182</v>
      </c>
      <c r="Q81" s="12">
        <f t="shared" si="8"/>
        <v>360.54366659660832</v>
      </c>
      <c r="R81" s="12">
        <f t="shared" si="9"/>
        <v>-6.7300000000000182</v>
      </c>
    </row>
    <row r="82" spans="1:18" x14ac:dyDescent="0.25">
      <c r="A82" s="12" t="s">
        <v>81</v>
      </c>
      <c r="B82" s="12" t="s">
        <v>108</v>
      </c>
      <c r="C82" s="12">
        <v>365.06113834527491</v>
      </c>
      <c r="D82" s="12">
        <f>GOL07ab!D82</f>
        <v>3141.3589999999999</v>
      </c>
      <c r="E82" s="12">
        <v>365.06113834527491</v>
      </c>
      <c r="F82" s="12">
        <v>-51.046000000000276</v>
      </c>
      <c r="G82" s="12">
        <f t="shared" si="3"/>
        <v>3141.3589999999999</v>
      </c>
      <c r="I82" s="12">
        <f t="shared" si="10"/>
        <v>365.06113834527491</v>
      </c>
      <c r="J82" s="12">
        <f t="shared" si="11"/>
        <v>-51.046000000000276</v>
      </c>
      <c r="K82" s="18">
        <f t="shared" si="6"/>
        <v>365.06113834527491</v>
      </c>
      <c r="L82" s="18">
        <f t="shared" si="7"/>
        <v>-51.046000000000276</v>
      </c>
      <c r="O82" s="12">
        <f t="shared" si="4"/>
        <v>365.06113834527491</v>
      </c>
      <c r="P82" s="12">
        <f t="shared" si="5"/>
        <v>-4.5869999999999891</v>
      </c>
      <c r="Q82" s="12">
        <f t="shared" si="8"/>
        <v>365.06113834527491</v>
      </c>
      <c r="R82" s="12">
        <f t="shared" si="9"/>
        <v>-4.5869999999999891</v>
      </c>
    </row>
    <row r="83" spans="1:18" x14ac:dyDescent="0.25">
      <c r="A83" s="21" t="s">
        <v>82</v>
      </c>
      <c r="B83" s="12" t="s">
        <v>109</v>
      </c>
      <c r="C83" s="12">
        <v>369.94199636410735</v>
      </c>
      <c r="D83" s="12">
        <f>GOL07ab!D83</f>
        <v>3142.444</v>
      </c>
      <c r="E83" s="12">
        <v>369.94199636410735</v>
      </c>
      <c r="F83" s="12">
        <v>-49.96100000000024</v>
      </c>
      <c r="G83" s="12">
        <f t="shared" si="3"/>
        <v>3142.444</v>
      </c>
      <c r="I83" s="12">
        <f t="shared" si="10"/>
        <v>369.94199636410735</v>
      </c>
      <c r="J83" s="12">
        <f t="shared" si="11"/>
        <v>-49.96100000000024</v>
      </c>
      <c r="K83" s="18">
        <f t="shared" si="6"/>
        <v>369.94199636410735</v>
      </c>
      <c r="L83" s="18">
        <f t="shared" si="7"/>
        <v>-49.96100000000024</v>
      </c>
      <c r="O83" s="12">
        <f t="shared" si="4"/>
        <v>369.94199636410735</v>
      </c>
      <c r="P83" s="12">
        <f t="shared" si="5"/>
        <v>-3.5019999999999527</v>
      </c>
      <c r="Q83" s="12">
        <f t="shared" si="8"/>
        <v>369.94199636410735</v>
      </c>
      <c r="R83" s="12">
        <f t="shared" si="9"/>
        <v>-3.5019999999999527</v>
      </c>
    </row>
    <row r="84" spans="1:18" x14ac:dyDescent="0.25">
      <c r="A84" s="12" t="s">
        <v>83</v>
      </c>
      <c r="B84" s="12" t="s">
        <v>110</v>
      </c>
      <c r="C84" s="12">
        <v>374.92286285499017</v>
      </c>
      <c r="D84" s="12">
        <f>GOL07ab!D84</f>
        <v>3142.8809999999999</v>
      </c>
      <c r="E84" s="12">
        <v>374.92286285499017</v>
      </c>
      <c r="F84" s="12">
        <v>-49.524000000000342</v>
      </c>
      <c r="G84" s="12">
        <f t="shared" si="3"/>
        <v>3142.8809999999999</v>
      </c>
      <c r="I84" s="12">
        <f t="shared" si="10"/>
        <v>374.92286285499017</v>
      </c>
      <c r="J84" s="12">
        <f t="shared" si="11"/>
        <v>-49.524000000000342</v>
      </c>
      <c r="K84" s="18">
        <f t="shared" si="6"/>
        <v>374.92286285499017</v>
      </c>
      <c r="L84" s="18">
        <f t="shared" si="7"/>
        <v>-49.524000000000342</v>
      </c>
      <c r="O84" s="12">
        <f t="shared" si="4"/>
        <v>374.92286285499017</v>
      </c>
      <c r="P84" s="12">
        <f t="shared" si="5"/>
        <v>-3.0650000000000546</v>
      </c>
      <c r="Q84" s="12">
        <f t="shared" si="8"/>
        <v>374.92286285499017</v>
      </c>
      <c r="R84" s="12">
        <f t="shared" si="9"/>
        <v>-3.0650000000000546</v>
      </c>
    </row>
    <row r="85" spans="1:18" x14ac:dyDescent="0.25">
      <c r="A85" s="21" t="s">
        <v>84</v>
      </c>
      <c r="B85" s="12" t="s">
        <v>111</v>
      </c>
      <c r="C85" s="12">
        <v>379.67096889845629</v>
      </c>
      <c r="D85" s="12">
        <f>GOL07ab!D85</f>
        <v>3141.3139999999999</v>
      </c>
      <c r="E85" s="12">
        <v>379.67096889845629</v>
      </c>
      <c r="F85" s="12">
        <v>-51.091000000000349</v>
      </c>
      <c r="G85" s="12">
        <f t="shared" si="3"/>
        <v>3141.3139999999999</v>
      </c>
      <c r="I85" s="12">
        <f t="shared" si="10"/>
        <v>379.67096889845629</v>
      </c>
      <c r="J85" s="12">
        <f t="shared" si="11"/>
        <v>-51.091000000000349</v>
      </c>
      <c r="K85" s="18">
        <f t="shared" si="6"/>
        <v>379.67096889845629</v>
      </c>
      <c r="L85" s="18">
        <f t="shared" si="7"/>
        <v>-51.091000000000349</v>
      </c>
      <c r="O85" s="12">
        <f t="shared" si="4"/>
        <v>379.67096889845629</v>
      </c>
      <c r="P85" s="12">
        <f t="shared" si="5"/>
        <v>-4.6320000000000618</v>
      </c>
      <c r="Q85" s="12">
        <f t="shared" si="8"/>
        <v>379.67096889845629</v>
      </c>
      <c r="R85" s="12">
        <f t="shared" si="9"/>
        <v>-4.6320000000000618</v>
      </c>
    </row>
    <row r="86" spans="1:18" x14ac:dyDescent="0.25">
      <c r="A86" s="12" t="s">
        <v>85</v>
      </c>
      <c r="B86" s="12" t="s">
        <v>112</v>
      </c>
      <c r="C86" s="12">
        <v>384.56393926419537</v>
      </c>
      <c r="D86" s="12">
        <f>GOL07ab!D86</f>
        <v>3140.2849999999999</v>
      </c>
      <c r="E86" s="12">
        <v>384.56393926419537</v>
      </c>
      <c r="F86" s="12">
        <v>-52.120000000000346</v>
      </c>
      <c r="G86" s="12">
        <f t="shared" si="3"/>
        <v>3140.2849999999999</v>
      </c>
      <c r="I86" s="12">
        <f t="shared" si="10"/>
        <v>384.56393926419537</v>
      </c>
      <c r="J86" s="12">
        <f t="shared" si="11"/>
        <v>-52.120000000000346</v>
      </c>
      <c r="K86" s="18">
        <f t="shared" si="6"/>
        <v>384.56393926419537</v>
      </c>
      <c r="L86" s="18">
        <f t="shared" si="7"/>
        <v>-52.120000000000346</v>
      </c>
      <c r="O86" s="12">
        <f t="shared" si="4"/>
        <v>384.56393926419537</v>
      </c>
      <c r="P86" s="12">
        <f t="shared" si="5"/>
        <v>-5.6610000000000582</v>
      </c>
      <c r="Q86" s="12">
        <f t="shared" si="8"/>
        <v>384.56393926419537</v>
      </c>
      <c r="R86" s="12">
        <f t="shared" si="9"/>
        <v>-5.6610000000000582</v>
      </c>
    </row>
    <row r="87" spans="1:18" x14ac:dyDescent="0.25">
      <c r="A87" s="21" t="s">
        <v>86</v>
      </c>
      <c r="B87" s="12" t="s">
        <v>113</v>
      </c>
      <c r="C87" s="12">
        <v>389.47208392384005</v>
      </c>
      <c r="D87" s="12">
        <f>GOL07ab!D87</f>
        <v>3141.239</v>
      </c>
      <c r="E87" s="12">
        <v>389.47208392384005</v>
      </c>
      <c r="F87" s="12">
        <v>-51.166000000000167</v>
      </c>
      <c r="G87" s="12">
        <f t="shared" si="3"/>
        <v>3141.239</v>
      </c>
      <c r="I87" s="12">
        <f t="shared" si="10"/>
        <v>389.47208392384005</v>
      </c>
      <c r="J87" s="12">
        <f t="shared" si="11"/>
        <v>-51.166000000000167</v>
      </c>
      <c r="K87" s="18">
        <f t="shared" si="6"/>
        <v>389.47208392384005</v>
      </c>
      <c r="L87" s="18">
        <f t="shared" si="7"/>
        <v>-51.166000000000167</v>
      </c>
      <c r="O87" s="12">
        <f t="shared" si="4"/>
        <v>389.47208392384005</v>
      </c>
      <c r="P87" s="12">
        <f t="shared" si="5"/>
        <v>-4.7069999999998799</v>
      </c>
      <c r="Q87" s="12">
        <f t="shared" si="8"/>
        <v>389.47208392384005</v>
      </c>
      <c r="R87" s="12">
        <f t="shared" si="9"/>
        <v>-4.7069999999998799</v>
      </c>
    </row>
    <row r="88" spans="1:18" x14ac:dyDescent="0.25">
      <c r="A88" s="12" t="s">
        <v>87</v>
      </c>
      <c r="B88" s="12" t="s">
        <v>114</v>
      </c>
      <c r="C88" s="12">
        <v>394.4719683225037</v>
      </c>
      <c r="D88" s="12">
        <f>GOL07ab!D88</f>
        <v>3141.2730000000001</v>
      </c>
      <c r="E88" s="12">
        <v>394.4719683225037</v>
      </c>
      <c r="F88" s="12">
        <v>-51.132000000000062</v>
      </c>
      <c r="G88" s="12">
        <f t="shared" si="3"/>
        <v>3141.2730000000001</v>
      </c>
      <c r="I88" s="12">
        <f t="shared" si="10"/>
        <v>394.4719683225037</v>
      </c>
      <c r="J88" s="12">
        <f t="shared" si="11"/>
        <v>-51.132000000000062</v>
      </c>
      <c r="K88" s="18">
        <f t="shared" si="6"/>
        <v>394.4719683225037</v>
      </c>
      <c r="L88" s="18">
        <f t="shared" si="7"/>
        <v>-51.132000000000062</v>
      </c>
      <c r="O88" s="12">
        <f t="shared" si="4"/>
        <v>394.4719683225037</v>
      </c>
      <c r="P88" s="12">
        <f t="shared" si="5"/>
        <v>-4.6729999999997744</v>
      </c>
      <c r="Q88" s="12">
        <f t="shared" si="8"/>
        <v>394.4719683225037</v>
      </c>
      <c r="R88" s="12">
        <f t="shared" si="9"/>
        <v>-4.6729999999997744</v>
      </c>
    </row>
    <row r="89" spans="1:18" x14ac:dyDescent="0.25">
      <c r="A89" s="21" t="s">
        <v>88</v>
      </c>
      <c r="B89" s="12" t="s">
        <v>115</v>
      </c>
      <c r="C89" s="12">
        <v>399.14932986508302</v>
      </c>
      <c r="D89" s="12">
        <f>GOL07ab!D89</f>
        <v>3139.5059999999999</v>
      </c>
      <c r="E89" s="12">
        <v>399.14932986508302</v>
      </c>
      <c r="F89" s="12">
        <v>-52.899000000000342</v>
      </c>
      <c r="G89" s="12">
        <f t="shared" si="3"/>
        <v>3139.5059999999999</v>
      </c>
      <c r="I89" s="12">
        <f t="shared" si="10"/>
        <v>399.14932986508302</v>
      </c>
      <c r="J89" s="12">
        <f t="shared" si="11"/>
        <v>-52.899000000000342</v>
      </c>
      <c r="K89" s="18">
        <f t="shared" si="6"/>
        <v>399.14932986508302</v>
      </c>
      <c r="L89" s="18">
        <f t="shared" si="7"/>
        <v>-52.899000000000342</v>
      </c>
      <c r="O89" s="12">
        <f t="shared" si="4"/>
        <v>399.14932986508302</v>
      </c>
      <c r="P89" s="12">
        <f t="shared" si="5"/>
        <v>-6.4400000000000546</v>
      </c>
      <c r="Q89" s="12">
        <f t="shared" si="8"/>
        <v>399.14932986508302</v>
      </c>
      <c r="R89" s="12">
        <f t="shared" si="9"/>
        <v>-6.4400000000000546</v>
      </c>
    </row>
    <row r="90" spans="1:18" x14ac:dyDescent="0.25">
      <c r="A90" s="12" t="s">
        <v>89</v>
      </c>
      <c r="B90" s="12" t="s">
        <v>116</v>
      </c>
      <c r="C90" s="12">
        <v>403.75720562295669</v>
      </c>
      <c r="D90" s="12">
        <f>GOL07ab!D90</f>
        <v>3137.5650000000001</v>
      </c>
      <c r="E90" s="12">
        <v>403.75720562295669</v>
      </c>
      <c r="F90" s="12">
        <v>-54.840000000000146</v>
      </c>
      <c r="G90" s="12">
        <f t="shared" si="3"/>
        <v>3137.5650000000001</v>
      </c>
      <c r="I90" s="12">
        <f t="shared" si="10"/>
        <v>403.75720562295669</v>
      </c>
      <c r="J90" s="12">
        <f t="shared" si="11"/>
        <v>-54.840000000000146</v>
      </c>
      <c r="K90" s="18">
        <f t="shared" si="6"/>
        <v>403.75720562295669</v>
      </c>
      <c r="L90" s="18">
        <f t="shared" si="7"/>
        <v>-54.840000000000146</v>
      </c>
      <c r="O90" s="12">
        <f t="shared" si="4"/>
        <v>403.75720562295669</v>
      </c>
      <c r="P90" s="12">
        <f t="shared" si="5"/>
        <v>-8.3809999999998581</v>
      </c>
      <c r="Q90" s="12">
        <f t="shared" si="8"/>
        <v>403.75720562295669</v>
      </c>
      <c r="R90" s="12">
        <f t="shared" si="9"/>
        <v>-8.3809999999998581</v>
      </c>
    </row>
    <row r="91" spans="1:18" x14ac:dyDescent="0.25">
      <c r="A91" s="21" t="s">
        <v>90</v>
      </c>
      <c r="B91" s="12" t="s">
        <v>117</v>
      </c>
      <c r="C91" s="12">
        <v>408.72495269783872</v>
      </c>
      <c r="D91" s="12">
        <f>GOL07ab!D91</f>
        <v>3136.998</v>
      </c>
      <c r="E91" s="12">
        <v>408.72495269783872</v>
      </c>
      <c r="F91" s="12">
        <v>-55.407000000000153</v>
      </c>
      <c r="G91" s="12">
        <f t="shared" si="3"/>
        <v>3136.998</v>
      </c>
      <c r="I91" s="12">
        <f t="shared" si="10"/>
        <v>408.72495269783872</v>
      </c>
      <c r="J91" s="12">
        <f t="shared" si="11"/>
        <v>-55.407000000000153</v>
      </c>
      <c r="K91" s="18">
        <f t="shared" si="6"/>
        <v>408.72495269783872</v>
      </c>
      <c r="L91" s="18">
        <f t="shared" si="7"/>
        <v>-55.407000000000153</v>
      </c>
      <c r="O91" s="12">
        <f t="shared" si="4"/>
        <v>408.72495269783872</v>
      </c>
      <c r="P91" s="12">
        <f t="shared" si="5"/>
        <v>-8.9479999999998654</v>
      </c>
      <c r="Q91" s="12">
        <f t="shared" si="8"/>
        <v>408.72495269783872</v>
      </c>
      <c r="R91" s="12">
        <f t="shared" si="9"/>
        <v>-8.9479999999998654</v>
      </c>
    </row>
    <row r="92" spans="1:18" x14ac:dyDescent="0.25">
      <c r="A92" s="12" t="s">
        <v>91</v>
      </c>
      <c r="B92" s="12" t="s">
        <v>118</v>
      </c>
      <c r="C92" s="12">
        <v>413.58298841199326</v>
      </c>
      <c r="D92" s="12">
        <f>GOL07ab!D92</f>
        <v>3135.8150000000001</v>
      </c>
      <c r="E92" s="12">
        <v>413.58298841199326</v>
      </c>
      <c r="F92" s="12">
        <v>-56.590000000000146</v>
      </c>
      <c r="G92" s="12">
        <f t="shared" si="3"/>
        <v>3135.8150000000001</v>
      </c>
      <c r="I92" s="12">
        <f t="shared" si="10"/>
        <v>413.58298841199326</v>
      </c>
      <c r="J92" s="12">
        <f t="shared" si="11"/>
        <v>-56.590000000000146</v>
      </c>
      <c r="K92" s="18">
        <f t="shared" si="6"/>
        <v>413.58298841199326</v>
      </c>
      <c r="L92" s="18">
        <f t="shared" si="7"/>
        <v>-56.590000000000146</v>
      </c>
      <c r="O92" s="12">
        <f t="shared" si="4"/>
        <v>413.58298841199326</v>
      </c>
      <c r="P92" s="12">
        <f t="shared" si="5"/>
        <v>-10.130999999999858</v>
      </c>
      <c r="Q92" s="12">
        <f t="shared" si="8"/>
        <v>413.58298841199326</v>
      </c>
      <c r="R92" s="12">
        <f t="shared" si="9"/>
        <v>-10.130999999999858</v>
      </c>
    </row>
    <row r="93" spans="1:18" x14ac:dyDescent="0.25">
      <c r="A93" s="21" t="s">
        <v>92</v>
      </c>
      <c r="B93" s="12" t="s">
        <v>119</v>
      </c>
      <c r="C93" s="12">
        <v>418.42188487709768</v>
      </c>
      <c r="D93" s="12">
        <f>GOL07ab!D93</f>
        <v>3134.556</v>
      </c>
      <c r="E93" s="12">
        <v>418.42188487709768</v>
      </c>
      <c r="F93" s="12">
        <v>-57.84900000000016</v>
      </c>
      <c r="G93" s="12">
        <f t="shared" si="3"/>
        <v>3134.556</v>
      </c>
      <c r="I93" s="12">
        <f t="shared" si="10"/>
        <v>418.42188487709768</v>
      </c>
      <c r="J93" s="12">
        <f t="shared" si="11"/>
        <v>-57.84900000000016</v>
      </c>
      <c r="K93" s="18">
        <f t="shared" si="6"/>
        <v>418.42188487709768</v>
      </c>
      <c r="L93" s="18">
        <f t="shared" si="7"/>
        <v>-57.84900000000016</v>
      </c>
      <c r="O93" s="12">
        <f t="shared" si="4"/>
        <v>418.42188487709768</v>
      </c>
      <c r="P93" s="12">
        <f t="shared" si="5"/>
        <v>-11.389999999999873</v>
      </c>
      <c r="Q93" s="12">
        <f t="shared" si="8"/>
        <v>418.42188487709768</v>
      </c>
      <c r="R93" s="12">
        <f t="shared" si="9"/>
        <v>-11.389999999999873</v>
      </c>
    </row>
    <row r="94" spans="1:18" x14ac:dyDescent="0.25">
      <c r="A94" s="12" t="s">
        <v>93</v>
      </c>
      <c r="B94" s="12" t="s">
        <v>120</v>
      </c>
      <c r="C94" s="12">
        <v>423.3516693551453</v>
      </c>
      <c r="D94" s="12">
        <f>GOL07ab!D94</f>
        <v>3133.721</v>
      </c>
      <c r="E94" s="12">
        <v>423.3516693551453</v>
      </c>
      <c r="F94" s="12">
        <v>-58.684000000000196</v>
      </c>
      <c r="G94" s="12">
        <f t="shared" si="3"/>
        <v>3133.721</v>
      </c>
      <c r="I94" s="12">
        <f t="shared" si="10"/>
        <v>423.3516693551453</v>
      </c>
      <c r="J94" s="12">
        <f t="shared" si="11"/>
        <v>-58.684000000000196</v>
      </c>
      <c r="K94" s="18">
        <f t="shared" si="6"/>
        <v>423.3516693551453</v>
      </c>
      <c r="L94" s="18">
        <f t="shared" si="7"/>
        <v>-58.684000000000196</v>
      </c>
      <c r="O94" s="12">
        <f t="shared" si="4"/>
        <v>423.3516693551453</v>
      </c>
      <c r="P94" s="12">
        <f t="shared" si="5"/>
        <v>-12.224999999999909</v>
      </c>
      <c r="Q94" s="12">
        <f t="shared" si="8"/>
        <v>423.3516693551453</v>
      </c>
      <c r="R94" s="12">
        <f t="shared" si="9"/>
        <v>-12.224999999999909</v>
      </c>
    </row>
    <row r="95" spans="1:18" x14ac:dyDescent="0.25">
      <c r="A95" s="21" t="s">
        <v>94</v>
      </c>
      <c r="B95" s="12" t="s">
        <v>121</v>
      </c>
      <c r="C95" s="12">
        <v>428.32809126250004</v>
      </c>
      <c r="D95" s="12">
        <f>GOL07ab!D95</f>
        <v>3133.2359999999999</v>
      </c>
      <c r="E95" s="12">
        <v>428.32809126250004</v>
      </c>
      <c r="F95" s="12">
        <v>-59.169000000000324</v>
      </c>
      <c r="G95" s="12">
        <f t="shared" si="3"/>
        <v>3133.2359999999999</v>
      </c>
      <c r="I95" s="12">
        <f t="shared" si="10"/>
        <v>428.32809126250004</v>
      </c>
      <c r="J95" s="12">
        <f t="shared" si="11"/>
        <v>-59.169000000000324</v>
      </c>
      <c r="K95" s="18">
        <f t="shared" si="6"/>
        <v>428.32809126250004</v>
      </c>
      <c r="L95" s="18">
        <f t="shared" si="7"/>
        <v>-59.169000000000324</v>
      </c>
      <c r="O95" s="12">
        <f t="shared" si="4"/>
        <v>428.32809126250004</v>
      </c>
      <c r="P95" s="12">
        <f t="shared" si="5"/>
        <v>-12.710000000000036</v>
      </c>
      <c r="Q95" s="12">
        <f t="shared" si="8"/>
        <v>428.32809126250004</v>
      </c>
      <c r="R95" s="12">
        <f t="shared" si="9"/>
        <v>-12.710000000000036</v>
      </c>
    </row>
    <row r="96" spans="1:18" x14ac:dyDescent="0.25">
      <c r="A96" s="12" t="s">
        <v>95</v>
      </c>
      <c r="B96" s="12" t="s">
        <v>122</v>
      </c>
      <c r="C96" s="12">
        <v>433.2737737229902</v>
      </c>
      <c r="D96" s="12">
        <f>GOL07ab!D96</f>
        <v>3132.5010000000002</v>
      </c>
      <c r="E96" s="12">
        <v>433.2737737229902</v>
      </c>
      <c r="F96" s="12">
        <v>-59.903999999999996</v>
      </c>
      <c r="G96" s="12">
        <f t="shared" si="3"/>
        <v>3132.5010000000002</v>
      </c>
      <c r="I96" s="12">
        <f t="shared" si="10"/>
        <v>433.2737737229902</v>
      </c>
      <c r="J96" s="12">
        <f t="shared" si="11"/>
        <v>-59.903999999999996</v>
      </c>
      <c r="K96" s="18">
        <f t="shared" si="6"/>
        <v>433.2737737229902</v>
      </c>
      <c r="L96" s="18">
        <f t="shared" si="7"/>
        <v>-59.903999999999996</v>
      </c>
      <c r="O96" s="12">
        <f t="shared" si="4"/>
        <v>433.2737737229902</v>
      </c>
      <c r="P96" s="12">
        <f t="shared" si="5"/>
        <v>-13.444999999999709</v>
      </c>
      <c r="Q96" s="12">
        <f t="shared" si="8"/>
        <v>433.2737737229902</v>
      </c>
      <c r="R96" s="12">
        <f t="shared" si="9"/>
        <v>-13.444999999999709</v>
      </c>
    </row>
    <row r="97" spans="1:18" x14ac:dyDescent="0.25">
      <c r="A97" s="21" t="s">
        <v>96</v>
      </c>
      <c r="B97" s="12" t="s">
        <v>123</v>
      </c>
      <c r="C97" s="12">
        <v>438.19767857584839</v>
      </c>
      <c r="D97" s="12">
        <f>GOL07ab!D97</f>
        <v>3131.6320000000001</v>
      </c>
      <c r="E97" s="12">
        <v>438.19767857584839</v>
      </c>
      <c r="F97" s="12">
        <v>-60.773000000000138</v>
      </c>
      <c r="G97" s="12">
        <f t="shared" si="3"/>
        <v>3131.6320000000001</v>
      </c>
      <c r="I97" s="12">
        <f t="shared" si="10"/>
        <v>438.19767857584839</v>
      </c>
      <c r="J97" s="12">
        <f t="shared" si="11"/>
        <v>-60.773000000000138</v>
      </c>
      <c r="K97" s="18">
        <f t="shared" si="6"/>
        <v>438.19767857584839</v>
      </c>
      <c r="L97" s="18">
        <f t="shared" si="7"/>
        <v>-60.773000000000138</v>
      </c>
      <c r="O97" s="12">
        <f t="shared" si="4"/>
        <v>438.19767857584839</v>
      </c>
      <c r="P97" s="12">
        <f t="shared" si="5"/>
        <v>-14.313999999999851</v>
      </c>
      <c r="Q97" s="12">
        <f t="shared" si="8"/>
        <v>438.19767857584839</v>
      </c>
      <c r="R97" s="12">
        <f t="shared" si="9"/>
        <v>-14.313999999999851</v>
      </c>
    </row>
    <row r="98" spans="1:18" x14ac:dyDescent="0.25">
      <c r="A98" s="12" t="s">
        <v>97</v>
      </c>
      <c r="B98" s="12" t="s">
        <v>124</v>
      </c>
      <c r="C98" s="12">
        <v>443.16644461984765</v>
      </c>
      <c r="D98" s="12">
        <f>GOL07ab!D98</f>
        <v>3132.19</v>
      </c>
      <c r="E98" s="12">
        <v>443.16644461984765</v>
      </c>
      <c r="F98" s="12">
        <v>-60.215000000000146</v>
      </c>
      <c r="G98" s="12">
        <f t="shared" si="3"/>
        <v>3132.19</v>
      </c>
      <c r="I98" s="12">
        <f t="shared" si="10"/>
        <v>443.16644461984765</v>
      </c>
      <c r="J98" s="12">
        <f t="shared" si="11"/>
        <v>-60.215000000000146</v>
      </c>
      <c r="K98" s="18">
        <f t="shared" si="6"/>
        <v>443.16644461984765</v>
      </c>
      <c r="L98" s="18">
        <f t="shared" si="7"/>
        <v>-60.215000000000146</v>
      </c>
      <c r="O98" s="12">
        <f t="shared" si="4"/>
        <v>443.16644461984765</v>
      </c>
      <c r="P98" s="12">
        <f t="shared" si="5"/>
        <v>-13.755999999999858</v>
      </c>
      <c r="Q98" s="12">
        <f t="shared" si="8"/>
        <v>443.16644461984765</v>
      </c>
      <c r="R98" s="12">
        <f t="shared" si="9"/>
        <v>-13.755999999999858</v>
      </c>
    </row>
    <row r="99" spans="1:18" x14ac:dyDescent="0.25">
      <c r="A99" s="21" t="s">
        <v>98</v>
      </c>
      <c r="B99" s="12" t="s">
        <v>125</v>
      </c>
      <c r="C99" s="12">
        <v>447.97990397877038</v>
      </c>
      <c r="D99" s="12">
        <f>GOL07ab!D99</f>
        <v>3130.837</v>
      </c>
      <c r="E99" s="12">
        <v>447.97990397877038</v>
      </c>
      <c r="F99" s="12">
        <v>-61.568000000000211</v>
      </c>
      <c r="G99" s="12">
        <f t="shared" si="3"/>
        <v>3130.837</v>
      </c>
      <c r="I99" s="12">
        <f t="shared" si="10"/>
        <v>447.97990397877038</v>
      </c>
      <c r="J99" s="12">
        <f t="shared" si="11"/>
        <v>-61.568000000000211</v>
      </c>
      <c r="K99" s="18">
        <f t="shared" si="6"/>
        <v>447.97990397877038</v>
      </c>
      <c r="L99" s="18">
        <f t="shared" si="7"/>
        <v>-61.568000000000211</v>
      </c>
      <c r="O99" s="12">
        <f t="shared" si="4"/>
        <v>447.97990397877038</v>
      </c>
      <c r="P99" s="12">
        <f t="shared" si="5"/>
        <v>-15.108999999999924</v>
      </c>
      <c r="Q99" s="12">
        <f t="shared" si="8"/>
        <v>447.97990397877038</v>
      </c>
      <c r="R99" s="12">
        <f t="shared" si="9"/>
        <v>-15.108999999999924</v>
      </c>
    </row>
    <row r="100" spans="1:18" x14ac:dyDescent="0.25">
      <c r="A100" s="12" t="s">
        <v>99</v>
      </c>
      <c r="B100" s="12" t="s">
        <v>126</v>
      </c>
      <c r="C100" s="12">
        <v>452.6794944928472</v>
      </c>
      <c r="D100" s="12">
        <f>GOL07ab!D100</f>
        <v>3129.13</v>
      </c>
      <c r="E100" s="12">
        <v>452.6794944928472</v>
      </c>
      <c r="F100" s="12">
        <v>-63.275000000000091</v>
      </c>
      <c r="G100" s="12">
        <f t="shared" si="3"/>
        <v>3129.13</v>
      </c>
      <c r="I100" s="12">
        <f t="shared" si="10"/>
        <v>452.6794944928472</v>
      </c>
      <c r="J100" s="12">
        <f t="shared" si="11"/>
        <v>-63.275000000000091</v>
      </c>
      <c r="K100" s="18">
        <f t="shared" si="6"/>
        <v>452.6794944928472</v>
      </c>
      <c r="L100" s="18">
        <f t="shared" si="7"/>
        <v>-63.275000000000091</v>
      </c>
      <c r="O100" s="12">
        <f t="shared" si="4"/>
        <v>452.6794944928472</v>
      </c>
      <c r="P100" s="12">
        <f t="shared" si="5"/>
        <v>-16.815999999999804</v>
      </c>
      <c r="Q100" s="12">
        <f t="shared" si="8"/>
        <v>452.6794944928472</v>
      </c>
      <c r="R100" s="12">
        <f t="shared" si="9"/>
        <v>-16.815999999999804</v>
      </c>
    </row>
    <row r="101" spans="1:18" x14ac:dyDescent="0.25">
      <c r="A101" s="21" t="s">
        <v>100</v>
      </c>
      <c r="B101" s="12" t="s">
        <v>175</v>
      </c>
      <c r="C101" s="12">
        <v>457.62606492093164</v>
      </c>
      <c r="D101" s="12">
        <f>GOL07ab!D101</f>
        <v>3129.8589999999999</v>
      </c>
      <c r="E101" s="12">
        <v>457.62606492093164</v>
      </c>
      <c r="F101" s="12">
        <v>-62.546000000000276</v>
      </c>
      <c r="G101" s="12">
        <f t="shared" si="3"/>
        <v>3129.8589999999999</v>
      </c>
      <c r="I101" s="12">
        <f>C101+7.5</f>
        <v>465.12606492093164</v>
      </c>
      <c r="J101" s="12">
        <f>F100+((F101-F100)/2)</f>
        <v>-62.910500000000184</v>
      </c>
      <c r="K101" s="18">
        <f t="shared" si="6"/>
        <v>465.12606492093164</v>
      </c>
      <c r="L101" s="18">
        <f t="shared" si="7"/>
        <v>-62.910500000000184</v>
      </c>
      <c r="O101" s="12">
        <f t="shared" si="4"/>
        <v>457.62606492093164</v>
      </c>
      <c r="P101" s="12">
        <f t="shared" si="5"/>
        <v>-16.086999999999989</v>
      </c>
      <c r="Q101" s="12">
        <f t="shared" si="8"/>
        <v>465.12606492093164</v>
      </c>
      <c r="R101" s="12">
        <f t="shared" si="9"/>
        <v>-16.451499999999896</v>
      </c>
    </row>
    <row r="102" spans="1:18" x14ac:dyDescent="0.25">
      <c r="A102" s="12" t="s">
        <v>187</v>
      </c>
      <c r="C102" s="12">
        <v>462.22461153915788</v>
      </c>
      <c r="D102" s="12">
        <f>GOL07ab!D102</f>
        <v>3127.8960000000002</v>
      </c>
      <c r="E102" s="12">
        <v>462.22461153915788</v>
      </c>
      <c r="F102" s="12">
        <v>-64.509000000000015</v>
      </c>
      <c r="G102" s="12">
        <f t="shared" si="3"/>
        <v>3127.8960000000002</v>
      </c>
      <c r="K102" s="18"/>
      <c r="L102" s="18"/>
      <c r="O102" s="12">
        <f t="shared" si="4"/>
        <v>462.22461153915788</v>
      </c>
      <c r="P102" s="12">
        <f t="shared" si="5"/>
        <v>-18.049999999999727</v>
      </c>
    </row>
    <row r="103" spans="1:18" x14ac:dyDescent="0.25">
      <c r="A103" s="21" t="s">
        <v>188</v>
      </c>
      <c r="C103" s="12">
        <v>467.22367055061204</v>
      </c>
      <c r="D103" s="12">
        <f>GOL07ab!D103</f>
        <v>3127.799</v>
      </c>
      <c r="E103" s="12">
        <v>467.22367055061204</v>
      </c>
      <c r="F103" s="12">
        <v>-64.606000000000222</v>
      </c>
      <c r="G103" s="12">
        <f t="shared" si="3"/>
        <v>3127.799</v>
      </c>
      <c r="K103" s="18"/>
      <c r="L103" s="18"/>
      <c r="O103" s="12">
        <f t="shared" si="4"/>
        <v>467.22367055061204</v>
      </c>
      <c r="P103" s="12">
        <f t="shared" si="5"/>
        <v>-18.146999999999935</v>
      </c>
    </row>
    <row r="104" spans="1:18" x14ac:dyDescent="0.25">
      <c r="A104" s="12" t="s">
        <v>189</v>
      </c>
      <c r="C104" s="12">
        <v>472.04132101530945</v>
      </c>
      <c r="D104" s="12">
        <f>GOL07ab!D104</f>
        <v>3126.4609999999998</v>
      </c>
      <c r="E104" s="12">
        <v>472.04132101530945</v>
      </c>
      <c r="F104" s="12">
        <v>-65.944000000000415</v>
      </c>
      <c r="G104" s="12">
        <f t="shared" si="3"/>
        <v>3126.4609999999998</v>
      </c>
      <c r="K104" s="18"/>
      <c r="L104" s="18"/>
      <c r="O104" s="12">
        <f t="shared" si="4"/>
        <v>472.04132101530945</v>
      </c>
      <c r="P104" s="12">
        <f t="shared" si="5"/>
        <v>-19.485000000000127</v>
      </c>
    </row>
    <row r="105" spans="1:18" x14ac:dyDescent="0.25">
      <c r="A105" s="21" t="s">
        <v>190</v>
      </c>
      <c r="C105" s="12">
        <v>477.00335436868386</v>
      </c>
      <c r="D105" s="12">
        <f>GOL07ab!D105</f>
        <v>3125.846</v>
      </c>
      <c r="E105" s="12">
        <v>477.00335436868386</v>
      </c>
      <c r="F105" s="12">
        <v>-66.559000000000196</v>
      </c>
      <c r="G105" s="12">
        <f t="shared" si="3"/>
        <v>3125.846</v>
      </c>
      <c r="K105" s="18"/>
      <c r="L105" s="18"/>
      <c r="O105" s="12">
        <f t="shared" si="4"/>
        <v>477.00335436868386</v>
      </c>
      <c r="P105" s="12">
        <f t="shared" si="5"/>
        <v>-20.099999999999909</v>
      </c>
    </row>
    <row r="106" spans="1:18" x14ac:dyDescent="0.25">
      <c r="A106" s="12" t="s">
        <v>191</v>
      </c>
      <c r="C106" s="12">
        <v>481.98351249870348</v>
      </c>
      <c r="D106" s="12">
        <f>GOL07ab!D106</f>
        <v>3126.2910000000002</v>
      </c>
      <c r="E106" s="12">
        <v>481.98351249870348</v>
      </c>
      <c r="F106" s="12">
        <v>-66.114000000000033</v>
      </c>
      <c r="G106" s="12">
        <f t="shared" si="3"/>
        <v>3126.2910000000002</v>
      </c>
      <c r="K106" s="18"/>
      <c r="L106" s="18"/>
      <c r="O106" s="12">
        <f t="shared" si="4"/>
        <v>481.98351249870348</v>
      </c>
      <c r="P106" s="12">
        <f t="shared" si="5"/>
        <v>-19.654999999999745</v>
      </c>
    </row>
    <row r="107" spans="1:18" x14ac:dyDescent="0.25">
      <c r="A107" s="21" t="s">
        <v>192</v>
      </c>
      <c r="C107" s="12">
        <v>486.96221504053096</v>
      </c>
      <c r="D107" s="12">
        <f>GOL07ab!D107</f>
        <v>3126.752</v>
      </c>
      <c r="E107" s="12">
        <v>486.96221504053096</v>
      </c>
      <c r="F107" s="12">
        <v>-65.653000000000247</v>
      </c>
      <c r="G107" s="12">
        <f t="shared" si="3"/>
        <v>3126.752</v>
      </c>
      <c r="K107" s="18"/>
      <c r="L107" s="18"/>
      <c r="O107" s="12">
        <f t="shared" si="4"/>
        <v>486.96221504053096</v>
      </c>
      <c r="P107" s="12">
        <f t="shared" si="5"/>
        <v>-19.19399999999996</v>
      </c>
    </row>
    <row r="108" spans="1:18" x14ac:dyDescent="0.25">
      <c r="A108" s="12" t="s">
        <v>193</v>
      </c>
      <c r="C108" s="12">
        <v>491.9301899800812</v>
      </c>
      <c r="D108" s="12">
        <f>GOL07ab!D108</f>
        <v>3126.1869999999999</v>
      </c>
      <c r="E108" s="12">
        <v>491.9301899800812</v>
      </c>
      <c r="F108" s="12">
        <v>-66.218000000000302</v>
      </c>
      <c r="G108" s="12">
        <f t="shared" si="3"/>
        <v>3126.1869999999999</v>
      </c>
      <c r="K108" s="18"/>
      <c r="L108" s="18"/>
      <c r="O108" s="12">
        <f t="shared" si="4"/>
        <v>491.9301899800812</v>
      </c>
      <c r="P108" s="12">
        <f t="shared" si="5"/>
        <v>-19.759000000000015</v>
      </c>
    </row>
    <row r="109" spans="1:18" x14ac:dyDescent="0.25">
      <c r="A109" s="21" t="s">
        <v>194</v>
      </c>
      <c r="C109" s="12">
        <v>496.66388832281496</v>
      </c>
      <c r="D109" s="12">
        <f>GOL07ab!D109</f>
        <v>3124.5770000000002</v>
      </c>
      <c r="E109" s="12">
        <v>496.66388832281496</v>
      </c>
      <c r="F109" s="12">
        <v>-67.827999999999975</v>
      </c>
      <c r="G109" s="12">
        <f t="shared" si="3"/>
        <v>3124.5770000000002</v>
      </c>
      <c r="K109" s="18"/>
      <c r="L109" s="18"/>
      <c r="O109" s="12">
        <f t="shared" si="4"/>
        <v>496.66388832281496</v>
      </c>
      <c r="P109" s="12">
        <f t="shared" si="5"/>
        <v>-21.368999999999687</v>
      </c>
    </row>
    <row r="110" spans="1:18" x14ac:dyDescent="0.25">
      <c r="A110" s="12" t="s">
        <v>195</v>
      </c>
      <c r="C110" s="12">
        <v>501.32361267088527</v>
      </c>
      <c r="D110" s="12">
        <f>GOL07ab!D110</f>
        <v>3122.7640000000001</v>
      </c>
      <c r="E110" s="12">
        <v>501.32361267088527</v>
      </c>
      <c r="F110" s="12">
        <v>-69.641000000000076</v>
      </c>
      <c r="G110" s="12">
        <f t="shared" si="3"/>
        <v>3122.7640000000001</v>
      </c>
      <c r="K110" s="18"/>
      <c r="L110" s="18"/>
      <c r="O110" s="12">
        <f t="shared" si="4"/>
        <v>501.32361267088527</v>
      </c>
      <c r="P110" s="12">
        <f t="shared" si="5"/>
        <v>-23.181999999999789</v>
      </c>
    </row>
    <row r="111" spans="1:18" x14ac:dyDescent="0.25">
      <c r="A111" s="21" t="s">
        <v>196</v>
      </c>
      <c r="C111" s="12">
        <v>505.93944585677923</v>
      </c>
      <c r="D111" s="12">
        <f>GOL07ab!D111</f>
        <v>3120.8420000000001</v>
      </c>
      <c r="E111" s="12">
        <v>505.93944585677923</v>
      </c>
      <c r="F111" s="12">
        <v>-71.563000000000102</v>
      </c>
      <c r="G111" s="12">
        <f t="shared" si="3"/>
        <v>3120.8420000000001</v>
      </c>
      <c r="K111" s="18"/>
      <c r="L111" s="18"/>
      <c r="O111" s="12">
        <f t="shared" si="4"/>
        <v>505.93944585677923</v>
      </c>
      <c r="P111" s="12">
        <f t="shared" si="5"/>
        <v>-25.103999999999814</v>
      </c>
    </row>
    <row r="112" spans="1:18" x14ac:dyDescent="0.25">
      <c r="A112" s="12" t="s">
        <v>197</v>
      </c>
      <c r="C112" s="12">
        <v>510.77441472948158</v>
      </c>
      <c r="D112" s="12">
        <f>GOL07ab!D112</f>
        <v>3122.116</v>
      </c>
      <c r="E112" s="12">
        <v>510.77441472948158</v>
      </c>
      <c r="F112" s="12">
        <v>-70.289000000000215</v>
      </c>
      <c r="G112" s="12">
        <f t="shared" si="3"/>
        <v>3122.116</v>
      </c>
      <c r="K112" s="18"/>
      <c r="L112" s="18"/>
      <c r="O112" s="12">
        <f t="shared" si="4"/>
        <v>510.77441472948158</v>
      </c>
      <c r="P112" s="12">
        <f t="shared" si="5"/>
        <v>-23.829999999999927</v>
      </c>
    </row>
    <row r="113" spans="1:16" x14ac:dyDescent="0.25">
      <c r="A113" s="21" t="s">
        <v>198</v>
      </c>
      <c r="C113" s="12">
        <v>515.45253133769052</v>
      </c>
      <c r="D113" s="12">
        <f>GOL07ab!D113</f>
        <v>3120.3510000000001</v>
      </c>
      <c r="E113" s="12">
        <v>515.45253133769052</v>
      </c>
      <c r="F113" s="12">
        <v>-72.054000000000087</v>
      </c>
      <c r="G113" s="12">
        <f t="shared" si="3"/>
        <v>3120.3510000000001</v>
      </c>
      <c r="K113" s="18"/>
      <c r="L113" s="18"/>
      <c r="O113" s="12">
        <f t="shared" si="4"/>
        <v>515.45253133769052</v>
      </c>
      <c r="P113" s="12">
        <f t="shared" si="5"/>
        <v>-25.5949999999998</v>
      </c>
    </row>
    <row r="114" spans="1:16" x14ac:dyDescent="0.25">
      <c r="A114" s="12" t="s">
        <v>199</v>
      </c>
      <c r="C114" s="12">
        <v>520.11186648339526</v>
      </c>
      <c r="D114" s="12">
        <f>GOL07ab!D114</f>
        <v>3118.5369999999998</v>
      </c>
      <c r="E114" s="12">
        <v>520.11186648339526</v>
      </c>
      <c r="F114" s="12">
        <v>-73.868000000000393</v>
      </c>
      <c r="G114" s="12">
        <f t="shared" si="3"/>
        <v>3118.5369999999998</v>
      </c>
      <c r="K114" s="18"/>
      <c r="L114" s="18"/>
      <c r="O114" s="12">
        <f t="shared" si="4"/>
        <v>520.11186648339526</v>
      </c>
      <c r="P114" s="12">
        <f t="shared" si="5"/>
        <v>-27.409000000000106</v>
      </c>
    </row>
    <row r="115" spans="1:16" x14ac:dyDescent="0.25">
      <c r="A115" s="21" t="s">
        <v>200</v>
      </c>
      <c r="C115" s="12">
        <v>525.11004365112353</v>
      </c>
      <c r="D115" s="12">
        <f>GOL07ab!D115</f>
        <v>3118.402</v>
      </c>
      <c r="E115" s="12">
        <v>525.11004365112353</v>
      </c>
      <c r="F115" s="12">
        <v>-74.003000000000156</v>
      </c>
      <c r="G115" s="12">
        <f t="shared" si="3"/>
        <v>3118.402</v>
      </c>
      <c r="K115" s="18"/>
      <c r="L115" s="18"/>
      <c r="O115" s="12">
        <f t="shared" si="4"/>
        <v>525.11004365112353</v>
      </c>
      <c r="P115" s="12">
        <f t="shared" si="5"/>
        <v>-27.543999999999869</v>
      </c>
    </row>
    <row r="116" spans="1:16" x14ac:dyDescent="0.25">
      <c r="A116" s="12" t="s">
        <v>201</v>
      </c>
      <c r="C116" s="12">
        <v>529.82290902157501</v>
      </c>
      <c r="D116" s="12">
        <f>GOL07ab!D116</f>
        <v>3116.732</v>
      </c>
      <c r="E116" s="12">
        <v>529.82290902157501</v>
      </c>
      <c r="F116" s="12">
        <v>-75.673000000000229</v>
      </c>
      <c r="G116" s="12">
        <f t="shared" si="3"/>
        <v>3116.732</v>
      </c>
      <c r="K116" s="18"/>
      <c r="L116" s="18"/>
      <c r="O116" s="12">
        <f t="shared" si="4"/>
        <v>529.82290902157501</v>
      </c>
      <c r="P116" s="12">
        <f t="shared" si="5"/>
        <v>-29.213999999999942</v>
      </c>
    </row>
    <row r="117" spans="1:16" x14ac:dyDescent="0.25">
      <c r="A117" s="21" t="s">
        <v>202</v>
      </c>
      <c r="C117" s="12">
        <v>534.60682833527585</v>
      </c>
      <c r="D117" s="12">
        <f>GOL07ab!D117</f>
        <v>3115.2779999999998</v>
      </c>
      <c r="E117" s="12">
        <v>534.60682833527585</v>
      </c>
      <c r="F117" s="12">
        <v>-77.127000000000407</v>
      </c>
      <c r="G117" s="12">
        <f t="shared" si="3"/>
        <v>3115.2779999999998</v>
      </c>
      <c r="K117" s="18"/>
      <c r="L117" s="18"/>
      <c r="O117" s="12">
        <f t="shared" si="4"/>
        <v>534.60682833527585</v>
      </c>
      <c r="P117" s="12">
        <f t="shared" si="5"/>
        <v>-30.66800000000012</v>
      </c>
    </row>
    <row r="118" spans="1:16" x14ac:dyDescent="0.25">
      <c r="A118" s="12" t="s">
        <v>203</v>
      </c>
      <c r="C118" s="12">
        <v>539.45645832116156</v>
      </c>
      <c r="D118" s="12">
        <f>GOL07ab!D118</f>
        <v>3114.0610000000001</v>
      </c>
      <c r="E118" s="12">
        <v>539.45645832116156</v>
      </c>
      <c r="F118" s="12">
        <v>-78.344000000000051</v>
      </c>
      <c r="G118" s="12">
        <f t="shared" si="3"/>
        <v>3114.0610000000001</v>
      </c>
      <c r="K118" s="18"/>
      <c r="L118" s="18"/>
      <c r="O118" s="12">
        <f t="shared" si="4"/>
        <v>539.45645832116156</v>
      </c>
      <c r="P118" s="12">
        <f t="shared" si="5"/>
        <v>-31.884999999999764</v>
      </c>
    </row>
    <row r="119" spans="1:16" x14ac:dyDescent="0.25">
      <c r="A119" s="21" t="s">
        <v>204</v>
      </c>
      <c r="C119" s="12">
        <v>544.45628191804985</v>
      </c>
      <c r="D119" s="12">
        <f>GOL07ab!D119</f>
        <v>3114.0189999999998</v>
      </c>
      <c r="E119" s="12">
        <v>544.45628191804985</v>
      </c>
      <c r="F119" s="12">
        <v>-78.386000000000422</v>
      </c>
      <c r="G119" s="12">
        <f t="shared" si="3"/>
        <v>3114.0189999999998</v>
      </c>
      <c r="K119" s="18"/>
      <c r="L119" s="18"/>
      <c r="O119" s="12">
        <f t="shared" si="4"/>
        <v>544.45628191804985</v>
      </c>
      <c r="P119" s="12">
        <f t="shared" si="5"/>
        <v>-31.927000000000135</v>
      </c>
    </row>
    <row r="120" spans="1:16" x14ac:dyDescent="0.25">
      <c r="A120" s="12" t="s">
        <v>205</v>
      </c>
      <c r="C120" s="12">
        <v>549.41781786974866</v>
      </c>
      <c r="D120" s="12">
        <f>GOL07ab!D120</f>
        <v>3113.4</v>
      </c>
      <c r="E120" s="12">
        <v>549.41781786974866</v>
      </c>
      <c r="F120" s="12">
        <v>-79.005000000000109</v>
      </c>
      <c r="G120" s="12">
        <f t="shared" si="3"/>
        <v>3113.4</v>
      </c>
      <c r="K120" s="18"/>
      <c r="L120" s="18"/>
      <c r="O120" s="12">
        <f t="shared" si="4"/>
        <v>549.41781786974866</v>
      </c>
      <c r="P120" s="12">
        <f t="shared" si="5"/>
        <v>-32.545999999999822</v>
      </c>
    </row>
    <row r="121" spans="1:16" x14ac:dyDescent="0.25">
      <c r="A121" s="21" t="s">
        <v>206</v>
      </c>
      <c r="C121" s="12">
        <v>554.23351875331673</v>
      </c>
      <c r="D121" s="12">
        <f>GOL07ab!D121</f>
        <v>3112.0549999999998</v>
      </c>
      <c r="E121" s="12">
        <v>554.23351875331673</v>
      </c>
      <c r="F121" s="12">
        <v>-80.350000000000364</v>
      </c>
      <c r="G121" s="12">
        <f t="shared" si="3"/>
        <v>3112.0549999999998</v>
      </c>
      <c r="K121" s="18"/>
      <c r="L121" s="18"/>
      <c r="O121" s="12">
        <f t="shared" si="4"/>
        <v>554.23351875331673</v>
      </c>
      <c r="P121" s="12">
        <f t="shared" si="5"/>
        <v>-33.891000000000076</v>
      </c>
    </row>
    <row r="122" spans="1:16" x14ac:dyDescent="0.25">
      <c r="A122" s="12" t="s">
        <v>207</v>
      </c>
      <c r="C122" s="12">
        <v>559.10508154158083</v>
      </c>
      <c r="D122" s="12">
        <f>GOL07ab!D122</f>
        <v>3110.9290000000001</v>
      </c>
      <c r="E122" s="12">
        <v>559.10508154158083</v>
      </c>
      <c r="F122" s="12">
        <v>-81.476000000000113</v>
      </c>
      <c r="G122" s="12">
        <f t="shared" si="3"/>
        <v>3110.9290000000001</v>
      </c>
      <c r="K122" s="18"/>
      <c r="L122" s="18"/>
      <c r="O122" s="12">
        <f t="shared" si="4"/>
        <v>559.10508154158083</v>
      </c>
      <c r="P122" s="12">
        <f t="shared" si="5"/>
        <v>-35.016999999999825</v>
      </c>
    </row>
    <row r="123" spans="1:16" x14ac:dyDescent="0.25">
      <c r="A123" s="21" t="s">
        <v>208</v>
      </c>
      <c r="C123" s="12">
        <v>564.00689793961124</v>
      </c>
      <c r="D123" s="12">
        <f>GOL07ab!D123</f>
        <v>3109.9430000000002</v>
      </c>
      <c r="E123" s="12">
        <v>564.00689793961124</v>
      </c>
      <c r="F123" s="12">
        <v>-82.461999999999989</v>
      </c>
      <c r="G123" s="12">
        <f t="shared" si="3"/>
        <v>3109.9430000000002</v>
      </c>
      <c r="K123" s="18"/>
      <c r="L123" s="18"/>
      <c r="O123" s="12">
        <f t="shared" si="4"/>
        <v>564.00689793961124</v>
      </c>
      <c r="P123" s="12">
        <f t="shared" si="5"/>
        <v>-36.002999999999702</v>
      </c>
    </row>
    <row r="124" spans="1:16" x14ac:dyDescent="0.25">
      <c r="A124" s="12" t="s">
        <v>209</v>
      </c>
      <c r="C124" s="12">
        <v>568.69101994912376</v>
      </c>
      <c r="D124" s="12">
        <f>GOL07ab!D124</f>
        <v>3108.194</v>
      </c>
      <c r="E124" s="12">
        <v>568.69101994912376</v>
      </c>
      <c r="F124" s="12">
        <v>-84.21100000000024</v>
      </c>
      <c r="G124" s="12">
        <f t="shared" si="3"/>
        <v>3108.194</v>
      </c>
      <c r="K124" s="18"/>
      <c r="L124" s="18"/>
      <c r="O124" s="12">
        <f t="shared" si="4"/>
        <v>568.69101994912376</v>
      </c>
      <c r="P124" s="12">
        <f t="shared" si="5"/>
        <v>-37.751999999999953</v>
      </c>
    </row>
    <row r="125" spans="1:16" x14ac:dyDescent="0.25">
      <c r="A125" s="21" t="s">
        <v>210</v>
      </c>
      <c r="C125" s="12">
        <v>573.62821550935837</v>
      </c>
      <c r="D125" s="12">
        <f>GOL07ab!D125</f>
        <v>3107.404</v>
      </c>
      <c r="E125" s="12">
        <v>573.62821550935837</v>
      </c>
      <c r="F125" s="12">
        <v>-85.001000000000204</v>
      </c>
      <c r="G125" s="12">
        <f t="shared" si="3"/>
        <v>3107.404</v>
      </c>
      <c r="K125" s="18"/>
      <c r="L125" s="18"/>
      <c r="O125" s="12">
        <f t="shared" si="4"/>
        <v>573.62821550935837</v>
      </c>
      <c r="P125" s="12">
        <f t="shared" si="5"/>
        <v>-38.541999999999916</v>
      </c>
    </row>
  </sheetData>
  <mergeCells count="4">
    <mergeCell ref="C3:D3"/>
    <mergeCell ref="G3:J3"/>
    <mergeCell ref="K3:L3"/>
    <mergeCell ref="O5:P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AA6-865E-413C-801E-66B1E376F0FC}">
  <dimension ref="A1:AH2353"/>
  <sheetViews>
    <sheetView topLeftCell="A6" workbookViewId="0">
      <selection activeCell="A20" sqref="A20:XFD20"/>
    </sheetView>
  </sheetViews>
  <sheetFormatPr defaultRowHeight="15" x14ac:dyDescent="0.25"/>
  <cols>
    <col min="11" max="11" width="16.7109375" bestFit="1" customWidth="1"/>
  </cols>
  <sheetData>
    <row r="1" spans="1:34" x14ac:dyDescent="0.25">
      <c r="A1" s="21" t="s">
        <v>212</v>
      </c>
      <c r="B1" s="21"/>
      <c r="C1" s="21" t="s">
        <v>213</v>
      </c>
      <c r="D1" s="21" t="s">
        <v>214</v>
      </c>
      <c r="E1" s="12"/>
      <c r="F1" s="12"/>
      <c r="G1" s="12"/>
      <c r="H1" s="12"/>
      <c r="I1" s="12"/>
      <c r="J1" s="12"/>
      <c r="K1" s="12"/>
      <c r="AC1" t="s">
        <v>321</v>
      </c>
    </row>
    <row r="2" spans="1:34" ht="15.75" thickBo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AC2" t="s">
        <v>2</v>
      </c>
      <c r="AD2" t="s">
        <v>3</v>
      </c>
    </row>
    <row r="3" spans="1:34" x14ac:dyDescent="0.25">
      <c r="A3" s="21"/>
      <c r="B3" s="21"/>
      <c r="C3" s="150" t="s">
        <v>178</v>
      </c>
      <c r="D3" s="150"/>
      <c r="E3" s="22"/>
      <c r="F3" s="22"/>
      <c r="G3" s="150" t="s">
        <v>4</v>
      </c>
      <c r="H3" s="150"/>
      <c r="I3" s="150"/>
      <c r="J3" s="151" t="s">
        <v>179</v>
      </c>
      <c r="K3" s="152"/>
      <c r="W3" t="s">
        <v>319</v>
      </c>
      <c r="Z3" t="s">
        <v>320</v>
      </c>
      <c r="AC3" s="12">
        <v>68.134278910383728</v>
      </c>
      <c r="AD3">
        <f>X18</f>
        <v>-6.6379999999999999</v>
      </c>
      <c r="AF3">
        <v>0</v>
      </c>
      <c r="AG3">
        <v>3848.35</v>
      </c>
      <c r="AH3">
        <f>AG3-MAX($AG$3:$AG$2353)</f>
        <v>-12.510000000000218</v>
      </c>
    </row>
    <row r="4" spans="1:34" x14ac:dyDescent="0.25">
      <c r="A4" s="21" t="s">
        <v>101</v>
      </c>
      <c r="B4" s="21" t="s">
        <v>102</v>
      </c>
      <c r="C4" s="21" t="s">
        <v>2</v>
      </c>
      <c r="D4" s="21" t="s">
        <v>3</v>
      </c>
      <c r="E4" s="21" t="s">
        <v>2</v>
      </c>
      <c r="F4" s="21" t="s">
        <v>177</v>
      </c>
      <c r="G4" s="25" t="s">
        <v>2</v>
      </c>
      <c r="H4" s="21" t="s">
        <v>176</v>
      </c>
      <c r="I4" s="21" t="s">
        <v>177</v>
      </c>
      <c r="J4" s="23" t="s">
        <v>2</v>
      </c>
      <c r="K4" s="24" t="s">
        <v>3</v>
      </c>
      <c r="W4">
        <v>0</v>
      </c>
      <c r="X4">
        <v>-12.013</v>
      </c>
      <c r="AC4" s="12">
        <v>73.134278910383728</v>
      </c>
      <c r="AD4">
        <f>X19</f>
        <v>-6.6589999999999998</v>
      </c>
      <c r="AF4">
        <v>0.1</v>
      </c>
      <c r="AG4">
        <v>3848.3528000000001</v>
      </c>
      <c r="AH4">
        <f t="shared" ref="AH4:AH67" si="0">AG4-MAX($AG$3:$AG$2353)</f>
        <v>-12.507200000000012</v>
      </c>
    </row>
    <row r="5" spans="1:34" x14ac:dyDescent="0.25">
      <c r="A5" t="s">
        <v>5</v>
      </c>
      <c r="C5" s="12">
        <v>0</v>
      </c>
      <c r="D5" s="27">
        <v>3848.8449999999998</v>
      </c>
      <c r="E5" s="12">
        <f>C5</f>
        <v>0</v>
      </c>
      <c r="F5">
        <f>D5-MAX($D$5:$D$52)</f>
        <v>-12.013000000000375</v>
      </c>
      <c r="G5" s="26"/>
      <c r="W5">
        <v>5</v>
      </c>
      <c r="X5">
        <v>-11.871</v>
      </c>
      <c r="AC5" s="12">
        <v>76.018897429356343</v>
      </c>
      <c r="AD5">
        <v>-4.5</v>
      </c>
      <c r="AF5">
        <v>0.2</v>
      </c>
      <c r="AG5">
        <v>3848.3555999999999</v>
      </c>
      <c r="AH5">
        <f t="shared" si="0"/>
        <v>-12.50440000000026</v>
      </c>
    </row>
    <row r="6" spans="1:34" x14ac:dyDescent="0.25">
      <c r="A6" s="21" t="s">
        <v>6</v>
      </c>
      <c r="C6" s="12">
        <v>4.9979831932490697</v>
      </c>
      <c r="D6" s="27">
        <v>3848.9870000000001</v>
      </c>
      <c r="E6" s="12">
        <f t="shared" ref="E6:E52" si="1">C6</f>
        <v>4.9979831932490697</v>
      </c>
      <c r="F6">
        <f t="shared" ref="F6:F52" si="2">D6-MAX($D$5:$D$52)</f>
        <v>-11.871000000000095</v>
      </c>
      <c r="G6" s="26"/>
      <c r="W6">
        <v>9.6999999999999993</v>
      </c>
      <c r="X6">
        <v>-13.516</v>
      </c>
      <c r="AC6" s="12">
        <v>78.903515948328959</v>
      </c>
      <c r="AD6">
        <v>-2.9</v>
      </c>
      <c r="AF6">
        <v>0.3</v>
      </c>
      <c r="AG6">
        <v>3848.3584000000001</v>
      </c>
      <c r="AH6">
        <f t="shared" si="0"/>
        <v>-12.501600000000053</v>
      </c>
    </row>
    <row r="7" spans="1:34" x14ac:dyDescent="0.25">
      <c r="A7" s="21" t="s">
        <v>7</v>
      </c>
      <c r="C7" s="12">
        <v>9.7196327990542386</v>
      </c>
      <c r="D7" s="27">
        <v>3847.3420000000001</v>
      </c>
      <c r="E7" s="12">
        <f t="shared" si="1"/>
        <v>9.7196327990542386</v>
      </c>
      <c r="F7">
        <f t="shared" si="2"/>
        <v>-13.516000000000076</v>
      </c>
      <c r="G7" s="26"/>
      <c r="W7">
        <v>14.7</v>
      </c>
      <c r="X7">
        <v>-13.47</v>
      </c>
      <c r="AC7" s="12">
        <v>81.788134467301575</v>
      </c>
      <c r="AD7">
        <v>-1.5</v>
      </c>
      <c r="AF7">
        <v>0.4</v>
      </c>
      <c r="AG7">
        <v>3848.3611999999998</v>
      </c>
      <c r="AH7">
        <f t="shared" si="0"/>
        <v>-12.498800000000301</v>
      </c>
    </row>
    <row r="8" spans="1:34" x14ac:dyDescent="0.25">
      <c r="A8" t="s">
        <v>8</v>
      </c>
      <c r="C8" s="12">
        <v>14.719421194576626</v>
      </c>
      <c r="D8" s="27">
        <v>3847.3879999999999</v>
      </c>
      <c r="E8" s="12">
        <f t="shared" si="1"/>
        <v>14.719421194576626</v>
      </c>
      <c r="F8">
        <f t="shared" si="2"/>
        <v>-13.470000000000255</v>
      </c>
      <c r="G8" s="26"/>
      <c r="W8">
        <v>19.7</v>
      </c>
      <c r="X8">
        <v>-13.497</v>
      </c>
      <c r="AC8" s="12">
        <v>84.67275298627419</v>
      </c>
      <c r="AD8">
        <v>-2.5</v>
      </c>
      <c r="AF8">
        <v>0.5</v>
      </c>
      <c r="AG8">
        <v>3848.364</v>
      </c>
      <c r="AH8">
        <f t="shared" si="0"/>
        <v>-12.496000000000095</v>
      </c>
    </row>
    <row r="9" spans="1:34" x14ac:dyDescent="0.25">
      <c r="A9" s="21" t="s">
        <v>9</v>
      </c>
      <c r="C9" s="12">
        <v>19.719348294045176</v>
      </c>
      <c r="D9" s="27">
        <v>3847.3609999999999</v>
      </c>
      <c r="E9" s="12">
        <f t="shared" si="1"/>
        <v>19.719348294045176</v>
      </c>
      <c r="F9">
        <f t="shared" si="2"/>
        <v>-13.497000000000298</v>
      </c>
      <c r="G9" s="26"/>
      <c r="W9">
        <v>24.7</v>
      </c>
      <c r="X9">
        <v>-12.879</v>
      </c>
      <c r="AC9" s="12">
        <v>87.557371505246806</v>
      </c>
      <c r="AD9">
        <f>X22</f>
        <v>-3.1070000000000002</v>
      </c>
      <c r="AF9">
        <v>0.6</v>
      </c>
      <c r="AG9">
        <v>3848.3667999999998</v>
      </c>
      <c r="AH9">
        <f t="shared" si="0"/>
        <v>-12.493200000000343</v>
      </c>
    </row>
    <row r="10" spans="1:34" x14ac:dyDescent="0.25">
      <c r="A10" s="21" t="s">
        <v>10</v>
      </c>
      <c r="C10" s="12">
        <v>24.681008903155771</v>
      </c>
      <c r="D10" s="27">
        <v>3847.9789999999998</v>
      </c>
      <c r="E10" s="12">
        <f t="shared" si="1"/>
        <v>24.681008903155771</v>
      </c>
      <c r="F10">
        <f t="shared" si="2"/>
        <v>-12.87900000000036</v>
      </c>
      <c r="G10" s="26"/>
      <c r="W10">
        <v>29.7</v>
      </c>
      <c r="X10">
        <v>-12.914999999999999</v>
      </c>
      <c r="AC10" s="12">
        <v>90.441990024219422</v>
      </c>
      <c r="AD10">
        <v>-3.0835999999999331</v>
      </c>
      <c r="AF10">
        <v>0.7</v>
      </c>
      <c r="AG10">
        <v>3848.3696</v>
      </c>
      <c r="AH10">
        <f t="shared" si="0"/>
        <v>-12.490400000000136</v>
      </c>
    </row>
    <row r="11" spans="1:34" x14ac:dyDescent="0.25">
      <c r="A11" t="s">
        <v>11</v>
      </c>
      <c r="C11" s="12">
        <v>29.680879301476125</v>
      </c>
      <c r="D11" s="27">
        <v>3847.9430000000002</v>
      </c>
      <c r="E11" s="12">
        <f t="shared" si="1"/>
        <v>29.680879301476125</v>
      </c>
      <c r="F11">
        <f t="shared" si="2"/>
        <v>-12.914999999999964</v>
      </c>
      <c r="G11" s="26"/>
      <c r="W11">
        <v>34.700000000000003</v>
      </c>
      <c r="X11">
        <v>-12.817</v>
      </c>
      <c r="AC11" s="12">
        <v>93.326608543192037</v>
      </c>
      <c r="AD11">
        <v>-2.8922000000002299</v>
      </c>
      <c r="AF11">
        <v>0.8</v>
      </c>
      <c r="AG11">
        <v>3848.3723999999902</v>
      </c>
      <c r="AH11">
        <f t="shared" si="0"/>
        <v>-12.487600000009934</v>
      </c>
    </row>
    <row r="12" spans="1:34" x14ac:dyDescent="0.25">
      <c r="A12" s="21" t="s">
        <v>12</v>
      </c>
      <c r="C12" s="12">
        <v>34.67991880922159</v>
      </c>
      <c r="D12" s="27">
        <v>3848.0410000000002</v>
      </c>
      <c r="E12" s="12">
        <f t="shared" si="1"/>
        <v>34.67991880922159</v>
      </c>
      <c r="F12">
        <f t="shared" si="2"/>
        <v>-12.817000000000007</v>
      </c>
      <c r="G12" s="26"/>
      <c r="W12">
        <v>39.6</v>
      </c>
      <c r="X12">
        <v>-13.617000000000001</v>
      </c>
      <c r="AC12" s="12">
        <v>96.211227062164653</v>
      </c>
      <c r="AD12">
        <f>X24</f>
        <v>-2.3769999999999998</v>
      </c>
      <c r="AF12">
        <v>0.9</v>
      </c>
      <c r="AG12">
        <v>3848.3751999999999</v>
      </c>
      <c r="AH12">
        <f t="shared" si="0"/>
        <v>-12.484800000000178</v>
      </c>
    </row>
    <row r="13" spans="1:34" x14ac:dyDescent="0.25">
      <c r="A13" s="21" t="s">
        <v>13</v>
      </c>
      <c r="C13" s="12">
        <v>39.615503880922688</v>
      </c>
      <c r="D13" s="27">
        <v>3847.241</v>
      </c>
      <c r="E13" s="12">
        <f t="shared" si="1"/>
        <v>39.615503880922688</v>
      </c>
      <c r="F13">
        <f t="shared" si="2"/>
        <v>-13.617000000000189</v>
      </c>
      <c r="G13" s="26"/>
      <c r="W13">
        <v>44.6</v>
      </c>
      <c r="X13">
        <v>-12.96</v>
      </c>
      <c r="AC13" s="12">
        <v>99.095845581137269</v>
      </c>
      <c r="AD13">
        <v>-2.4520000000002256</v>
      </c>
      <c r="AF13">
        <v>1</v>
      </c>
      <c r="AG13">
        <v>3848.3779999999902</v>
      </c>
      <c r="AH13">
        <f t="shared" si="0"/>
        <v>-12.482000000009975</v>
      </c>
    </row>
    <row r="14" spans="1:34" x14ac:dyDescent="0.25">
      <c r="A14" t="s">
        <v>14</v>
      </c>
      <c r="C14" s="12">
        <v>44.57215103398903</v>
      </c>
      <c r="D14" s="27">
        <v>3847.8980000000001</v>
      </c>
      <c r="E14" s="12">
        <f t="shared" si="1"/>
        <v>44.57215103398903</v>
      </c>
      <c r="F14">
        <f t="shared" si="2"/>
        <v>-12.960000000000036</v>
      </c>
      <c r="G14" s="26"/>
      <c r="W14">
        <v>49.4</v>
      </c>
      <c r="X14">
        <v>-11.521000000000001</v>
      </c>
      <c r="AC14" s="12">
        <v>101.98046410010988</v>
      </c>
      <c r="AD14">
        <f>X25</f>
        <v>-1.6830000000000001</v>
      </c>
      <c r="AF14">
        <v>1.1000000000000001</v>
      </c>
      <c r="AG14">
        <v>3848.3807999999999</v>
      </c>
      <c r="AH14">
        <f t="shared" si="0"/>
        <v>-12.479200000000219</v>
      </c>
    </row>
    <row r="15" spans="1:34" x14ac:dyDescent="0.25">
      <c r="A15" s="21" t="s">
        <v>15</v>
      </c>
      <c r="C15" s="12">
        <v>49.360603706826168</v>
      </c>
      <c r="D15" s="27">
        <v>3849.337</v>
      </c>
      <c r="E15" s="12">
        <f t="shared" si="1"/>
        <v>49.360603706826168</v>
      </c>
      <c r="F15">
        <f t="shared" si="2"/>
        <v>-11.521000000000186</v>
      </c>
      <c r="G15" s="26"/>
      <c r="W15">
        <v>54.3</v>
      </c>
      <c r="X15">
        <v>-10.635</v>
      </c>
      <c r="AC15" s="12">
        <v>104.8650826190825</v>
      </c>
      <c r="AD15">
        <v>-1.6940000000099644</v>
      </c>
      <c r="AF15">
        <v>1.2</v>
      </c>
      <c r="AG15">
        <v>3848.3835999999901</v>
      </c>
      <c r="AH15">
        <f t="shared" si="0"/>
        <v>-12.476400000010017</v>
      </c>
    </row>
    <row r="16" spans="1:34" x14ac:dyDescent="0.25">
      <c r="A16" s="21" t="s">
        <v>16</v>
      </c>
      <c r="C16" s="12">
        <v>54.281478019384849</v>
      </c>
      <c r="D16" s="27">
        <v>3850.223</v>
      </c>
      <c r="E16" s="12">
        <f t="shared" si="1"/>
        <v>54.281478019384849</v>
      </c>
      <c r="F16">
        <f t="shared" si="2"/>
        <v>-10.635000000000218</v>
      </c>
      <c r="G16" s="26"/>
      <c r="W16">
        <v>59.3</v>
      </c>
      <c r="X16">
        <v>-11.189</v>
      </c>
      <c r="AC16" s="12">
        <v>107.74970113805512</v>
      </c>
      <c r="AD16">
        <v>-1.3</v>
      </c>
      <c r="AF16">
        <v>1.3</v>
      </c>
      <c r="AG16">
        <v>3848.3863999999999</v>
      </c>
      <c r="AH16">
        <f t="shared" si="0"/>
        <v>-12.47360000000026</v>
      </c>
    </row>
    <row r="17" spans="1:34" x14ac:dyDescent="0.25">
      <c r="A17" t="s">
        <v>17</v>
      </c>
      <c r="C17" s="12">
        <v>59.250691639264687</v>
      </c>
      <c r="D17" s="27">
        <v>3849.6689999999999</v>
      </c>
      <c r="E17" s="12">
        <f t="shared" si="1"/>
        <v>59.250691639264687</v>
      </c>
      <c r="F17">
        <f t="shared" si="2"/>
        <v>-11.189000000000306</v>
      </c>
      <c r="G17" s="26"/>
      <c r="W17">
        <v>63.6</v>
      </c>
      <c r="X17">
        <v>-8.6430000000000007</v>
      </c>
      <c r="AC17" s="12">
        <v>110.63431965702773</v>
      </c>
      <c r="AD17">
        <v>-0.7</v>
      </c>
      <c r="AF17">
        <v>1.4</v>
      </c>
      <c r="AG17">
        <v>3848.3892000000001</v>
      </c>
      <c r="AH17">
        <f t="shared" si="0"/>
        <v>-12.470800000000054</v>
      </c>
    </row>
    <row r="18" spans="1:34" x14ac:dyDescent="0.25">
      <c r="A18" s="21" t="s">
        <v>18</v>
      </c>
      <c r="C18" s="12">
        <v>63.553932743362793</v>
      </c>
      <c r="D18" s="27">
        <v>3852.2150000000001</v>
      </c>
      <c r="E18" s="12">
        <f t="shared" si="1"/>
        <v>63.553932743362793</v>
      </c>
      <c r="F18">
        <f t="shared" si="2"/>
        <v>-8.6430000000000291</v>
      </c>
      <c r="G18" s="26"/>
      <c r="H18" s="12"/>
      <c r="N18" t="s">
        <v>215</v>
      </c>
      <c r="P18" s="1"/>
      <c r="Q18" s="1" t="s">
        <v>4</v>
      </c>
      <c r="R18" s="1" t="s">
        <v>216</v>
      </c>
      <c r="S18" s="1" t="s">
        <v>218</v>
      </c>
      <c r="T18" s="1" t="s">
        <v>217</v>
      </c>
      <c r="U18" s="1" t="s">
        <v>219</v>
      </c>
      <c r="W18">
        <v>68.099999999999994</v>
      </c>
      <c r="X18">
        <v>-6.6379999999999999</v>
      </c>
      <c r="Z18">
        <v>68.099999999999994</v>
      </c>
      <c r="AA18">
        <f>X18</f>
        <v>-6.6379999999999999</v>
      </c>
      <c r="AC18" s="12">
        <v>113.51893817600035</v>
      </c>
      <c r="AD18">
        <v>-0.5</v>
      </c>
      <c r="AF18">
        <v>1.5</v>
      </c>
      <c r="AG18">
        <v>3848.3919999999998</v>
      </c>
      <c r="AH18">
        <f t="shared" si="0"/>
        <v>-12.468000000000302</v>
      </c>
    </row>
    <row r="19" spans="1:34" x14ac:dyDescent="0.25">
      <c r="A19" s="21" t="s">
        <v>19</v>
      </c>
      <c r="B19" t="s">
        <v>175</v>
      </c>
      <c r="C19" s="12">
        <v>68.1343230105781</v>
      </c>
      <c r="D19" s="27">
        <v>3854.22</v>
      </c>
      <c r="E19" s="12">
        <f t="shared" si="1"/>
        <v>68.1343230105781</v>
      </c>
      <c r="F19">
        <f t="shared" si="2"/>
        <v>-6.6380000000003747</v>
      </c>
      <c r="G19" s="28">
        <v>68.1343230105781</v>
      </c>
      <c r="H19">
        <v>3854.22</v>
      </c>
      <c r="I19" s="26">
        <f>H19-MAX($D$5:$D$52)</f>
        <v>-6.6380000000003747</v>
      </c>
      <c r="J19" s="12">
        <f>G19-C19</f>
        <v>0</v>
      </c>
      <c r="K19" s="12">
        <f>G19-J19</f>
        <v>68.1343230105781</v>
      </c>
      <c r="L19">
        <f>H19</f>
        <v>3854.22</v>
      </c>
      <c r="N19" s="26">
        <v>-5</v>
      </c>
      <c r="O19">
        <v>3855.2</v>
      </c>
      <c r="Q19" s="12">
        <f>Q20+N19</f>
        <v>68.134278910383728</v>
      </c>
      <c r="R19" s="12">
        <f>C19</f>
        <v>68.1343230105781</v>
      </c>
      <c r="S19">
        <f>L19</f>
        <v>3854.22</v>
      </c>
      <c r="U19">
        <f>H19</f>
        <v>3854.22</v>
      </c>
      <c r="W19">
        <v>73.099999999999994</v>
      </c>
      <c r="X19">
        <v>-6.6589999999999998</v>
      </c>
      <c r="Z19">
        <v>70.599999999999994</v>
      </c>
      <c r="AA19">
        <v>-6.65</v>
      </c>
      <c r="AC19" s="12">
        <v>116.40355669497296</v>
      </c>
      <c r="AD19">
        <f>X28</f>
        <v>-1.2949999999999999</v>
      </c>
      <c r="AF19">
        <v>1.6</v>
      </c>
      <c r="AG19">
        <v>3848.3948</v>
      </c>
      <c r="AH19">
        <f t="shared" si="0"/>
        <v>-12.465200000000095</v>
      </c>
    </row>
    <row r="20" spans="1:34" x14ac:dyDescent="0.25">
      <c r="A20" t="s">
        <v>20</v>
      </c>
      <c r="B20" t="s">
        <v>103</v>
      </c>
      <c r="C20" s="12">
        <v>73.134278910383728</v>
      </c>
      <c r="D20" s="27">
        <v>3854.1990000000001</v>
      </c>
      <c r="E20" s="12">
        <f t="shared" si="1"/>
        <v>73.134278910383728</v>
      </c>
      <c r="F20">
        <f t="shared" si="2"/>
        <v>-6.6590000000001055</v>
      </c>
      <c r="G20" s="12">
        <v>73.134278910383728</v>
      </c>
      <c r="H20">
        <v>3854.1990000000001</v>
      </c>
      <c r="I20" s="26">
        <f>H20-MAX($D$5:$D$52)</f>
        <v>-6.6590000000001055</v>
      </c>
      <c r="J20" s="12">
        <f t="shared" ref="J20:J42" si="3">G20-C20</f>
        <v>0</v>
      </c>
      <c r="K20" s="12">
        <f>G20-J20</f>
        <v>73.134278910383728</v>
      </c>
      <c r="L20">
        <f t="shared" ref="L20:L44" si="4">H20</f>
        <v>3854.1990000000001</v>
      </c>
      <c r="N20">
        <v>0</v>
      </c>
      <c r="O20">
        <v>3855.2</v>
      </c>
      <c r="Q20" s="12">
        <v>73.134278910383728</v>
      </c>
      <c r="R20" s="12">
        <f>C20</f>
        <v>73.134278910383728</v>
      </c>
      <c r="S20">
        <f>L20</f>
        <v>3854.1990000000001</v>
      </c>
      <c r="U20">
        <f t="shared" ref="U20:U44" si="5">H20</f>
        <v>3854.1990000000001</v>
      </c>
      <c r="W20">
        <v>77</v>
      </c>
      <c r="X20">
        <v>-3.5009999999999999</v>
      </c>
      <c r="Z20">
        <v>73.099999999999994</v>
      </c>
      <c r="AA20">
        <v>-6.66</v>
      </c>
      <c r="AC20" s="12">
        <v>119.28817521394558</v>
      </c>
      <c r="AD20">
        <v>-1.6</v>
      </c>
      <c r="AF20">
        <v>1.7</v>
      </c>
      <c r="AG20">
        <v>3848.3975999999998</v>
      </c>
      <c r="AH20">
        <f t="shared" si="0"/>
        <v>-12.462400000000343</v>
      </c>
    </row>
    <row r="21" spans="1:34" x14ac:dyDescent="0.25">
      <c r="A21" s="21" t="s">
        <v>21</v>
      </c>
      <c r="B21" t="s">
        <v>104</v>
      </c>
      <c r="C21" s="12">
        <v>77.010751017854773</v>
      </c>
      <c r="D21" s="27">
        <v>3857.357</v>
      </c>
      <c r="E21" s="12">
        <f t="shared" si="1"/>
        <v>77.010751017854773</v>
      </c>
      <c r="F21">
        <f t="shared" si="2"/>
        <v>-3.5010000000002037</v>
      </c>
      <c r="G21" s="12">
        <v>77.010751017854773</v>
      </c>
      <c r="H21">
        <v>3856.0938000000001</v>
      </c>
      <c r="I21" s="26">
        <f t="shared" ref="I21:I44" si="6">H21-MAX($D$5:$D$52)</f>
        <v>-4.7642000000000735</v>
      </c>
      <c r="J21" s="12">
        <f t="shared" si="3"/>
        <v>0</v>
      </c>
      <c r="K21" s="12">
        <f>$K$20+N21</f>
        <v>76.018897429356343</v>
      </c>
      <c r="L21">
        <f t="shared" si="4"/>
        <v>3856.0938000000001</v>
      </c>
      <c r="N21" s="12">
        <v>2.8846185189726157</v>
      </c>
      <c r="O21">
        <v>3857.36</v>
      </c>
      <c r="Q21" s="12">
        <f>Q20+$N$21</f>
        <v>76.018897429356343</v>
      </c>
      <c r="R21" s="12">
        <f t="shared" ref="R21:R44" si="7">C21</f>
        <v>77.010751017854773</v>
      </c>
      <c r="T21" s="12">
        <f>Q21-R21</f>
        <v>-0.99185358849842942</v>
      </c>
      <c r="U21">
        <f t="shared" si="5"/>
        <v>3856.0938000000001</v>
      </c>
      <c r="W21">
        <v>81.900000000000006</v>
      </c>
      <c r="X21">
        <f>AD7</f>
        <v>-1.5</v>
      </c>
      <c r="Z21">
        <v>75.05</v>
      </c>
      <c r="AA21">
        <v>-5.08</v>
      </c>
      <c r="AC21" s="12">
        <v>122.17279373291819</v>
      </c>
      <c r="AD21">
        <v>-1.5904000000000451</v>
      </c>
      <c r="AF21">
        <v>1.8</v>
      </c>
      <c r="AG21">
        <v>3848.4004</v>
      </c>
      <c r="AH21">
        <f t="shared" si="0"/>
        <v>-12.459600000000137</v>
      </c>
    </row>
    <row r="22" spans="1:34" x14ac:dyDescent="0.25">
      <c r="A22" s="21" t="s">
        <v>22</v>
      </c>
      <c r="B22" t="s">
        <v>105</v>
      </c>
      <c r="C22" s="12">
        <v>81.931985009446862</v>
      </c>
      <c r="D22" s="27">
        <v>3860.4920000000002</v>
      </c>
      <c r="E22" s="12">
        <f t="shared" si="1"/>
        <v>81.931985009446862</v>
      </c>
      <c r="F22">
        <f t="shared" si="2"/>
        <v>-0.36599999999998545</v>
      </c>
      <c r="G22" s="12">
        <v>81.931985009446862</v>
      </c>
      <c r="H22">
        <v>3859.2380000000003</v>
      </c>
      <c r="I22" s="26">
        <f t="shared" si="6"/>
        <v>-1.6199999999998909</v>
      </c>
      <c r="J22" s="12">
        <f t="shared" si="3"/>
        <v>0</v>
      </c>
      <c r="K22" s="12">
        <f t="shared" ref="K22:K44" si="8">$K$20+N22</f>
        <v>78.992379563151644</v>
      </c>
      <c r="L22">
        <f t="shared" si="4"/>
        <v>3859.2380000000003</v>
      </c>
      <c r="N22" s="12">
        <v>5.8581006527679165</v>
      </c>
      <c r="O22">
        <v>3857.69</v>
      </c>
      <c r="Q22" s="12">
        <f t="shared" ref="Q22:Q44" si="9">Q21+$N$21</f>
        <v>78.903515948328959</v>
      </c>
      <c r="R22" s="12">
        <f t="shared" si="7"/>
        <v>81.931985009446862</v>
      </c>
      <c r="T22" s="12">
        <f t="shared" ref="T22:T44" si="10">Q22-R22</f>
        <v>-3.028469061117903</v>
      </c>
      <c r="U22">
        <f t="shared" si="5"/>
        <v>3859.2380000000003</v>
      </c>
      <c r="W22">
        <v>86.8</v>
      </c>
      <c r="X22">
        <v>-3.1070000000000002</v>
      </c>
      <c r="Z22">
        <v>77</v>
      </c>
      <c r="AA22">
        <f>X20</f>
        <v>-3.5009999999999999</v>
      </c>
      <c r="AC22" s="12">
        <v>125.05741225189081</v>
      </c>
      <c r="AD22">
        <v>-1.4</v>
      </c>
      <c r="AF22">
        <v>1.9</v>
      </c>
      <c r="AG22">
        <v>3848.4031999999902</v>
      </c>
      <c r="AH22">
        <f t="shared" si="0"/>
        <v>-12.456800000009935</v>
      </c>
    </row>
    <row r="23" spans="1:34" x14ac:dyDescent="0.25">
      <c r="A23" t="s">
        <v>23</v>
      </c>
      <c r="B23" t="s">
        <v>106</v>
      </c>
      <c r="C23" s="12">
        <v>86.765898124098385</v>
      </c>
      <c r="D23" s="27">
        <v>3857.7510000000002</v>
      </c>
      <c r="E23" s="12">
        <f t="shared" si="1"/>
        <v>86.765898124098385</v>
      </c>
      <c r="F23">
        <f t="shared" si="2"/>
        <v>-3.1069999999999709</v>
      </c>
      <c r="G23" s="12">
        <v>86.765898124098385</v>
      </c>
      <c r="H23">
        <v>3858.8474000000001</v>
      </c>
      <c r="I23" s="26">
        <f t="shared" si="6"/>
        <v>-2.0106000000000677</v>
      </c>
      <c r="J23" s="12">
        <f t="shared" si="3"/>
        <v>0</v>
      </c>
      <c r="K23" s="12">
        <f t="shared" si="8"/>
        <v>81.915455853637354</v>
      </c>
      <c r="L23">
        <f t="shared" si="4"/>
        <v>3858.8474000000001</v>
      </c>
      <c r="N23" s="12">
        <v>8.7811769432536266</v>
      </c>
      <c r="O23">
        <v>3857.75</v>
      </c>
      <c r="Q23" s="12">
        <f t="shared" si="9"/>
        <v>81.788134467301575</v>
      </c>
      <c r="R23" s="12">
        <f t="shared" si="7"/>
        <v>86.765898124098385</v>
      </c>
      <c r="T23" s="12">
        <f t="shared" si="10"/>
        <v>-4.9777636567968102</v>
      </c>
      <c r="U23">
        <f t="shared" si="5"/>
        <v>3858.8474000000001</v>
      </c>
      <c r="W23">
        <v>91.8</v>
      </c>
      <c r="X23">
        <v>-2.7829999999999999</v>
      </c>
      <c r="Z23">
        <v>79.45</v>
      </c>
      <c r="AA23">
        <v>-1.93</v>
      </c>
      <c r="AC23" s="12">
        <v>127.94203077086343</v>
      </c>
      <c r="AD23">
        <v>-0.8</v>
      </c>
      <c r="AF23">
        <v>2</v>
      </c>
      <c r="AG23">
        <v>3848.4059999999999</v>
      </c>
      <c r="AH23">
        <f t="shared" si="0"/>
        <v>-12.454000000000178</v>
      </c>
    </row>
    <row r="24" spans="1:34" x14ac:dyDescent="0.25">
      <c r="A24" s="21" t="s">
        <v>24</v>
      </c>
      <c r="B24" t="s">
        <v>107</v>
      </c>
      <c r="C24" s="12">
        <v>91.755389480940266</v>
      </c>
      <c r="D24" s="27">
        <v>3858.0749999999998</v>
      </c>
      <c r="E24" s="12">
        <f t="shared" si="1"/>
        <v>91.755389480940266</v>
      </c>
      <c r="F24">
        <f t="shared" si="2"/>
        <v>-2.7830000000003565</v>
      </c>
      <c r="G24" s="12">
        <v>91.755389480940266</v>
      </c>
      <c r="H24">
        <v>3857.9454000000001</v>
      </c>
      <c r="I24" s="26">
        <f t="shared" si="6"/>
        <v>-2.9126000000001113</v>
      </c>
      <c r="J24" s="12">
        <f t="shared" si="3"/>
        <v>0</v>
      </c>
      <c r="K24" s="12">
        <f t="shared" si="8"/>
        <v>84.813087817845371</v>
      </c>
      <c r="L24">
        <f t="shared" si="4"/>
        <v>3857.9454000000001</v>
      </c>
      <c r="N24" s="12">
        <v>11.678808907461644</v>
      </c>
      <c r="O24">
        <v>3858.08</v>
      </c>
      <c r="Q24" s="12">
        <f t="shared" si="9"/>
        <v>84.67275298627419</v>
      </c>
      <c r="R24" s="12">
        <f t="shared" si="7"/>
        <v>91.755389480940266</v>
      </c>
      <c r="T24" s="12">
        <f t="shared" si="10"/>
        <v>-7.082636494666076</v>
      </c>
      <c r="U24">
        <f t="shared" si="5"/>
        <v>3857.9454000000001</v>
      </c>
      <c r="W24">
        <v>96.7</v>
      </c>
      <c r="X24">
        <v>-2.3769999999999998</v>
      </c>
      <c r="Z24">
        <v>81.900000000000006</v>
      </c>
      <c r="AA24">
        <f>X21</f>
        <v>-1.5</v>
      </c>
      <c r="AC24" s="12">
        <v>130.82664928983604</v>
      </c>
      <c r="AD24">
        <v>0</v>
      </c>
      <c r="AF24">
        <v>2.1</v>
      </c>
      <c r="AG24">
        <v>3848.4087999999902</v>
      </c>
      <c r="AH24">
        <f t="shared" si="0"/>
        <v>-12.451200000009976</v>
      </c>
    </row>
    <row r="25" spans="1:34" x14ac:dyDescent="0.25">
      <c r="A25" s="21" t="s">
        <v>25</v>
      </c>
      <c r="B25" t="s">
        <v>108</v>
      </c>
      <c r="C25" s="12">
        <v>96.738878620087689</v>
      </c>
      <c r="D25" s="27">
        <v>3858.4810000000002</v>
      </c>
      <c r="E25" s="12">
        <f t="shared" si="1"/>
        <v>96.738878620087689</v>
      </c>
      <c r="F25">
        <f t="shared" si="2"/>
        <v>-2.3769999999999527</v>
      </c>
      <c r="G25" s="12">
        <v>96.738878620087689</v>
      </c>
      <c r="H25">
        <v>3858.3186000000001</v>
      </c>
      <c r="I25" s="26">
        <f t="shared" si="6"/>
        <v>-2.5394000000001142</v>
      </c>
      <c r="J25" s="12">
        <f t="shared" si="3"/>
        <v>0</v>
      </c>
      <c r="K25" s="12">
        <f t="shared" si="8"/>
        <v>86.622383537179189</v>
      </c>
      <c r="L25">
        <f t="shared" si="4"/>
        <v>3858.3186000000001</v>
      </c>
      <c r="N25" s="12">
        <v>13.488104626795462</v>
      </c>
      <c r="O25">
        <v>3858.48</v>
      </c>
      <c r="Q25" s="12">
        <f t="shared" si="9"/>
        <v>87.557371505246806</v>
      </c>
      <c r="R25" s="12">
        <f t="shared" si="7"/>
        <v>96.738878620087689</v>
      </c>
      <c r="T25" s="12">
        <f t="shared" si="10"/>
        <v>-9.1815071148408833</v>
      </c>
      <c r="U25">
        <f t="shared" si="5"/>
        <v>3858.3186000000001</v>
      </c>
      <c r="W25">
        <v>101.7</v>
      </c>
      <c r="X25">
        <v>-1.6830000000000001</v>
      </c>
      <c r="Z25">
        <v>84.35</v>
      </c>
      <c r="AA25">
        <v>-1.74</v>
      </c>
      <c r="AC25" s="12">
        <v>133.71126780880866</v>
      </c>
      <c r="AD25">
        <v>-0.6</v>
      </c>
      <c r="AF25">
        <v>2.2000000000000002</v>
      </c>
      <c r="AG25">
        <v>3848.4115999999999</v>
      </c>
      <c r="AH25">
        <f t="shared" si="0"/>
        <v>-12.44840000000022</v>
      </c>
    </row>
    <row r="26" spans="1:34" x14ac:dyDescent="0.25">
      <c r="A26" t="s">
        <v>26</v>
      </c>
      <c r="B26" t="s">
        <v>109</v>
      </c>
      <c r="C26" s="12">
        <v>101.69048078504397</v>
      </c>
      <c r="D26" s="27">
        <v>3859.1750000000002</v>
      </c>
      <c r="E26" s="12">
        <f t="shared" si="1"/>
        <v>101.69048078504397</v>
      </c>
      <c r="F26">
        <f t="shared" si="2"/>
        <v>-1.6829999999999927</v>
      </c>
      <c r="G26" s="12">
        <v>101.69048078504397</v>
      </c>
      <c r="H26">
        <v>3858.8974000000003</v>
      </c>
      <c r="I26" s="26">
        <f t="shared" si="6"/>
        <v>-1.9605999999998858</v>
      </c>
      <c r="J26" s="12">
        <f t="shared" si="3"/>
        <v>0</v>
      </c>
      <c r="K26" s="12">
        <f t="shared" si="8"/>
        <v>89.469326458981527</v>
      </c>
      <c r="L26">
        <f t="shared" si="4"/>
        <v>3858.8974000000003</v>
      </c>
      <c r="N26" s="12">
        <v>16.3350475485978</v>
      </c>
      <c r="O26">
        <v>3859.18</v>
      </c>
      <c r="Q26" s="12">
        <f t="shared" si="9"/>
        <v>90.441990024219422</v>
      </c>
      <c r="R26" s="12">
        <f t="shared" si="7"/>
        <v>101.69048078504397</v>
      </c>
      <c r="T26" s="12">
        <f t="shared" si="10"/>
        <v>-11.248490760824552</v>
      </c>
      <c r="U26">
        <f t="shared" si="5"/>
        <v>3858.8974000000003</v>
      </c>
      <c r="W26">
        <v>106.7</v>
      </c>
      <c r="X26">
        <v>-1.284</v>
      </c>
      <c r="Z26">
        <v>86.8</v>
      </c>
      <c r="AA26">
        <f>X22</f>
        <v>-3.1070000000000002</v>
      </c>
      <c r="AC26" s="12">
        <v>136.59588632778127</v>
      </c>
      <c r="AD26">
        <f>X32</f>
        <v>-1.1890000000000001</v>
      </c>
      <c r="AF26">
        <v>2.2999999999999998</v>
      </c>
      <c r="AG26">
        <v>3848.4143999999901</v>
      </c>
      <c r="AH26">
        <f t="shared" si="0"/>
        <v>-12.445600000010018</v>
      </c>
    </row>
    <row r="27" spans="1:34" x14ac:dyDescent="0.25">
      <c r="A27" s="21" t="s">
        <v>27</v>
      </c>
      <c r="B27" t="s">
        <v>110</v>
      </c>
      <c r="C27" s="12">
        <v>106.67453525906421</v>
      </c>
      <c r="D27" s="27">
        <v>3859.5740000000001</v>
      </c>
      <c r="E27" s="12">
        <f t="shared" si="1"/>
        <v>106.67453525906421</v>
      </c>
      <c r="F27">
        <f t="shared" si="2"/>
        <v>-1.2840000000001055</v>
      </c>
      <c r="G27" s="12">
        <v>106.67453525906421</v>
      </c>
      <c r="H27">
        <v>3859.4144000000001</v>
      </c>
      <c r="I27" s="26">
        <f t="shared" si="6"/>
        <v>-1.4436000000000604</v>
      </c>
      <c r="J27" s="12">
        <f t="shared" si="3"/>
        <v>0</v>
      </c>
      <c r="K27" s="12">
        <f t="shared" si="8"/>
        <v>92.445922501443533</v>
      </c>
      <c r="L27">
        <f t="shared" si="4"/>
        <v>3859.4144000000001</v>
      </c>
      <c r="N27" s="12">
        <v>19.311643591059806</v>
      </c>
      <c r="O27">
        <v>3859.57</v>
      </c>
      <c r="Q27" s="12">
        <f t="shared" si="9"/>
        <v>93.326608543192037</v>
      </c>
      <c r="R27" s="12">
        <f t="shared" si="7"/>
        <v>106.67453525906421</v>
      </c>
      <c r="T27" s="12">
        <f t="shared" si="10"/>
        <v>-13.347926715872177</v>
      </c>
      <c r="U27">
        <f t="shared" si="5"/>
        <v>3859.4144000000001</v>
      </c>
      <c r="W27">
        <v>111.6</v>
      </c>
      <c r="X27">
        <v>-0.20499999999999999</v>
      </c>
      <c r="Z27">
        <v>89.3</v>
      </c>
      <c r="AA27">
        <v>-2.95</v>
      </c>
      <c r="AC27" s="12">
        <v>139.48050484675389</v>
      </c>
      <c r="AD27">
        <f>-1.6</f>
        <v>-1.6</v>
      </c>
      <c r="AF27">
        <v>2.4</v>
      </c>
      <c r="AG27">
        <v>3848.4171999999999</v>
      </c>
      <c r="AH27">
        <f t="shared" si="0"/>
        <v>-12.442800000000261</v>
      </c>
    </row>
    <row r="28" spans="1:34" x14ac:dyDescent="0.25">
      <c r="A28" s="21" t="s">
        <v>28</v>
      </c>
      <c r="B28" t="s">
        <v>111</v>
      </c>
      <c r="C28" s="12">
        <v>111.55672319071959</v>
      </c>
      <c r="D28" s="27">
        <v>3860.6529999999998</v>
      </c>
      <c r="E28" s="12">
        <f t="shared" si="1"/>
        <v>111.55672319071959</v>
      </c>
      <c r="F28">
        <f t="shared" si="2"/>
        <v>-0.20500000000038199</v>
      </c>
      <c r="G28" s="12">
        <v>111.55672319071959</v>
      </c>
      <c r="H28">
        <v>3860.2213999999999</v>
      </c>
      <c r="I28" s="26">
        <f t="shared" si="6"/>
        <v>-0.63660000000027139</v>
      </c>
      <c r="J28" s="12">
        <f t="shared" si="3"/>
        <v>0</v>
      </c>
      <c r="K28" s="12">
        <f t="shared" si="8"/>
        <v>95.410755717663278</v>
      </c>
      <c r="L28">
        <f t="shared" si="4"/>
        <v>3860.2213999999999</v>
      </c>
      <c r="N28" s="12">
        <v>22.27647680727955</v>
      </c>
      <c r="O28">
        <v>3860.65</v>
      </c>
      <c r="Q28" s="12">
        <f t="shared" si="9"/>
        <v>96.211227062164653</v>
      </c>
      <c r="R28" s="12">
        <f t="shared" si="7"/>
        <v>111.55672319071959</v>
      </c>
      <c r="T28" s="12">
        <f t="shared" si="10"/>
        <v>-15.345496128554942</v>
      </c>
      <c r="U28">
        <f t="shared" si="5"/>
        <v>3860.2213999999999</v>
      </c>
      <c r="W28">
        <v>116.4</v>
      </c>
      <c r="X28">
        <v>-1.2949999999999999</v>
      </c>
      <c r="Z28">
        <v>91.8</v>
      </c>
      <c r="AA28">
        <v>-2.78</v>
      </c>
      <c r="AC28" s="12">
        <v>142.3651233657265</v>
      </c>
      <c r="AD28">
        <v>-2.4</v>
      </c>
      <c r="AF28">
        <v>2.5</v>
      </c>
      <c r="AG28">
        <v>3848.42</v>
      </c>
      <c r="AH28">
        <f t="shared" si="0"/>
        <v>-12.440000000000055</v>
      </c>
    </row>
    <row r="29" spans="1:34" x14ac:dyDescent="0.25">
      <c r="A29" t="s">
        <v>29</v>
      </c>
      <c r="B29" t="s">
        <v>112</v>
      </c>
      <c r="C29" s="12">
        <v>116.43646703645572</v>
      </c>
      <c r="D29" s="27">
        <v>3859.5630000000001</v>
      </c>
      <c r="E29" s="12">
        <f t="shared" si="1"/>
        <v>116.43646703645572</v>
      </c>
      <c r="F29">
        <f t="shared" si="2"/>
        <v>-1.2950000000000728</v>
      </c>
      <c r="G29" s="12">
        <v>116.43646703645572</v>
      </c>
      <c r="H29">
        <v>3859.9989999999998</v>
      </c>
      <c r="I29" s="26">
        <f t="shared" si="6"/>
        <v>-0.85900000000037835</v>
      </c>
      <c r="J29" s="12">
        <f t="shared" si="3"/>
        <v>0</v>
      </c>
      <c r="K29" s="12">
        <f t="shared" si="8"/>
        <v>98.320583891284514</v>
      </c>
      <c r="L29">
        <f t="shared" si="4"/>
        <v>3859.9989999999998</v>
      </c>
      <c r="N29" s="12">
        <v>25.186304980900786</v>
      </c>
      <c r="O29">
        <v>3859.56</v>
      </c>
      <c r="Q29" s="12">
        <f t="shared" si="9"/>
        <v>99.095845581137269</v>
      </c>
      <c r="R29" s="12">
        <f t="shared" si="7"/>
        <v>116.43646703645572</v>
      </c>
      <c r="T29" s="12">
        <f t="shared" si="10"/>
        <v>-17.340621455318455</v>
      </c>
      <c r="U29">
        <f t="shared" si="5"/>
        <v>3859.9989999999998</v>
      </c>
      <c r="W29">
        <v>121.4</v>
      </c>
      <c r="X29">
        <v>-1.9570000000000001</v>
      </c>
      <c r="Z29">
        <v>94.25</v>
      </c>
      <c r="AA29">
        <v>-2.58</v>
      </c>
      <c r="AC29" s="12"/>
      <c r="AF29">
        <v>2.6</v>
      </c>
      <c r="AG29">
        <v>3848.4227999999998</v>
      </c>
      <c r="AH29">
        <f t="shared" si="0"/>
        <v>-12.437200000000303</v>
      </c>
    </row>
    <row r="30" spans="1:34" x14ac:dyDescent="0.25">
      <c r="A30" s="21" t="s">
        <v>30</v>
      </c>
      <c r="B30" t="s">
        <v>113</v>
      </c>
      <c r="C30" s="12">
        <v>121.39244887661607</v>
      </c>
      <c r="D30" s="27">
        <v>3858.9009999999998</v>
      </c>
      <c r="E30" s="12">
        <f t="shared" si="1"/>
        <v>121.39244887661607</v>
      </c>
      <c r="F30">
        <f t="shared" si="2"/>
        <v>-1.9570000000003347</v>
      </c>
      <c r="G30" s="12">
        <v>121.39244887661607</v>
      </c>
      <c r="H30">
        <v>3859.1657999999998</v>
      </c>
      <c r="I30" s="26">
        <f t="shared" si="6"/>
        <v>-1.6922000000004118</v>
      </c>
      <c r="J30" s="12">
        <f t="shared" si="3"/>
        <v>0</v>
      </c>
      <c r="K30" s="12">
        <f t="shared" si="8"/>
        <v>101.21332912721527</v>
      </c>
      <c r="L30">
        <f t="shared" si="4"/>
        <v>3859.1657999999998</v>
      </c>
      <c r="N30" s="12">
        <v>28.079050216831547</v>
      </c>
      <c r="O30">
        <v>3858.9</v>
      </c>
      <c r="Q30" s="12">
        <f t="shared" si="9"/>
        <v>101.98046410010988</v>
      </c>
      <c r="R30" s="12">
        <f t="shared" si="7"/>
        <v>121.39244887661607</v>
      </c>
      <c r="T30" s="12">
        <f t="shared" si="10"/>
        <v>-19.411984776506188</v>
      </c>
      <c r="U30">
        <f t="shared" si="5"/>
        <v>3859.1657999999998</v>
      </c>
      <c r="W30">
        <v>126.3</v>
      </c>
      <c r="X30">
        <v>-0.95499999999999996</v>
      </c>
      <c r="Z30">
        <v>96.7</v>
      </c>
      <c r="AA30">
        <v>-2.38</v>
      </c>
      <c r="AC30" s="12"/>
      <c r="AF30">
        <v>2.7</v>
      </c>
      <c r="AG30">
        <v>3848.4256</v>
      </c>
      <c r="AH30">
        <f t="shared" si="0"/>
        <v>-12.434400000000096</v>
      </c>
    </row>
    <row r="31" spans="1:34" x14ac:dyDescent="0.25">
      <c r="A31" s="21" t="s">
        <v>31</v>
      </c>
      <c r="B31" t="s">
        <v>114</v>
      </c>
      <c r="C31" s="12">
        <v>126.29101968859777</v>
      </c>
      <c r="D31" s="27">
        <v>3859.9029999999998</v>
      </c>
      <c r="E31" s="12">
        <f t="shared" si="1"/>
        <v>126.29101968859777</v>
      </c>
      <c r="F31">
        <f t="shared" si="2"/>
        <v>-0.95500000000038199</v>
      </c>
      <c r="G31" s="12">
        <v>126.29101968859777</v>
      </c>
      <c r="H31">
        <v>3859.5021999999999</v>
      </c>
      <c r="I31" s="26">
        <f t="shared" si="6"/>
        <v>-1.3558000000002721</v>
      </c>
      <c r="J31" s="12">
        <f t="shared" si="3"/>
        <v>0</v>
      </c>
      <c r="K31" s="12">
        <f t="shared" si="8"/>
        <v>103.25509209093093</v>
      </c>
      <c r="L31">
        <f t="shared" si="4"/>
        <v>3859.5021999999999</v>
      </c>
      <c r="N31" s="12">
        <v>30.120813180547202</v>
      </c>
      <c r="O31">
        <v>3859.9</v>
      </c>
      <c r="Q31" s="12">
        <f t="shared" si="9"/>
        <v>104.8650826190825</v>
      </c>
      <c r="R31" s="12">
        <f t="shared" si="7"/>
        <v>126.29101968859777</v>
      </c>
      <c r="T31" s="12">
        <f t="shared" si="10"/>
        <v>-21.425937069515271</v>
      </c>
      <c r="U31">
        <f t="shared" si="5"/>
        <v>3859.5021999999999</v>
      </c>
      <c r="W31">
        <v>131.19999999999999</v>
      </c>
      <c r="X31">
        <v>0</v>
      </c>
      <c r="Z31">
        <v>99.2</v>
      </c>
      <c r="AA31">
        <v>-2.0299999999999998</v>
      </c>
      <c r="AC31" s="12"/>
      <c r="AF31">
        <v>2.8</v>
      </c>
      <c r="AG31">
        <v>3848.4283999999998</v>
      </c>
      <c r="AH31">
        <f t="shared" si="0"/>
        <v>-12.431600000000344</v>
      </c>
    </row>
    <row r="32" spans="1:34" x14ac:dyDescent="0.25">
      <c r="A32" t="s">
        <v>32</v>
      </c>
      <c r="B32" t="s">
        <v>115</v>
      </c>
      <c r="C32" s="12">
        <v>131.19896987171887</v>
      </c>
      <c r="D32" s="27">
        <v>3860.8580000000002</v>
      </c>
      <c r="E32" s="12">
        <f t="shared" si="1"/>
        <v>131.19896987171887</v>
      </c>
      <c r="F32">
        <f t="shared" si="2"/>
        <v>0</v>
      </c>
      <c r="G32" s="12">
        <v>131.19896987171887</v>
      </c>
      <c r="H32">
        <v>3860.4760000000001</v>
      </c>
      <c r="I32" s="26">
        <f t="shared" si="6"/>
        <v>-0.38200000000006185</v>
      </c>
      <c r="J32" s="12">
        <f t="shared" si="3"/>
        <v>0</v>
      </c>
      <c r="K32" s="12">
        <f t="shared" si="8"/>
        <v>106.21055736732978</v>
      </c>
      <c r="L32">
        <f t="shared" si="4"/>
        <v>3860.4760000000001</v>
      </c>
      <c r="N32" s="12">
        <v>33.076278456946056</v>
      </c>
      <c r="O32">
        <v>3860.86</v>
      </c>
      <c r="Q32" s="12">
        <f t="shared" si="9"/>
        <v>107.74970113805512</v>
      </c>
      <c r="R32" s="12">
        <f t="shared" si="7"/>
        <v>131.19896987171887</v>
      </c>
      <c r="T32" s="12">
        <f t="shared" si="10"/>
        <v>-23.449268733663757</v>
      </c>
      <c r="U32">
        <f t="shared" si="5"/>
        <v>3860.4760000000001</v>
      </c>
      <c r="W32">
        <v>136.1</v>
      </c>
      <c r="X32">
        <v>-1.1890000000000001</v>
      </c>
      <c r="Z32">
        <v>101.7</v>
      </c>
      <c r="AA32">
        <v>-1.68</v>
      </c>
      <c r="AC32" s="12"/>
      <c r="AF32">
        <v>2.9</v>
      </c>
      <c r="AG32">
        <v>3848.4312</v>
      </c>
      <c r="AH32">
        <f t="shared" si="0"/>
        <v>-12.428800000000138</v>
      </c>
    </row>
    <row r="33" spans="1:34" x14ac:dyDescent="0.25">
      <c r="A33" s="21" t="s">
        <v>33</v>
      </c>
      <c r="B33" t="s">
        <v>116</v>
      </c>
      <c r="C33" s="12">
        <v>136.05554057541508</v>
      </c>
      <c r="D33" s="27">
        <v>3859.6689999999999</v>
      </c>
      <c r="E33" s="12">
        <f t="shared" si="1"/>
        <v>136.05554057541508</v>
      </c>
      <c r="F33">
        <f t="shared" si="2"/>
        <v>-1.1890000000003056</v>
      </c>
      <c r="G33" s="12">
        <v>136.05554057541508</v>
      </c>
      <c r="H33">
        <v>3860.1446000000001</v>
      </c>
      <c r="I33" s="26">
        <f t="shared" si="6"/>
        <v>-0.7134000000000924</v>
      </c>
      <c r="J33" s="12">
        <f t="shared" si="3"/>
        <v>0</v>
      </c>
      <c r="K33" s="12">
        <f t="shared" si="8"/>
        <v>109.19944277831496</v>
      </c>
      <c r="L33">
        <f t="shared" si="4"/>
        <v>3860.1446000000001</v>
      </c>
      <c r="N33" s="12">
        <v>36.065163867931233</v>
      </c>
      <c r="O33">
        <v>3859.67</v>
      </c>
      <c r="Q33" s="12">
        <f t="shared" si="9"/>
        <v>110.63431965702773</v>
      </c>
      <c r="R33" s="12">
        <f t="shared" si="7"/>
        <v>136.05554057541508</v>
      </c>
      <c r="T33" s="12">
        <f t="shared" si="10"/>
        <v>-25.421220918387348</v>
      </c>
      <c r="U33">
        <f t="shared" si="5"/>
        <v>3860.1446000000001</v>
      </c>
      <c r="W33">
        <v>141</v>
      </c>
      <c r="X33">
        <v>-2.1760000000000002</v>
      </c>
      <c r="Z33">
        <v>104.2</v>
      </c>
      <c r="AA33">
        <v>-1.48</v>
      </c>
      <c r="AC33" s="12"/>
      <c r="AF33">
        <v>3</v>
      </c>
      <c r="AG33">
        <v>3848.4339999999902</v>
      </c>
      <c r="AH33">
        <f t="shared" si="0"/>
        <v>-12.426000000009935</v>
      </c>
    </row>
    <row r="34" spans="1:34" x14ac:dyDescent="0.25">
      <c r="A34" s="21" t="s">
        <v>34</v>
      </c>
      <c r="B34" t="s">
        <v>117</v>
      </c>
      <c r="C34" s="12">
        <v>140.95715571738606</v>
      </c>
      <c r="D34" s="27">
        <v>3858.6819999999998</v>
      </c>
      <c r="E34" s="12">
        <f t="shared" si="1"/>
        <v>140.95715571738606</v>
      </c>
      <c r="F34">
        <f t="shared" si="2"/>
        <v>-2.1760000000003856</v>
      </c>
      <c r="G34" s="12">
        <v>140.95715571738606</v>
      </c>
      <c r="H34">
        <v>3859.0767999999998</v>
      </c>
      <c r="I34" s="26">
        <f t="shared" si="6"/>
        <v>-1.7812000000003536</v>
      </c>
      <c r="J34" s="12">
        <f t="shared" si="3"/>
        <v>0</v>
      </c>
      <c r="K34" s="12">
        <f t="shared" si="8"/>
        <v>112.02395671880095</v>
      </c>
      <c r="L34">
        <f t="shared" si="4"/>
        <v>3859.0767999999998</v>
      </c>
      <c r="N34" s="12">
        <v>38.889677808417218</v>
      </c>
      <c r="O34">
        <v>3858.68</v>
      </c>
      <c r="Q34" s="12">
        <f t="shared" si="9"/>
        <v>113.51893817600035</v>
      </c>
      <c r="R34" s="12">
        <f t="shared" si="7"/>
        <v>140.95715571738606</v>
      </c>
      <c r="T34" s="12">
        <f t="shared" si="10"/>
        <v>-27.438217541385711</v>
      </c>
      <c r="U34">
        <f t="shared" si="5"/>
        <v>3859.0767999999998</v>
      </c>
      <c r="W34">
        <v>145.80000000000001</v>
      </c>
      <c r="X34">
        <v>-3.2949999999999999</v>
      </c>
      <c r="Z34">
        <v>106.7</v>
      </c>
      <c r="AA34">
        <v>-1.28</v>
      </c>
      <c r="AC34" s="12"/>
      <c r="AF34">
        <v>3.1</v>
      </c>
      <c r="AG34">
        <v>3848.4367999999999</v>
      </c>
      <c r="AH34">
        <f t="shared" si="0"/>
        <v>-12.423200000000179</v>
      </c>
    </row>
    <row r="35" spans="1:34" x14ac:dyDescent="0.25">
      <c r="A35" t="s">
        <v>35</v>
      </c>
      <c r="B35" t="s">
        <v>118</v>
      </c>
      <c r="C35" s="12">
        <v>145.83033117082505</v>
      </c>
      <c r="D35" s="27">
        <v>3857.5630000000001</v>
      </c>
      <c r="E35" s="12">
        <f t="shared" si="1"/>
        <v>145.83033117082505</v>
      </c>
      <c r="F35">
        <f t="shared" si="2"/>
        <v>-3.2950000000000728</v>
      </c>
      <c r="G35" s="12">
        <v>145.83033117082505</v>
      </c>
      <c r="H35">
        <v>3858.0106000000001</v>
      </c>
      <c r="I35" s="26">
        <f t="shared" si="6"/>
        <v>-2.847400000000107</v>
      </c>
      <c r="J35" s="12">
        <f t="shared" si="3"/>
        <v>0</v>
      </c>
      <c r="K35" s="12">
        <f t="shared" si="8"/>
        <v>114.8062428291787</v>
      </c>
      <c r="L35">
        <f t="shared" si="4"/>
        <v>3858.0106000000001</v>
      </c>
      <c r="N35" s="12">
        <v>41.671963918794972</v>
      </c>
      <c r="O35">
        <v>3857.56</v>
      </c>
      <c r="Q35" s="12">
        <f t="shared" si="9"/>
        <v>116.40355669497296</v>
      </c>
      <c r="R35" s="12">
        <f t="shared" si="7"/>
        <v>145.83033117082505</v>
      </c>
      <c r="T35" s="12">
        <f t="shared" si="10"/>
        <v>-29.426774475852085</v>
      </c>
      <c r="U35">
        <f t="shared" si="5"/>
        <v>3858.0106000000001</v>
      </c>
      <c r="W35">
        <v>150.80000000000001</v>
      </c>
      <c r="X35">
        <v>-2.6389999999999998</v>
      </c>
      <c r="Z35">
        <v>109.15</v>
      </c>
      <c r="AA35">
        <v>-0.74</v>
      </c>
      <c r="AC35" s="12"/>
      <c r="AF35">
        <v>3.2</v>
      </c>
      <c r="AG35">
        <v>3848.4395999999902</v>
      </c>
      <c r="AH35">
        <f t="shared" si="0"/>
        <v>-12.420400000009977</v>
      </c>
    </row>
    <row r="36" spans="1:34" x14ac:dyDescent="0.25">
      <c r="A36" s="21" t="s">
        <v>36</v>
      </c>
      <c r="B36" t="s">
        <v>119</v>
      </c>
      <c r="C36" s="12">
        <v>150.78711077052481</v>
      </c>
      <c r="D36" s="27">
        <v>3858.2190000000001</v>
      </c>
      <c r="E36" s="12">
        <f t="shared" si="1"/>
        <v>150.78711077052481</v>
      </c>
      <c r="F36">
        <f t="shared" si="2"/>
        <v>-2.6390000000001237</v>
      </c>
      <c r="G36" s="12">
        <v>150.78711077052481</v>
      </c>
      <c r="H36">
        <v>3857.9566</v>
      </c>
      <c r="I36" s="26">
        <f t="shared" si="6"/>
        <v>-2.9014000000001943</v>
      </c>
      <c r="J36" s="12">
        <f t="shared" si="3"/>
        <v>0</v>
      </c>
      <c r="K36" s="12">
        <f t="shared" si="8"/>
        <v>117.71756967445049</v>
      </c>
      <c r="L36">
        <f t="shared" si="4"/>
        <v>3857.9566</v>
      </c>
      <c r="N36" s="12">
        <v>44.58329076406676</v>
      </c>
      <c r="O36">
        <v>3858.22</v>
      </c>
      <c r="Q36" s="12">
        <f t="shared" si="9"/>
        <v>119.28817521394558</v>
      </c>
      <c r="R36" s="12">
        <f t="shared" si="7"/>
        <v>150.78711077052481</v>
      </c>
      <c r="T36" s="12">
        <f t="shared" si="10"/>
        <v>-31.498935556579227</v>
      </c>
      <c r="U36">
        <f t="shared" si="5"/>
        <v>3857.9566</v>
      </c>
      <c r="W36">
        <v>155.80000000000001</v>
      </c>
      <c r="X36">
        <v>-3.0470000000000002</v>
      </c>
      <c r="Z36">
        <v>111.6</v>
      </c>
      <c r="AA36">
        <v>-0.2</v>
      </c>
      <c r="AC36" s="12"/>
      <c r="AF36">
        <v>3.3</v>
      </c>
      <c r="AG36">
        <v>3848.4423999999999</v>
      </c>
      <c r="AH36">
        <f t="shared" si="0"/>
        <v>-12.41760000000022</v>
      </c>
    </row>
    <row r="37" spans="1:34" x14ac:dyDescent="0.25">
      <c r="A37" s="21" t="s">
        <v>37</v>
      </c>
      <c r="B37" t="s">
        <v>120</v>
      </c>
      <c r="C37" s="12">
        <v>155.77043656762066</v>
      </c>
      <c r="D37" s="27">
        <v>3857.8110000000001</v>
      </c>
      <c r="E37" s="12">
        <f t="shared" si="1"/>
        <v>155.77043656762066</v>
      </c>
      <c r="F37">
        <f t="shared" si="2"/>
        <v>-3.0470000000000255</v>
      </c>
      <c r="G37" s="12">
        <v>155.77043656762066</v>
      </c>
      <c r="H37">
        <v>3857.9742000000001</v>
      </c>
      <c r="I37" s="26">
        <f t="shared" si="6"/>
        <v>-2.8838000000000648</v>
      </c>
      <c r="J37" s="12">
        <f t="shared" si="3"/>
        <v>0</v>
      </c>
      <c r="K37" s="12">
        <f t="shared" si="8"/>
        <v>119.05174769855353</v>
      </c>
      <c r="L37">
        <f t="shared" si="4"/>
        <v>3857.9742000000001</v>
      </c>
      <c r="N37" s="12">
        <v>45.917468788169799</v>
      </c>
      <c r="O37">
        <v>3857.81</v>
      </c>
      <c r="Q37" s="12">
        <f t="shared" si="9"/>
        <v>122.17279373291819</v>
      </c>
      <c r="R37" s="12">
        <f t="shared" si="7"/>
        <v>155.77043656762066</v>
      </c>
      <c r="T37" s="12">
        <f t="shared" si="10"/>
        <v>-33.597642834702469</v>
      </c>
      <c r="U37">
        <f t="shared" si="5"/>
        <v>3857.9742000000001</v>
      </c>
      <c r="W37">
        <v>160.80000000000001</v>
      </c>
      <c r="X37">
        <v>-3.0209999999999999</v>
      </c>
      <c r="Z37">
        <v>114</v>
      </c>
      <c r="AA37">
        <v>-0.75</v>
      </c>
      <c r="AC37" s="12"/>
      <c r="AF37">
        <v>3.4</v>
      </c>
      <c r="AG37">
        <v>3848.4451999999901</v>
      </c>
      <c r="AH37">
        <f t="shared" si="0"/>
        <v>-12.414800000010018</v>
      </c>
    </row>
    <row r="38" spans="1:34" x14ac:dyDescent="0.25">
      <c r="A38" t="s">
        <v>38</v>
      </c>
      <c r="B38" t="s">
        <v>121</v>
      </c>
      <c r="C38" s="12">
        <v>160.77036896716368</v>
      </c>
      <c r="D38" s="27">
        <v>3857.837</v>
      </c>
      <c r="E38" s="12">
        <f t="shared" si="1"/>
        <v>160.77036896716368</v>
      </c>
      <c r="F38">
        <f t="shared" si="2"/>
        <v>-3.0210000000001855</v>
      </c>
      <c r="G38" s="12">
        <v>160.77036896716368</v>
      </c>
      <c r="H38">
        <v>3857.8265999999999</v>
      </c>
      <c r="I38" s="26">
        <f t="shared" si="6"/>
        <v>-3.0314000000003034</v>
      </c>
      <c r="J38" s="12">
        <f t="shared" si="3"/>
        <v>0</v>
      </c>
      <c r="K38" s="12">
        <f t="shared" si="8"/>
        <v>121.49131405346179</v>
      </c>
      <c r="L38">
        <f t="shared" si="4"/>
        <v>3857.8265999999999</v>
      </c>
      <c r="N38" s="12">
        <v>48.357035143078065</v>
      </c>
      <c r="O38">
        <v>3857.84</v>
      </c>
      <c r="Q38" s="12">
        <f t="shared" si="9"/>
        <v>125.05741225189081</v>
      </c>
      <c r="R38" s="12">
        <f t="shared" si="7"/>
        <v>160.77036896716368</v>
      </c>
      <c r="T38" s="12">
        <f t="shared" si="10"/>
        <v>-35.712956715272867</v>
      </c>
      <c r="U38">
        <f t="shared" si="5"/>
        <v>3857.8265999999999</v>
      </c>
      <c r="W38">
        <v>165.4</v>
      </c>
      <c r="X38">
        <v>-5.0090000000000003</v>
      </c>
      <c r="Z38">
        <v>116.4</v>
      </c>
      <c r="AA38">
        <v>-1.29</v>
      </c>
      <c r="AC38" s="12"/>
      <c r="AF38">
        <v>3.5</v>
      </c>
      <c r="AG38">
        <v>3848.4479999999999</v>
      </c>
      <c r="AH38">
        <f t="shared" si="0"/>
        <v>-12.412000000000262</v>
      </c>
    </row>
    <row r="39" spans="1:34" x14ac:dyDescent="0.25">
      <c r="A39" s="21" t="s">
        <v>39</v>
      </c>
      <c r="B39" t="s">
        <v>122</v>
      </c>
      <c r="C39" s="12">
        <v>165.35816320840877</v>
      </c>
      <c r="D39" s="27">
        <v>3855.8490000000002</v>
      </c>
      <c r="E39" s="12">
        <f t="shared" si="1"/>
        <v>165.35816320840877</v>
      </c>
      <c r="F39">
        <f t="shared" si="2"/>
        <v>-5.0090000000000146</v>
      </c>
      <c r="G39" s="12">
        <v>165.35816320840877</v>
      </c>
      <c r="H39">
        <v>3856.6442000000002</v>
      </c>
      <c r="I39" s="26">
        <f t="shared" si="6"/>
        <v>-4.213799999999992</v>
      </c>
      <c r="J39" s="12">
        <f t="shared" si="3"/>
        <v>0</v>
      </c>
      <c r="K39" s="12">
        <f t="shared" si="8"/>
        <v>124.47967547738631</v>
      </c>
      <c r="L39">
        <f t="shared" si="4"/>
        <v>3856.6442000000002</v>
      </c>
      <c r="N39" s="12">
        <v>51.345396567002581</v>
      </c>
      <c r="O39">
        <v>3857.85</v>
      </c>
      <c r="Q39" s="12">
        <f t="shared" si="9"/>
        <v>127.94203077086343</v>
      </c>
      <c r="R39" s="12">
        <f t="shared" si="7"/>
        <v>165.35816320840877</v>
      </c>
      <c r="T39" s="12">
        <f t="shared" si="10"/>
        <v>-37.416132437545343</v>
      </c>
      <c r="U39">
        <f t="shared" si="5"/>
        <v>3856.6442000000002</v>
      </c>
      <c r="W39">
        <v>170</v>
      </c>
      <c r="X39">
        <v>-3.0470000000000002</v>
      </c>
      <c r="Z39">
        <v>118.9</v>
      </c>
      <c r="AA39">
        <v>-1.63</v>
      </c>
      <c r="AC39" s="12"/>
      <c r="AF39">
        <v>3.6</v>
      </c>
      <c r="AG39">
        <v>3848.4507999999901</v>
      </c>
      <c r="AH39">
        <f t="shared" si="0"/>
        <v>-12.40920000001006</v>
      </c>
    </row>
    <row r="40" spans="1:34" x14ac:dyDescent="0.25">
      <c r="A40" s="21" t="s">
        <v>40</v>
      </c>
      <c r="B40" t="s">
        <v>123</v>
      </c>
      <c r="C40" s="12">
        <v>169.95713657210626</v>
      </c>
      <c r="D40" s="27">
        <v>3857.8110000000001</v>
      </c>
      <c r="E40" s="12">
        <f t="shared" si="1"/>
        <v>169.95713657210626</v>
      </c>
      <c r="F40">
        <f t="shared" si="2"/>
        <v>-3.0470000000000255</v>
      </c>
      <c r="G40" s="12">
        <v>169.95713657210626</v>
      </c>
      <c r="H40">
        <v>3857.0262000000002</v>
      </c>
      <c r="I40" s="26">
        <f t="shared" si="6"/>
        <v>-3.8317999999999302</v>
      </c>
      <c r="J40" s="12">
        <f t="shared" si="3"/>
        <v>0</v>
      </c>
      <c r="K40" s="12">
        <f t="shared" si="8"/>
        <v>127.32893485483851</v>
      </c>
      <c r="L40">
        <f t="shared" si="4"/>
        <v>3857.0262000000002</v>
      </c>
      <c r="N40" s="12">
        <v>54.19465594445478</v>
      </c>
      <c r="O40">
        <v>3857.81</v>
      </c>
      <c r="Q40" s="12">
        <f t="shared" si="9"/>
        <v>130.82664928983604</v>
      </c>
      <c r="R40" s="12">
        <f t="shared" si="7"/>
        <v>169.95713657210626</v>
      </c>
      <c r="T40" s="12">
        <f t="shared" si="10"/>
        <v>-39.130487282270224</v>
      </c>
      <c r="U40">
        <f t="shared" si="5"/>
        <v>3857.0262000000002</v>
      </c>
      <c r="W40">
        <v>174.9</v>
      </c>
      <c r="X40">
        <v>-3.4809999999999999</v>
      </c>
      <c r="Z40">
        <v>121.4</v>
      </c>
      <c r="AA40">
        <v>-1.96</v>
      </c>
      <c r="AC40" s="12"/>
      <c r="AF40">
        <v>3.7</v>
      </c>
      <c r="AG40">
        <v>3848.4535999999998</v>
      </c>
      <c r="AH40">
        <f t="shared" si="0"/>
        <v>-12.406400000000303</v>
      </c>
    </row>
    <row r="41" spans="1:34" x14ac:dyDescent="0.25">
      <c r="A41" t="s">
        <v>41</v>
      </c>
      <c r="B41" t="s">
        <v>124</v>
      </c>
      <c r="C41" s="12">
        <v>174.9382653598409</v>
      </c>
      <c r="D41" s="27">
        <v>3857.377</v>
      </c>
      <c r="E41" s="12">
        <f t="shared" si="1"/>
        <v>174.9382653598409</v>
      </c>
      <c r="F41">
        <f t="shared" si="2"/>
        <v>-3.4810000000002219</v>
      </c>
      <c r="G41" s="12">
        <v>174.9382653598409</v>
      </c>
      <c r="H41">
        <v>3857.5506</v>
      </c>
      <c r="I41" s="26">
        <f t="shared" si="6"/>
        <v>-3.3074000000001433</v>
      </c>
      <c r="J41" s="12">
        <f t="shared" si="3"/>
        <v>0</v>
      </c>
      <c r="K41" s="12">
        <f t="shared" si="8"/>
        <v>129.88838303755279</v>
      </c>
      <c r="L41">
        <f t="shared" si="4"/>
        <v>3857.5506</v>
      </c>
      <c r="N41" s="12">
        <v>56.754104127169057</v>
      </c>
      <c r="O41">
        <v>3857.38</v>
      </c>
      <c r="Q41" s="12">
        <f t="shared" si="9"/>
        <v>133.71126780880866</v>
      </c>
      <c r="R41" s="12">
        <f t="shared" si="7"/>
        <v>174.9382653598409</v>
      </c>
      <c r="T41" s="12">
        <f t="shared" si="10"/>
        <v>-41.226997551032241</v>
      </c>
      <c r="U41">
        <f t="shared" si="5"/>
        <v>3857.5506</v>
      </c>
      <c r="W41">
        <v>179.7</v>
      </c>
      <c r="X41">
        <v>-4.9450000000000003</v>
      </c>
      <c r="Z41">
        <v>123.85</v>
      </c>
      <c r="AA41">
        <v>-1.46</v>
      </c>
      <c r="AC41" s="12"/>
      <c r="AF41">
        <v>3.8</v>
      </c>
      <c r="AG41">
        <v>3848.4564</v>
      </c>
      <c r="AH41">
        <f t="shared" si="0"/>
        <v>-12.403600000000097</v>
      </c>
    </row>
    <row r="42" spans="1:34" x14ac:dyDescent="0.25">
      <c r="A42" s="21" t="s">
        <v>42</v>
      </c>
      <c r="B42" t="s">
        <v>125</v>
      </c>
      <c r="C42" s="12">
        <v>179.71913390017949</v>
      </c>
      <c r="D42" s="27">
        <v>3855.913</v>
      </c>
      <c r="E42" s="12">
        <f t="shared" si="1"/>
        <v>179.71913390017949</v>
      </c>
      <c r="F42">
        <f t="shared" si="2"/>
        <v>-4.9450000000001637</v>
      </c>
      <c r="G42" s="12">
        <v>179.71913390017949</v>
      </c>
      <c r="H42">
        <v>3856.4985999999999</v>
      </c>
      <c r="I42" s="26">
        <f t="shared" si="6"/>
        <v>-4.3594000000002779</v>
      </c>
      <c r="J42" s="12">
        <f t="shared" si="3"/>
        <v>0</v>
      </c>
      <c r="K42" s="12">
        <f t="shared" si="8"/>
        <v>132.51413988082663</v>
      </c>
      <c r="L42">
        <f t="shared" si="4"/>
        <v>3856.4985999999999</v>
      </c>
      <c r="N42" s="12">
        <v>59.379860970442905</v>
      </c>
      <c r="O42">
        <v>3855.91</v>
      </c>
      <c r="Q42" s="12">
        <f t="shared" si="9"/>
        <v>136.59588632778127</v>
      </c>
      <c r="R42" s="12">
        <f t="shared" si="7"/>
        <v>179.71913390017949</v>
      </c>
      <c r="T42" s="12">
        <f t="shared" si="10"/>
        <v>-43.123247572398213</v>
      </c>
      <c r="U42">
        <f t="shared" si="5"/>
        <v>3856.4985999999999</v>
      </c>
      <c r="W42">
        <v>184.6</v>
      </c>
      <c r="X42">
        <v>-6.0149999999999997</v>
      </c>
      <c r="Z42">
        <v>126.3</v>
      </c>
      <c r="AA42">
        <v>-0.95</v>
      </c>
      <c r="AC42" s="12"/>
      <c r="AF42">
        <v>3.9</v>
      </c>
      <c r="AG42">
        <v>3848.4591999999998</v>
      </c>
      <c r="AH42">
        <f t="shared" si="0"/>
        <v>-12.400800000000345</v>
      </c>
    </row>
    <row r="43" spans="1:34" x14ac:dyDescent="0.25">
      <c r="A43" s="21" t="s">
        <v>43</v>
      </c>
      <c r="B43" t="s">
        <v>126</v>
      </c>
      <c r="C43" s="12">
        <v>184.60330220194783</v>
      </c>
      <c r="D43" s="27">
        <v>3854.8429999999998</v>
      </c>
      <c r="E43" s="12">
        <f t="shared" si="1"/>
        <v>184.60330220194783</v>
      </c>
      <c r="F43">
        <f t="shared" si="2"/>
        <v>-6.0150000000003274</v>
      </c>
      <c r="G43" s="12">
        <v>184.60330220194783</v>
      </c>
      <c r="H43">
        <v>3855.2709999999997</v>
      </c>
      <c r="I43" s="26">
        <f t="shared" si="6"/>
        <v>-5.5870000000004438</v>
      </c>
      <c r="J43" s="12">
        <f>I44-I43</f>
        <v>0.46300000000019281</v>
      </c>
      <c r="K43" s="12">
        <f t="shared" si="8"/>
        <v>135.45250252012079</v>
      </c>
      <c r="L43">
        <f t="shared" si="4"/>
        <v>3855.2709999999997</v>
      </c>
      <c r="N43" s="12">
        <v>62.318223609737061</v>
      </c>
      <c r="O43">
        <v>3854.84</v>
      </c>
      <c r="Q43" s="12">
        <f t="shared" si="9"/>
        <v>139.48050484675389</v>
      </c>
      <c r="R43" s="12">
        <f t="shared" si="7"/>
        <v>184.60330220194783</v>
      </c>
      <c r="T43" s="12">
        <f t="shared" si="10"/>
        <v>-45.122797355193939</v>
      </c>
      <c r="U43">
        <f t="shared" si="5"/>
        <v>3855.2709999999997</v>
      </c>
      <c r="W43">
        <v>189.4</v>
      </c>
      <c r="X43">
        <v>-4.53</v>
      </c>
      <c r="Z43">
        <v>128.75</v>
      </c>
      <c r="AA43">
        <v>-0.48</v>
      </c>
      <c r="AC43" s="12"/>
      <c r="AF43">
        <v>4</v>
      </c>
      <c r="AG43">
        <v>3848.462</v>
      </c>
      <c r="AH43">
        <f t="shared" si="0"/>
        <v>-12.398000000000138</v>
      </c>
    </row>
    <row r="44" spans="1:34" x14ac:dyDescent="0.25">
      <c r="A44" t="s">
        <v>44</v>
      </c>
      <c r="B44" t="s">
        <v>175</v>
      </c>
      <c r="C44" s="12">
        <v>189.37768959720597</v>
      </c>
      <c r="D44" s="27">
        <v>3856.328</v>
      </c>
      <c r="E44" s="12">
        <f t="shared" si="1"/>
        <v>189.37768959720597</v>
      </c>
      <c r="F44">
        <f t="shared" si="2"/>
        <v>-4.5300000000002001</v>
      </c>
      <c r="G44" s="12">
        <v>189.37768959720597</v>
      </c>
      <c r="H44">
        <v>3855.7339999999999</v>
      </c>
      <c r="I44" s="26">
        <f t="shared" si="6"/>
        <v>-5.124000000000251</v>
      </c>
      <c r="J44" s="12">
        <f>G44-C44</f>
        <v>0</v>
      </c>
      <c r="K44" s="12">
        <f t="shared" si="8"/>
        <v>147.13427891038373</v>
      </c>
      <c r="L44">
        <f t="shared" si="4"/>
        <v>3855.7339999999999</v>
      </c>
      <c r="N44" s="12">
        <v>74</v>
      </c>
      <c r="O44">
        <v>3855.33</v>
      </c>
      <c r="Q44" s="12">
        <f t="shared" si="9"/>
        <v>142.3651233657265</v>
      </c>
      <c r="R44" s="12">
        <f t="shared" si="7"/>
        <v>189.37768959720597</v>
      </c>
      <c r="T44" s="12">
        <f t="shared" si="10"/>
        <v>-47.012566231479468</v>
      </c>
      <c r="U44">
        <f t="shared" si="5"/>
        <v>3855.7339999999999</v>
      </c>
      <c r="W44">
        <v>194.3</v>
      </c>
      <c r="X44">
        <v>-5.4379999999999997</v>
      </c>
      <c r="Z44">
        <v>131.19999999999999</v>
      </c>
      <c r="AA44">
        <v>0</v>
      </c>
      <c r="AF44">
        <v>4.0999999999999996</v>
      </c>
      <c r="AG44">
        <v>3848.4647999999902</v>
      </c>
      <c r="AH44">
        <f t="shared" si="0"/>
        <v>-12.395200000009936</v>
      </c>
    </row>
    <row r="45" spans="1:34" x14ac:dyDescent="0.25">
      <c r="A45" s="21" t="s">
        <v>45</v>
      </c>
      <c r="C45" s="12">
        <v>194.29455201138853</v>
      </c>
      <c r="D45" s="27">
        <v>3855.42</v>
      </c>
      <c r="E45" s="12">
        <f t="shared" si="1"/>
        <v>194.29455201138853</v>
      </c>
      <c r="F45">
        <f t="shared" si="2"/>
        <v>-5.4380000000001019</v>
      </c>
      <c r="G45" s="12"/>
      <c r="K45" s="29"/>
      <c r="W45">
        <v>199.3</v>
      </c>
      <c r="X45">
        <v>-5.4960000000000004</v>
      </c>
      <c r="Z45">
        <v>133.65</v>
      </c>
      <c r="AA45">
        <v>-0.59</v>
      </c>
      <c r="AF45">
        <v>4.2</v>
      </c>
      <c r="AG45">
        <v>3848.4675999999999</v>
      </c>
      <c r="AH45">
        <f t="shared" si="0"/>
        <v>-12.39240000000018</v>
      </c>
    </row>
    <row r="46" spans="1:34" x14ac:dyDescent="0.25">
      <c r="A46" s="21" t="s">
        <v>46</v>
      </c>
      <c r="C46" s="12">
        <v>199.29421560007131</v>
      </c>
      <c r="D46" s="27">
        <v>3855.3620000000001</v>
      </c>
      <c r="E46" s="12">
        <f t="shared" si="1"/>
        <v>199.29421560007131</v>
      </c>
      <c r="F46">
        <f t="shared" si="2"/>
        <v>-5.4960000000000946</v>
      </c>
      <c r="G46" s="26"/>
      <c r="K46" s="29"/>
      <c r="W46">
        <v>204.2</v>
      </c>
      <c r="X46">
        <v>-6.38</v>
      </c>
      <c r="Z46">
        <v>136.1</v>
      </c>
      <c r="AA46">
        <v>-1.19</v>
      </c>
      <c r="AF46">
        <v>4.3</v>
      </c>
      <c r="AG46">
        <v>3848.4703999999901</v>
      </c>
      <c r="AH46">
        <f t="shared" si="0"/>
        <v>-12.389600000009978</v>
      </c>
    </row>
    <row r="47" spans="1:34" x14ac:dyDescent="0.25">
      <c r="A47" t="s">
        <v>47</v>
      </c>
      <c r="C47" s="12">
        <v>204.21544959166317</v>
      </c>
      <c r="D47" s="27">
        <v>3854.4780000000001</v>
      </c>
      <c r="E47" s="12">
        <f t="shared" si="1"/>
        <v>204.21544959166317</v>
      </c>
      <c r="F47">
        <f t="shared" si="2"/>
        <v>-6.3800000000001091</v>
      </c>
      <c r="G47" s="26"/>
      <c r="K47" s="29"/>
      <c r="W47">
        <v>209.2</v>
      </c>
      <c r="X47">
        <v>-6.7</v>
      </c>
      <c r="Z47">
        <v>138.55000000000001</v>
      </c>
      <c r="AA47">
        <v>-1.68</v>
      </c>
      <c r="AF47">
        <v>4.4000000000000004</v>
      </c>
      <c r="AG47">
        <v>3848.4731999999999</v>
      </c>
      <c r="AH47">
        <f t="shared" si="0"/>
        <v>-12.386800000000221</v>
      </c>
    </row>
    <row r="48" spans="1:34" x14ac:dyDescent="0.25">
      <c r="A48" s="21" t="s">
        <v>48</v>
      </c>
      <c r="C48" s="12">
        <v>209.20519908437313</v>
      </c>
      <c r="D48" s="27">
        <v>3854.1579999999999</v>
      </c>
      <c r="E48" s="12">
        <f t="shared" si="1"/>
        <v>209.20519908437313</v>
      </c>
      <c r="F48">
        <f t="shared" si="2"/>
        <v>-6.7000000000002728</v>
      </c>
      <c r="G48" s="26"/>
      <c r="K48" s="29"/>
      <c r="W48">
        <v>214</v>
      </c>
      <c r="X48">
        <v>-8.2379999999999995</v>
      </c>
      <c r="Z48">
        <v>141</v>
      </c>
      <c r="AA48">
        <v>-2.1800000000000002</v>
      </c>
      <c r="AF48">
        <v>4.5</v>
      </c>
      <c r="AG48">
        <v>3848.4759999999901</v>
      </c>
      <c r="AH48">
        <f t="shared" si="0"/>
        <v>-12.384000000010019</v>
      </c>
    </row>
    <row r="49" spans="1:34" x14ac:dyDescent="0.25">
      <c r="A49" s="21" t="s">
        <v>49</v>
      </c>
      <c r="C49" s="12">
        <v>213.96277788035741</v>
      </c>
      <c r="D49" s="27">
        <v>3852.62</v>
      </c>
      <c r="E49" s="12">
        <f t="shared" si="1"/>
        <v>213.96277788035741</v>
      </c>
      <c r="F49">
        <f t="shared" si="2"/>
        <v>-8.2380000000002838</v>
      </c>
      <c r="G49" s="26"/>
      <c r="K49" s="29"/>
      <c r="W49">
        <v>218.9</v>
      </c>
      <c r="X49">
        <v>-7.8760000000000003</v>
      </c>
      <c r="Z49">
        <v>143.4</v>
      </c>
      <c r="AA49">
        <v>-2.74</v>
      </c>
      <c r="AF49">
        <v>4.5999999999999996</v>
      </c>
      <c r="AG49">
        <v>3848.4787999999999</v>
      </c>
      <c r="AH49">
        <f t="shared" si="0"/>
        <v>-12.381200000000263</v>
      </c>
    </row>
    <row r="50" spans="1:34" x14ac:dyDescent="0.25">
      <c r="A50" t="s">
        <v>50</v>
      </c>
      <c r="C50" s="12">
        <v>218.94965626267231</v>
      </c>
      <c r="D50" s="27">
        <v>3852.982</v>
      </c>
      <c r="E50" s="12">
        <f t="shared" si="1"/>
        <v>218.94965626267231</v>
      </c>
      <c r="F50">
        <f t="shared" si="2"/>
        <v>-7.8760000000002037</v>
      </c>
      <c r="G50" s="26"/>
      <c r="K50" s="29"/>
      <c r="W50">
        <v>223.9</v>
      </c>
      <c r="X50">
        <v>-8.1180000000000003</v>
      </c>
      <c r="Z50">
        <v>145.80000000000001</v>
      </c>
      <c r="AA50">
        <v>-3.29</v>
      </c>
      <c r="AF50">
        <v>4.7</v>
      </c>
      <c r="AG50">
        <v>3848.4815999999901</v>
      </c>
      <c r="AH50">
        <f t="shared" si="0"/>
        <v>-12.37840000001006</v>
      </c>
    </row>
    <row r="51" spans="1:34" x14ac:dyDescent="0.25">
      <c r="A51" s="21" t="s">
        <v>51</v>
      </c>
      <c r="C51" s="12">
        <v>223.94379642890704</v>
      </c>
      <c r="D51" s="27">
        <v>3852.74</v>
      </c>
      <c r="E51" s="12">
        <f t="shared" si="1"/>
        <v>223.94379642890704</v>
      </c>
      <c r="F51">
        <f t="shared" si="2"/>
        <v>-8.1180000000003929</v>
      </c>
      <c r="G51" s="26"/>
      <c r="K51" s="29"/>
      <c r="W51">
        <v>228.9</v>
      </c>
      <c r="X51">
        <v>-7.282</v>
      </c>
      <c r="Z51">
        <v>148.30000000000001</v>
      </c>
      <c r="AA51">
        <v>-2.97</v>
      </c>
      <c r="AF51">
        <v>4.8</v>
      </c>
      <c r="AG51">
        <v>3848.4843999999998</v>
      </c>
      <c r="AH51">
        <f t="shared" si="0"/>
        <v>-12.375600000000304</v>
      </c>
    </row>
    <row r="52" spans="1:34" x14ac:dyDescent="0.25">
      <c r="A52" s="21" t="s">
        <v>52</v>
      </c>
      <c r="C52" s="12">
        <v>228.87341142401556</v>
      </c>
      <c r="D52" s="27">
        <v>3853.576</v>
      </c>
      <c r="E52" s="12">
        <f t="shared" si="1"/>
        <v>228.87341142401556</v>
      </c>
      <c r="F52">
        <f t="shared" si="2"/>
        <v>-7.2820000000001528</v>
      </c>
      <c r="G52" s="26"/>
      <c r="K52" s="29"/>
      <c r="Z52">
        <v>150.80000000000001</v>
      </c>
      <c r="AA52">
        <v>-2.64</v>
      </c>
      <c r="AF52">
        <v>4.9000000000000004</v>
      </c>
      <c r="AG52">
        <v>3848.48719999999</v>
      </c>
      <c r="AH52">
        <f t="shared" si="0"/>
        <v>-12.372800000010102</v>
      </c>
    </row>
    <row r="53" spans="1:34" x14ac:dyDescent="0.25">
      <c r="Z53">
        <v>153.30000000000001</v>
      </c>
      <c r="AA53">
        <v>-2.84</v>
      </c>
      <c r="AF53">
        <v>5</v>
      </c>
      <c r="AG53">
        <v>3848.49</v>
      </c>
      <c r="AH53">
        <f t="shared" si="0"/>
        <v>-12.370000000000346</v>
      </c>
    </row>
    <row r="54" spans="1:34" x14ac:dyDescent="0.25">
      <c r="Z54">
        <v>155.80000000000001</v>
      </c>
      <c r="AA54">
        <v>-3.05</v>
      </c>
      <c r="AF54">
        <v>5.0999999999999996</v>
      </c>
      <c r="AG54">
        <v>3848.4669999999901</v>
      </c>
      <c r="AH54">
        <f t="shared" si="0"/>
        <v>-12.393000000010034</v>
      </c>
    </row>
    <row r="55" spans="1:34" x14ac:dyDescent="0.25">
      <c r="Z55">
        <v>158.30000000000001</v>
      </c>
      <c r="AA55">
        <v>-3.03</v>
      </c>
      <c r="AF55">
        <v>5.2</v>
      </c>
      <c r="AG55">
        <v>3848.444</v>
      </c>
      <c r="AH55">
        <f t="shared" si="0"/>
        <v>-12.416000000000167</v>
      </c>
    </row>
    <row r="56" spans="1:34" x14ac:dyDescent="0.25">
      <c r="Z56">
        <v>160.80000000000001</v>
      </c>
      <c r="AA56">
        <v>-3.02</v>
      </c>
      <c r="AF56">
        <v>5.3</v>
      </c>
      <c r="AG56">
        <v>3848.4209999999998</v>
      </c>
      <c r="AH56">
        <f t="shared" si="0"/>
        <v>-12.439000000000306</v>
      </c>
    </row>
    <row r="57" spans="1:34" x14ac:dyDescent="0.25">
      <c r="Z57">
        <v>163.1</v>
      </c>
      <c r="AA57">
        <v>-4.0199999999999996</v>
      </c>
      <c r="AF57">
        <v>5.4</v>
      </c>
      <c r="AG57">
        <v>3848.3979999999901</v>
      </c>
      <c r="AH57">
        <f t="shared" si="0"/>
        <v>-12.462000000009994</v>
      </c>
    </row>
    <row r="58" spans="1:34" x14ac:dyDescent="0.25">
      <c r="Z58">
        <v>165.4</v>
      </c>
      <c r="AA58">
        <v>-5.01</v>
      </c>
      <c r="AF58">
        <v>5.5</v>
      </c>
      <c r="AG58">
        <v>3848.375</v>
      </c>
      <c r="AH58">
        <f t="shared" si="0"/>
        <v>-12.485000000000127</v>
      </c>
    </row>
    <row r="59" spans="1:34" x14ac:dyDescent="0.25">
      <c r="Z59">
        <v>167.7</v>
      </c>
      <c r="AA59">
        <v>-4.03</v>
      </c>
      <c r="AF59">
        <v>5.6</v>
      </c>
      <c r="AG59">
        <v>3848.3519999999999</v>
      </c>
      <c r="AH59">
        <f t="shared" si="0"/>
        <v>-12.508000000000266</v>
      </c>
    </row>
    <row r="60" spans="1:34" x14ac:dyDescent="0.25">
      <c r="Z60">
        <v>170</v>
      </c>
      <c r="AA60">
        <v>-3.05</v>
      </c>
      <c r="AF60">
        <v>5.7</v>
      </c>
      <c r="AG60">
        <v>3848.3289999999902</v>
      </c>
      <c r="AH60">
        <f t="shared" si="0"/>
        <v>-12.531000000009954</v>
      </c>
    </row>
    <row r="61" spans="1:34" x14ac:dyDescent="0.25">
      <c r="Z61">
        <v>172.45</v>
      </c>
      <c r="AA61">
        <v>-3.26</v>
      </c>
      <c r="AF61">
        <v>5.8</v>
      </c>
      <c r="AG61">
        <v>3848.306</v>
      </c>
      <c r="AH61">
        <f t="shared" si="0"/>
        <v>-12.554000000000087</v>
      </c>
    </row>
    <row r="62" spans="1:34" x14ac:dyDescent="0.25">
      <c r="Z62">
        <v>174.9</v>
      </c>
      <c r="AA62">
        <v>-3.48</v>
      </c>
      <c r="AF62">
        <v>5.9</v>
      </c>
      <c r="AG62">
        <v>3848.2829999999999</v>
      </c>
      <c r="AH62">
        <f t="shared" si="0"/>
        <v>-12.577000000000226</v>
      </c>
    </row>
    <row r="63" spans="1:34" x14ac:dyDescent="0.25">
      <c r="Z63">
        <v>177.3</v>
      </c>
      <c r="AA63">
        <v>-4.21</v>
      </c>
      <c r="AF63">
        <v>6</v>
      </c>
      <c r="AG63">
        <v>3848.2599999999902</v>
      </c>
      <c r="AH63">
        <f t="shared" si="0"/>
        <v>-12.600000000009913</v>
      </c>
    </row>
    <row r="64" spans="1:34" x14ac:dyDescent="0.25">
      <c r="Z64">
        <v>179.7</v>
      </c>
      <c r="AA64">
        <v>-4.95</v>
      </c>
      <c r="AF64">
        <v>6.1</v>
      </c>
      <c r="AG64">
        <v>3848.2370000000001</v>
      </c>
      <c r="AH64">
        <f t="shared" si="0"/>
        <v>-12.623000000000047</v>
      </c>
    </row>
    <row r="65" spans="26:34" x14ac:dyDescent="0.25">
      <c r="Z65">
        <v>182.3</v>
      </c>
      <c r="AA65">
        <v>-5.48</v>
      </c>
      <c r="AF65">
        <v>6.2</v>
      </c>
      <c r="AG65">
        <v>3848.2139999999999</v>
      </c>
      <c r="AH65">
        <f t="shared" si="0"/>
        <v>-12.646000000000186</v>
      </c>
    </row>
    <row r="66" spans="26:34" x14ac:dyDescent="0.25">
      <c r="Z66">
        <v>184.9</v>
      </c>
      <c r="AA66">
        <v>-6.01</v>
      </c>
      <c r="AF66">
        <v>6.3</v>
      </c>
      <c r="AG66">
        <v>3848.1909999999998</v>
      </c>
      <c r="AH66">
        <f t="shared" si="0"/>
        <v>-12.669000000000324</v>
      </c>
    </row>
    <row r="67" spans="26:34" x14ac:dyDescent="0.25">
      <c r="Z67">
        <v>187.15</v>
      </c>
      <c r="AA67">
        <v>-5.27</v>
      </c>
      <c r="AF67">
        <v>6.4</v>
      </c>
      <c r="AG67">
        <v>3848.1679999999901</v>
      </c>
      <c r="AH67">
        <f t="shared" si="0"/>
        <v>-12.692000000010012</v>
      </c>
    </row>
    <row r="68" spans="26:34" x14ac:dyDescent="0.25">
      <c r="Z68">
        <v>189.4</v>
      </c>
      <c r="AA68">
        <v>-4.53</v>
      </c>
      <c r="AF68">
        <v>6.5</v>
      </c>
      <c r="AG68">
        <v>3848.145</v>
      </c>
      <c r="AH68">
        <f t="shared" ref="AH68:AH131" si="11">AG68-MAX($AG$3:$AG$2353)</f>
        <v>-12.715000000000146</v>
      </c>
    </row>
    <row r="69" spans="26:34" x14ac:dyDescent="0.25">
      <c r="AF69">
        <v>6.6</v>
      </c>
      <c r="AG69">
        <v>3848.1219999999998</v>
      </c>
      <c r="AH69">
        <f t="shared" si="11"/>
        <v>-12.738000000000284</v>
      </c>
    </row>
    <row r="70" spans="26:34" x14ac:dyDescent="0.25">
      <c r="AF70">
        <v>6.7</v>
      </c>
      <c r="AG70">
        <v>3848.0989999999902</v>
      </c>
      <c r="AH70">
        <f t="shared" si="11"/>
        <v>-12.761000000009972</v>
      </c>
    </row>
    <row r="71" spans="26:34" x14ac:dyDescent="0.25">
      <c r="AF71">
        <v>6.8</v>
      </c>
      <c r="AG71">
        <v>3848.076</v>
      </c>
      <c r="AH71">
        <f t="shared" si="11"/>
        <v>-12.784000000000106</v>
      </c>
    </row>
    <row r="72" spans="26:34" x14ac:dyDescent="0.25">
      <c r="AF72">
        <v>6.9</v>
      </c>
      <c r="AG72">
        <v>3848.0529999999999</v>
      </c>
      <c r="AH72">
        <f t="shared" si="11"/>
        <v>-12.807000000000244</v>
      </c>
    </row>
    <row r="73" spans="26:34" x14ac:dyDescent="0.25">
      <c r="AF73">
        <v>7</v>
      </c>
      <c r="AG73">
        <v>3848.0299999999902</v>
      </c>
      <c r="AH73">
        <f t="shared" si="11"/>
        <v>-12.830000000009932</v>
      </c>
    </row>
    <row r="74" spans="26:34" x14ac:dyDescent="0.25">
      <c r="AF74">
        <v>7.1</v>
      </c>
      <c r="AG74">
        <v>3848.0070000000001</v>
      </c>
      <c r="AH74">
        <f t="shared" si="11"/>
        <v>-12.853000000000065</v>
      </c>
    </row>
    <row r="75" spans="26:34" x14ac:dyDescent="0.25">
      <c r="AF75">
        <v>7.2</v>
      </c>
      <c r="AG75">
        <v>3847.9839999999999</v>
      </c>
      <c r="AH75">
        <f t="shared" si="11"/>
        <v>-12.876000000000204</v>
      </c>
    </row>
    <row r="76" spans="26:34" x14ac:dyDescent="0.25">
      <c r="AF76">
        <v>7.3</v>
      </c>
      <c r="AG76">
        <v>3847.9609999999998</v>
      </c>
      <c r="AH76">
        <f t="shared" si="11"/>
        <v>-12.899000000000342</v>
      </c>
    </row>
    <row r="77" spans="26:34" x14ac:dyDescent="0.25">
      <c r="AF77">
        <v>7.4</v>
      </c>
      <c r="AG77">
        <v>3847.9380000000001</v>
      </c>
      <c r="AH77">
        <f t="shared" si="11"/>
        <v>-12.922000000000025</v>
      </c>
    </row>
    <row r="78" spans="26:34" x14ac:dyDescent="0.25">
      <c r="AF78">
        <v>7.5</v>
      </c>
      <c r="AG78">
        <v>3847.915</v>
      </c>
      <c r="AH78">
        <f t="shared" si="11"/>
        <v>-12.945000000000164</v>
      </c>
    </row>
    <row r="79" spans="26:34" x14ac:dyDescent="0.25">
      <c r="AF79">
        <v>7.6</v>
      </c>
      <c r="AG79">
        <v>3847.8919999999998</v>
      </c>
      <c r="AH79">
        <f t="shared" si="11"/>
        <v>-12.968000000000302</v>
      </c>
    </row>
    <row r="80" spans="26:34" x14ac:dyDescent="0.25">
      <c r="AF80">
        <v>7.7</v>
      </c>
      <c r="AG80">
        <v>3847.8690000000001</v>
      </c>
      <c r="AH80">
        <f t="shared" si="11"/>
        <v>-12.990999999999985</v>
      </c>
    </row>
    <row r="81" spans="32:34" x14ac:dyDescent="0.25">
      <c r="AF81">
        <v>7.8</v>
      </c>
      <c r="AG81">
        <v>3847.846</v>
      </c>
      <c r="AH81">
        <f t="shared" si="11"/>
        <v>-13.014000000000124</v>
      </c>
    </row>
    <row r="82" spans="32:34" x14ac:dyDescent="0.25">
      <c r="AF82">
        <v>7.9</v>
      </c>
      <c r="AG82">
        <v>3847.8229999999999</v>
      </c>
      <c r="AH82">
        <f t="shared" si="11"/>
        <v>-13.037000000000262</v>
      </c>
    </row>
    <row r="83" spans="32:34" x14ac:dyDescent="0.25">
      <c r="AF83">
        <v>8</v>
      </c>
      <c r="AG83">
        <v>3847.8</v>
      </c>
      <c r="AH83">
        <f t="shared" si="11"/>
        <v>-13.059999999999945</v>
      </c>
    </row>
    <row r="84" spans="32:34" x14ac:dyDescent="0.25">
      <c r="AF84">
        <v>8.1</v>
      </c>
      <c r="AG84">
        <v>3847.777</v>
      </c>
      <c r="AH84">
        <f t="shared" si="11"/>
        <v>-13.083000000000084</v>
      </c>
    </row>
    <row r="85" spans="32:34" x14ac:dyDescent="0.25">
      <c r="AF85">
        <v>8.1999999999999993</v>
      </c>
      <c r="AG85">
        <v>3847.7539999999999</v>
      </c>
      <c r="AH85">
        <f t="shared" si="11"/>
        <v>-13.106000000000222</v>
      </c>
    </row>
    <row r="86" spans="32:34" x14ac:dyDescent="0.25">
      <c r="AF86">
        <v>8.3000000000000007</v>
      </c>
      <c r="AG86">
        <v>3847.7310000000002</v>
      </c>
      <c r="AH86">
        <f t="shared" si="11"/>
        <v>-13.128999999999905</v>
      </c>
    </row>
    <row r="87" spans="32:34" x14ac:dyDescent="0.25">
      <c r="AF87">
        <v>8.4</v>
      </c>
      <c r="AG87">
        <v>3847.7080000000001</v>
      </c>
      <c r="AH87">
        <f t="shared" si="11"/>
        <v>-13.152000000000044</v>
      </c>
    </row>
    <row r="88" spans="32:34" x14ac:dyDescent="0.25">
      <c r="AF88">
        <v>8.5</v>
      </c>
      <c r="AG88">
        <v>3847.6849999999999</v>
      </c>
      <c r="AH88">
        <f t="shared" si="11"/>
        <v>-13.175000000000182</v>
      </c>
    </row>
    <row r="89" spans="32:34" x14ac:dyDescent="0.25">
      <c r="AF89">
        <v>8.6</v>
      </c>
      <c r="AG89">
        <v>3847.6619999999998</v>
      </c>
      <c r="AH89">
        <f t="shared" si="11"/>
        <v>-13.19800000000032</v>
      </c>
    </row>
    <row r="90" spans="32:34" x14ac:dyDescent="0.25">
      <c r="AF90">
        <v>8.6999999999999993</v>
      </c>
      <c r="AG90">
        <v>3847.6390000000001</v>
      </c>
      <c r="AH90">
        <f t="shared" si="11"/>
        <v>-13.221000000000004</v>
      </c>
    </row>
    <row r="91" spans="32:34" x14ac:dyDescent="0.25">
      <c r="AF91">
        <v>8.8000000000000007</v>
      </c>
      <c r="AG91">
        <v>3847.616</v>
      </c>
      <c r="AH91">
        <f t="shared" si="11"/>
        <v>-13.244000000000142</v>
      </c>
    </row>
    <row r="92" spans="32:34" x14ac:dyDescent="0.25">
      <c r="AF92">
        <v>8.9</v>
      </c>
      <c r="AG92">
        <v>3847.5929999999998</v>
      </c>
      <c r="AH92">
        <f t="shared" si="11"/>
        <v>-13.26700000000028</v>
      </c>
    </row>
    <row r="93" spans="32:34" x14ac:dyDescent="0.25">
      <c r="AF93">
        <v>9</v>
      </c>
      <c r="AG93">
        <v>3847.57</v>
      </c>
      <c r="AH93">
        <f t="shared" si="11"/>
        <v>-13.289999999999964</v>
      </c>
    </row>
    <row r="94" spans="32:34" x14ac:dyDescent="0.25">
      <c r="AF94">
        <v>9.1</v>
      </c>
      <c r="AG94">
        <v>3847.547</v>
      </c>
      <c r="AH94">
        <f t="shared" si="11"/>
        <v>-13.313000000000102</v>
      </c>
    </row>
    <row r="95" spans="32:34" x14ac:dyDescent="0.25">
      <c r="AF95">
        <v>9.1999999999999993</v>
      </c>
      <c r="AG95">
        <v>3847.5239999999999</v>
      </c>
      <c r="AH95">
        <f t="shared" si="11"/>
        <v>-13.33600000000024</v>
      </c>
    </row>
    <row r="96" spans="32:34" x14ac:dyDescent="0.25">
      <c r="AF96">
        <v>9.3000000000000007</v>
      </c>
      <c r="AG96">
        <v>3847.5010000000002</v>
      </c>
      <c r="AH96">
        <f t="shared" si="11"/>
        <v>-13.358999999999924</v>
      </c>
    </row>
    <row r="97" spans="32:34" x14ac:dyDescent="0.25">
      <c r="AF97">
        <v>9.4</v>
      </c>
      <c r="AG97">
        <v>3847.4780000000001</v>
      </c>
      <c r="AH97">
        <f t="shared" si="11"/>
        <v>-13.382000000000062</v>
      </c>
    </row>
    <row r="98" spans="32:34" x14ac:dyDescent="0.25">
      <c r="AF98">
        <v>9.5</v>
      </c>
      <c r="AG98">
        <v>3847.4549999999999</v>
      </c>
      <c r="AH98">
        <f t="shared" si="11"/>
        <v>-13.4050000000002</v>
      </c>
    </row>
    <row r="99" spans="32:34" x14ac:dyDescent="0.25">
      <c r="AF99">
        <v>9.6</v>
      </c>
      <c r="AG99">
        <v>3847.4319999999998</v>
      </c>
      <c r="AH99">
        <f t="shared" si="11"/>
        <v>-13.428000000000338</v>
      </c>
    </row>
    <row r="100" spans="32:34" x14ac:dyDescent="0.25">
      <c r="AF100">
        <v>9.6999999999999993</v>
      </c>
      <c r="AG100">
        <v>3847.4090000000001</v>
      </c>
      <c r="AH100">
        <f t="shared" si="11"/>
        <v>-13.451000000000022</v>
      </c>
    </row>
    <row r="101" spans="32:34" x14ac:dyDescent="0.25">
      <c r="AF101">
        <v>9.8000000000000007</v>
      </c>
      <c r="AG101">
        <v>3847.386</v>
      </c>
      <c r="AH101">
        <f t="shared" si="11"/>
        <v>-13.47400000000016</v>
      </c>
    </row>
    <row r="102" spans="32:34" x14ac:dyDescent="0.25">
      <c r="AF102">
        <v>9.9</v>
      </c>
      <c r="AG102">
        <v>3847.3629999999998</v>
      </c>
      <c r="AH102">
        <f t="shared" si="11"/>
        <v>-13.497000000000298</v>
      </c>
    </row>
    <row r="103" spans="32:34" x14ac:dyDescent="0.25">
      <c r="AF103">
        <v>10</v>
      </c>
      <c r="AG103">
        <v>3847.34</v>
      </c>
      <c r="AH103">
        <f t="shared" si="11"/>
        <v>-13.519999999999982</v>
      </c>
    </row>
    <row r="104" spans="32:34" x14ac:dyDescent="0.25">
      <c r="AF104">
        <v>10.1</v>
      </c>
      <c r="AG104">
        <v>3847.3409999999999</v>
      </c>
      <c r="AH104">
        <f t="shared" si="11"/>
        <v>-13.519000000000233</v>
      </c>
    </row>
    <row r="105" spans="32:34" x14ac:dyDescent="0.25">
      <c r="AF105">
        <v>10.199999999999999</v>
      </c>
      <c r="AG105">
        <v>3847.3420000000001</v>
      </c>
      <c r="AH105">
        <f t="shared" si="11"/>
        <v>-13.518000000000029</v>
      </c>
    </row>
    <row r="106" spans="32:34" x14ac:dyDescent="0.25">
      <c r="AF106">
        <v>10.3</v>
      </c>
      <c r="AG106">
        <v>3847.3429999999998</v>
      </c>
      <c r="AH106">
        <f t="shared" si="11"/>
        <v>-13.51700000000028</v>
      </c>
    </row>
    <row r="107" spans="32:34" x14ac:dyDescent="0.25">
      <c r="AF107">
        <v>10.4</v>
      </c>
      <c r="AG107">
        <v>3847.3440000000001</v>
      </c>
      <c r="AH107">
        <f t="shared" si="11"/>
        <v>-13.516000000000076</v>
      </c>
    </row>
    <row r="108" spans="32:34" x14ac:dyDescent="0.25">
      <c r="AF108">
        <v>10.5</v>
      </c>
      <c r="AG108">
        <v>3847.3449999999998</v>
      </c>
      <c r="AH108">
        <f t="shared" si="11"/>
        <v>-13.515000000000327</v>
      </c>
    </row>
    <row r="109" spans="32:34" x14ac:dyDescent="0.25">
      <c r="AF109">
        <v>10.6</v>
      </c>
      <c r="AG109">
        <v>3847.346</v>
      </c>
      <c r="AH109">
        <f t="shared" si="11"/>
        <v>-13.514000000000124</v>
      </c>
    </row>
    <row r="110" spans="32:34" x14ac:dyDescent="0.25">
      <c r="AF110">
        <v>10.7</v>
      </c>
      <c r="AG110">
        <v>3847.3470000000002</v>
      </c>
      <c r="AH110">
        <f t="shared" si="11"/>
        <v>-13.51299999999992</v>
      </c>
    </row>
    <row r="111" spans="32:34" x14ac:dyDescent="0.25">
      <c r="AF111">
        <v>10.8</v>
      </c>
      <c r="AG111">
        <v>3847.348</v>
      </c>
      <c r="AH111">
        <f t="shared" si="11"/>
        <v>-13.512000000000171</v>
      </c>
    </row>
    <row r="112" spans="32:34" x14ac:dyDescent="0.25">
      <c r="AF112">
        <v>10.9</v>
      </c>
      <c r="AG112">
        <v>3847.3490000000002</v>
      </c>
      <c r="AH112">
        <f t="shared" si="11"/>
        <v>-13.510999999999967</v>
      </c>
    </row>
    <row r="113" spans="32:34" x14ac:dyDescent="0.25">
      <c r="AF113">
        <v>11</v>
      </c>
      <c r="AG113">
        <v>3847.35</v>
      </c>
      <c r="AH113">
        <f t="shared" si="11"/>
        <v>-13.510000000000218</v>
      </c>
    </row>
    <row r="114" spans="32:34" x14ac:dyDescent="0.25">
      <c r="AF114">
        <v>11.1</v>
      </c>
      <c r="AG114">
        <v>3847.3510000000001</v>
      </c>
      <c r="AH114">
        <f t="shared" si="11"/>
        <v>-13.509000000000015</v>
      </c>
    </row>
    <row r="115" spans="32:34" x14ac:dyDescent="0.25">
      <c r="AF115">
        <v>11.2</v>
      </c>
      <c r="AG115">
        <v>3847.3519999999999</v>
      </c>
      <c r="AH115">
        <f t="shared" si="11"/>
        <v>-13.508000000000266</v>
      </c>
    </row>
    <row r="116" spans="32:34" x14ac:dyDescent="0.25">
      <c r="AF116">
        <v>11.3</v>
      </c>
      <c r="AG116">
        <v>3847.3530000000001</v>
      </c>
      <c r="AH116">
        <f t="shared" si="11"/>
        <v>-13.507000000000062</v>
      </c>
    </row>
    <row r="117" spans="32:34" x14ac:dyDescent="0.25">
      <c r="AF117">
        <v>11.4</v>
      </c>
      <c r="AG117">
        <v>3847.3539999999998</v>
      </c>
      <c r="AH117">
        <f t="shared" si="11"/>
        <v>-13.506000000000313</v>
      </c>
    </row>
    <row r="118" spans="32:34" x14ac:dyDescent="0.25">
      <c r="AF118">
        <v>11.5</v>
      </c>
      <c r="AG118">
        <v>3847.355</v>
      </c>
      <c r="AH118">
        <f t="shared" si="11"/>
        <v>-13.505000000000109</v>
      </c>
    </row>
    <row r="119" spans="32:34" x14ac:dyDescent="0.25">
      <c r="AF119">
        <v>11.6</v>
      </c>
      <c r="AG119">
        <v>3847.3560000000002</v>
      </c>
      <c r="AH119">
        <f t="shared" si="11"/>
        <v>-13.503999999999905</v>
      </c>
    </row>
    <row r="120" spans="32:34" x14ac:dyDescent="0.25">
      <c r="AF120">
        <v>11.7</v>
      </c>
      <c r="AG120">
        <v>3847.357</v>
      </c>
      <c r="AH120">
        <f t="shared" si="11"/>
        <v>-13.503000000000156</v>
      </c>
    </row>
    <row r="121" spans="32:34" x14ac:dyDescent="0.25">
      <c r="AF121">
        <v>11.8</v>
      </c>
      <c r="AG121">
        <v>3847.3580000000002</v>
      </c>
      <c r="AH121">
        <f t="shared" si="11"/>
        <v>-13.501999999999953</v>
      </c>
    </row>
    <row r="122" spans="32:34" x14ac:dyDescent="0.25">
      <c r="AF122">
        <v>11.9</v>
      </c>
      <c r="AG122">
        <v>3847.3589999999999</v>
      </c>
      <c r="AH122">
        <f t="shared" si="11"/>
        <v>-13.501000000000204</v>
      </c>
    </row>
    <row r="123" spans="32:34" x14ac:dyDescent="0.25">
      <c r="AF123">
        <v>12</v>
      </c>
      <c r="AG123">
        <v>3847.36</v>
      </c>
      <c r="AH123">
        <f t="shared" si="11"/>
        <v>-13.5</v>
      </c>
    </row>
    <row r="124" spans="32:34" x14ac:dyDescent="0.25">
      <c r="AF124">
        <v>12.1</v>
      </c>
      <c r="AG124">
        <v>3847.3609999999999</v>
      </c>
      <c r="AH124">
        <f t="shared" si="11"/>
        <v>-13.499000000000251</v>
      </c>
    </row>
    <row r="125" spans="32:34" x14ac:dyDescent="0.25">
      <c r="AF125">
        <v>12.2</v>
      </c>
      <c r="AG125">
        <v>3847.3620000000001</v>
      </c>
      <c r="AH125">
        <f t="shared" si="11"/>
        <v>-13.498000000000047</v>
      </c>
    </row>
    <row r="126" spans="32:34" x14ac:dyDescent="0.25">
      <c r="AF126">
        <v>12.3</v>
      </c>
      <c r="AG126">
        <v>3847.3629999999998</v>
      </c>
      <c r="AH126">
        <f t="shared" si="11"/>
        <v>-13.497000000000298</v>
      </c>
    </row>
    <row r="127" spans="32:34" x14ac:dyDescent="0.25">
      <c r="AF127">
        <v>12.4</v>
      </c>
      <c r="AG127">
        <v>3847.364</v>
      </c>
      <c r="AH127">
        <f t="shared" si="11"/>
        <v>-13.496000000000095</v>
      </c>
    </row>
    <row r="128" spans="32:34" x14ac:dyDescent="0.25">
      <c r="AF128">
        <v>12.5</v>
      </c>
      <c r="AG128">
        <v>3847.3649999999998</v>
      </c>
      <c r="AH128">
        <f t="shared" si="11"/>
        <v>-13.495000000000346</v>
      </c>
    </row>
    <row r="129" spans="32:34" x14ac:dyDescent="0.25">
      <c r="AF129">
        <v>12.6</v>
      </c>
      <c r="AG129">
        <v>3847.366</v>
      </c>
      <c r="AH129">
        <f t="shared" si="11"/>
        <v>-13.494000000000142</v>
      </c>
    </row>
    <row r="130" spans="32:34" x14ac:dyDescent="0.25">
      <c r="AF130">
        <v>12.7</v>
      </c>
      <c r="AG130">
        <v>3847.3670000000002</v>
      </c>
      <c r="AH130">
        <f t="shared" si="11"/>
        <v>-13.492999999999938</v>
      </c>
    </row>
    <row r="131" spans="32:34" x14ac:dyDescent="0.25">
      <c r="AF131">
        <v>12.8</v>
      </c>
      <c r="AG131">
        <v>3847.3679999999999</v>
      </c>
      <c r="AH131">
        <f t="shared" si="11"/>
        <v>-13.492000000000189</v>
      </c>
    </row>
    <row r="132" spans="32:34" x14ac:dyDescent="0.25">
      <c r="AF132">
        <v>12.9</v>
      </c>
      <c r="AG132">
        <v>3847.3690000000001</v>
      </c>
      <c r="AH132">
        <f t="shared" ref="AH132:AH195" si="12">AG132-MAX($AG$3:$AG$2353)</f>
        <v>-13.490999999999985</v>
      </c>
    </row>
    <row r="133" spans="32:34" x14ac:dyDescent="0.25">
      <c r="AF133">
        <v>13</v>
      </c>
      <c r="AG133">
        <v>3847.37</v>
      </c>
      <c r="AH133">
        <f t="shared" si="12"/>
        <v>-13.490000000000236</v>
      </c>
    </row>
    <row r="134" spans="32:34" x14ac:dyDescent="0.25">
      <c r="AF134">
        <v>13.1</v>
      </c>
      <c r="AG134">
        <v>3847.3710000000001</v>
      </c>
      <c r="AH134">
        <f t="shared" si="12"/>
        <v>-13.489000000000033</v>
      </c>
    </row>
    <row r="135" spans="32:34" x14ac:dyDescent="0.25">
      <c r="AF135">
        <v>13.2</v>
      </c>
      <c r="AG135">
        <v>3847.3719999999998</v>
      </c>
      <c r="AH135">
        <f t="shared" si="12"/>
        <v>-13.488000000000284</v>
      </c>
    </row>
    <row r="136" spans="32:34" x14ac:dyDescent="0.25">
      <c r="AF136">
        <v>13.3</v>
      </c>
      <c r="AG136">
        <v>3847.373</v>
      </c>
      <c r="AH136">
        <f t="shared" si="12"/>
        <v>-13.48700000000008</v>
      </c>
    </row>
    <row r="137" spans="32:34" x14ac:dyDescent="0.25">
      <c r="AF137">
        <v>13.4</v>
      </c>
      <c r="AG137">
        <v>3847.3739999999998</v>
      </c>
      <c r="AH137">
        <f t="shared" si="12"/>
        <v>-13.486000000000331</v>
      </c>
    </row>
    <row r="138" spans="32:34" x14ac:dyDescent="0.25">
      <c r="AF138">
        <v>13.5</v>
      </c>
      <c r="AG138">
        <v>3847.375</v>
      </c>
      <c r="AH138">
        <f t="shared" si="12"/>
        <v>-13.485000000000127</v>
      </c>
    </row>
    <row r="139" spans="32:34" x14ac:dyDescent="0.25">
      <c r="AF139">
        <v>13.6</v>
      </c>
      <c r="AG139">
        <v>3847.3759999999902</v>
      </c>
      <c r="AH139">
        <f t="shared" si="12"/>
        <v>-13.484000000009928</v>
      </c>
    </row>
    <row r="140" spans="32:34" x14ac:dyDescent="0.25">
      <c r="AF140">
        <v>13.7</v>
      </c>
      <c r="AG140">
        <v>3847.377</v>
      </c>
      <c r="AH140">
        <f t="shared" si="12"/>
        <v>-13.483000000000175</v>
      </c>
    </row>
    <row r="141" spans="32:34" x14ac:dyDescent="0.25">
      <c r="AF141">
        <v>13.8</v>
      </c>
      <c r="AG141">
        <v>3847.3780000000002</v>
      </c>
      <c r="AH141">
        <f t="shared" si="12"/>
        <v>-13.481999999999971</v>
      </c>
    </row>
    <row r="142" spans="32:34" x14ac:dyDescent="0.25">
      <c r="AF142">
        <v>13.9</v>
      </c>
      <c r="AG142">
        <v>3847.3789999999999</v>
      </c>
      <c r="AH142">
        <f t="shared" si="12"/>
        <v>-13.481000000000222</v>
      </c>
    </row>
    <row r="143" spans="32:34" x14ac:dyDescent="0.25">
      <c r="AF143">
        <v>14</v>
      </c>
      <c r="AG143">
        <v>3847.38</v>
      </c>
      <c r="AH143">
        <f t="shared" si="12"/>
        <v>-13.480000000000018</v>
      </c>
    </row>
    <row r="144" spans="32:34" x14ac:dyDescent="0.25">
      <c r="AF144">
        <v>14.1</v>
      </c>
      <c r="AG144">
        <v>3847.3809999999999</v>
      </c>
      <c r="AH144">
        <f t="shared" si="12"/>
        <v>-13.479000000000269</v>
      </c>
    </row>
    <row r="145" spans="32:34" x14ac:dyDescent="0.25">
      <c r="AF145">
        <v>14.2</v>
      </c>
      <c r="AG145">
        <v>3847.3820000000001</v>
      </c>
      <c r="AH145">
        <f t="shared" si="12"/>
        <v>-13.478000000000065</v>
      </c>
    </row>
    <row r="146" spans="32:34" x14ac:dyDescent="0.25">
      <c r="AF146">
        <v>14.3</v>
      </c>
      <c r="AG146">
        <v>3847.3829999999998</v>
      </c>
      <c r="AH146">
        <f t="shared" si="12"/>
        <v>-13.477000000000317</v>
      </c>
    </row>
    <row r="147" spans="32:34" x14ac:dyDescent="0.25">
      <c r="AF147">
        <v>14.4</v>
      </c>
      <c r="AG147">
        <v>3847.384</v>
      </c>
      <c r="AH147">
        <f t="shared" si="12"/>
        <v>-13.476000000000113</v>
      </c>
    </row>
    <row r="148" spans="32:34" x14ac:dyDescent="0.25">
      <c r="AF148">
        <v>14.5</v>
      </c>
      <c r="AG148">
        <v>3847.3849999999902</v>
      </c>
      <c r="AH148">
        <f t="shared" si="12"/>
        <v>-13.475000000009913</v>
      </c>
    </row>
    <row r="149" spans="32:34" x14ac:dyDescent="0.25">
      <c r="AF149">
        <v>14.6</v>
      </c>
      <c r="AG149">
        <v>3847.386</v>
      </c>
      <c r="AH149">
        <f t="shared" si="12"/>
        <v>-13.47400000000016</v>
      </c>
    </row>
    <row r="150" spans="32:34" x14ac:dyDescent="0.25">
      <c r="AF150">
        <v>14.7</v>
      </c>
      <c r="AG150">
        <v>3847.3869999999902</v>
      </c>
      <c r="AH150">
        <f t="shared" si="12"/>
        <v>-13.473000000009961</v>
      </c>
    </row>
    <row r="151" spans="32:34" x14ac:dyDescent="0.25">
      <c r="AF151">
        <v>14.8</v>
      </c>
      <c r="AG151">
        <v>3847.3879999999999</v>
      </c>
      <c r="AH151">
        <f t="shared" si="12"/>
        <v>-13.472000000000207</v>
      </c>
    </row>
    <row r="152" spans="32:34" x14ac:dyDescent="0.25">
      <c r="AF152">
        <v>14.9</v>
      </c>
      <c r="AG152">
        <v>3847.3889999999901</v>
      </c>
      <c r="AH152">
        <f t="shared" si="12"/>
        <v>-13.471000000010008</v>
      </c>
    </row>
    <row r="153" spans="32:34" x14ac:dyDescent="0.25">
      <c r="AF153">
        <v>15</v>
      </c>
      <c r="AG153">
        <v>3847.39</v>
      </c>
      <c r="AH153">
        <f t="shared" si="12"/>
        <v>-13.470000000000255</v>
      </c>
    </row>
    <row r="154" spans="32:34" x14ac:dyDescent="0.25">
      <c r="AF154">
        <v>15.1</v>
      </c>
      <c r="AG154">
        <v>3847.3894</v>
      </c>
      <c r="AH154">
        <f t="shared" si="12"/>
        <v>-13.470600000000104</v>
      </c>
    </row>
    <row r="155" spans="32:34" x14ac:dyDescent="0.25">
      <c r="AF155">
        <v>15.2</v>
      </c>
      <c r="AG155">
        <v>3847.3887999999902</v>
      </c>
      <c r="AH155">
        <f t="shared" si="12"/>
        <v>-13.471200000009958</v>
      </c>
    </row>
    <row r="156" spans="32:34" x14ac:dyDescent="0.25">
      <c r="AF156">
        <v>15.3</v>
      </c>
      <c r="AG156">
        <v>3847.3881999999999</v>
      </c>
      <c r="AH156">
        <f t="shared" si="12"/>
        <v>-13.471800000000258</v>
      </c>
    </row>
    <row r="157" spans="32:34" x14ac:dyDescent="0.25">
      <c r="AF157">
        <v>15.4</v>
      </c>
      <c r="AG157">
        <v>3847.3876</v>
      </c>
      <c r="AH157">
        <f t="shared" si="12"/>
        <v>-13.472400000000107</v>
      </c>
    </row>
    <row r="158" spans="32:34" x14ac:dyDescent="0.25">
      <c r="AF158">
        <v>15.5</v>
      </c>
      <c r="AG158">
        <v>3847.3869999999902</v>
      </c>
      <c r="AH158">
        <f t="shared" si="12"/>
        <v>-13.473000000009961</v>
      </c>
    </row>
    <row r="159" spans="32:34" x14ac:dyDescent="0.25">
      <c r="AF159">
        <v>15.6</v>
      </c>
      <c r="AG159">
        <v>3847.3863999999999</v>
      </c>
      <c r="AH159">
        <f t="shared" si="12"/>
        <v>-13.47360000000026</v>
      </c>
    </row>
    <row r="160" spans="32:34" x14ac:dyDescent="0.25">
      <c r="AF160">
        <v>15.7</v>
      </c>
      <c r="AG160">
        <v>3847.3858</v>
      </c>
      <c r="AH160">
        <f t="shared" si="12"/>
        <v>-13.47420000000011</v>
      </c>
    </row>
    <row r="161" spans="32:34" x14ac:dyDescent="0.25">
      <c r="AF161">
        <v>15.8</v>
      </c>
      <c r="AG161">
        <v>3847.3851999999902</v>
      </c>
      <c r="AH161">
        <f t="shared" si="12"/>
        <v>-13.474800000009964</v>
      </c>
    </row>
    <row r="162" spans="32:34" x14ac:dyDescent="0.25">
      <c r="AF162">
        <v>15.9</v>
      </c>
      <c r="AG162">
        <v>3847.3845999999999</v>
      </c>
      <c r="AH162">
        <f t="shared" si="12"/>
        <v>-13.475400000000263</v>
      </c>
    </row>
    <row r="163" spans="32:34" x14ac:dyDescent="0.25">
      <c r="AF163">
        <v>16</v>
      </c>
      <c r="AG163">
        <v>3847.384</v>
      </c>
      <c r="AH163">
        <f t="shared" si="12"/>
        <v>-13.476000000000113</v>
      </c>
    </row>
    <row r="164" spans="32:34" x14ac:dyDescent="0.25">
      <c r="AF164">
        <v>16.100000000000001</v>
      </c>
      <c r="AG164">
        <v>3847.3833999999902</v>
      </c>
      <c r="AH164">
        <f t="shared" si="12"/>
        <v>-13.476600000009967</v>
      </c>
    </row>
    <row r="165" spans="32:34" x14ac:dyDescent="0.25">
      <c r="AF165">
        <v>16.2</v>
      </c>
      <c r="AG165">
        <v>3847.3827999999999</v>
      </c>
      <c r="AH165">
        <f t="shared" si="12"/>
        <v>-13.477200000000266</v>
      </c>
    </row>
    <row r="166" spans="32:34" x14ac:dyDescent="0.25">
      <c r="AF166">
        <v>16.3</v>
      </c>
      <c r="AG166">
        <v>3847.3822</v>
      </c>
      <c r="AH166">
        <f t="shared" si="12"/>
        <v>-13.477800000000116</v>
      </c>
    </row>
    <row r="167" spans="32:34" x14ac:dyDescent="0.25">
      <c r="AF167">
        <v>16.399999999999999</v>
      </c>
      <c r="AG167">
        <v>3847.3816000000002</v>
      </c>
      <c r="AH167">
        <f t="shared" si="12"/>
        <v>-13.478399999999965</v>
      </c>
    </row>
    <row r="168" spans="32:34" x14ac:dyDescent="0.25">
      <c r="AF168">
        <v>16.5</v>
      </c>
      <c r="AG168">
        <v>3847.3809999999999</v>
      </c>
      <c r="AH168">
        <f t="shared" si="12"/>
        <v>-13.479000000000269</v>
      </c>
    </row>
    <row r="169" spans="32:34" x14ac:dyDescent="0.25">
      <c r="AF169">
        <v>16.600000000000001</v>
      </c>
      <c r="AG169">
        <v>3847.3804</v>
      </c>
      <c r="AH169">
        <f t="shared" si="12"/>
        <v>-13.479600000000119</v>
      </c>
    </row>
    <row r="170" spans="32:34" x14ac:dyDescent="0.25">
      <c r="AF170">
        <v>16.7</v>
      </c>
      <c r="AG170">
        <v>3847.3798000000002</v>
      </c>
      <c r="AH170">
        <f t="shared" si="12"/>
        <v>-13.480199999999968</v>
      </c>
    </row>
    <row r="171" spans="32:34" x14ac:dyDescent="0.25">
      <c r="AF171">
        <v>16.8</v>
      </c>
      <c r="AG171">
        <v>3847.3791999999999</v>
      </c>
      <c r="AH171">
        <f t="shared" si="12"/>
        <v>-13.480800000000272</v>
      </c>
    </row>
    <row r="172" spans="32:34" x14ac:dyDescent="0.25">
      <c r="AF172">
        <v>16.899999999999999</v>
      </c>
      <c r="AG172">
        <v>3847.3786</v>
      </c>
      <c r="AH172">
        <f t="shared" si="12"/>
        <v>-13.481400000000122</v>
      </c>
    </row>
    <row r="173" spans="32:34" x14ac:dyDescent="0.25">
      <c r="AF173">
        <v>17</v>
      </c>
      <c r="AG173">
        <v>3847.3780000000002</v>
      </c>
      <c r="AH173">
        <f t="shared" si="12"/>
        <v>-13.481999999999971</v>
      </c>
    </row>
    <row r="174" spans="32:34" x14ac:dyDescent="0.25">
      <c r="AF174">
        <v>17.100000000000001</v>
      </c>
      <c r="AG174">
        <v>3847.3773999999999</v>
      </c>
      <c r="AH174">
        <f t="shared" si="12"/>
        <v>-13.482600000000275</v>
      </c>
    </row>
    <row r="175" spans="32:34" x14ac:dyDescent="0.25">
      <c r="AF175">
        <v>17.2</v>
      </c>
      <c r="AG175">
        <v>3847.3768</v>
      </c>
      <c r="AH175">
        <f t="shared" si="12"/>
        <v>-13.483200000000124</v>
      </c>
    </row>
    <row r="176" spans="32:34" x14ac:dyDescent="0.25">
      <c r="AF176">
        <v>17.3</v>
      </c>
      <c r="AG176">
        <v>3847.3762000000002</v>
      </c>
      <c r="AH176">
        <f t="shared" si="12"/>
        <v>-13.483799999999974</v>
      </c>
    </row>
    <row r="177" spans="32:34" x14ac:dyDescent="0.25">
      <c r="AF177">
        <v>17.399999999999999</v>
      </c>
      <c r="AG177">
        <v>3847.3755999999998</v>
      </c>
      <c r="AH177">
        <f t="shared" si="12"/>
        <v>-13.484400000000278</v>
      </c>
    </row>
    <row r="178" spans="32:34" x14ac:dyDescent="0.25">
      <c r="AF178">
        <v>17.5</v>
      </c>
      <c r="AG178">
        <v>3847.375</v>
      </c>
      <c r="AH178">
        <f t="shared" si="12"/>
        <v>-13.485000000000127</v>
      </c>
    </row>
    <row r="179" spans="32:34" x14ac:dyDescent="0.25">
      <c r="AF179">
        <v>17.600000000000001</v>
      </c>
      <c r="AG179">
        <v>3847.3744000000002</v>
      </c>
      <c r="AH179">
        <f t="shared" si="12"/>
        <v>-13.485599999999977</v>
      </c>
    </row>
    <row r="180" spans="32:34" x14ac:dyDescent="0.25">
      <c r="AF180">
        <v>17.7</v>
      </c>
      <c r="AG180">
        <v>3847.3737999999998</v>
      </c>
      <c r="AH180">
        <f t="shared" si="12"/>
        <v>-13.486200000000281</v>
      </c>
    </row>
    <row r="181" spans="32:34" x14ac:dyDescent="0.25">
      <c r="AF181">
        <v>17.8</v>
      </c>
      <c r="AG181">
        <v>3847.3732</v>
      </c>
      <c r="AH181">
        <f t="shared" si="12"/>
        <v>-13.48680000000013</v>
      </c>
    </row>
    <row r="182" spans="32:34" x14ac:dyDescent="0.25">
      <c r="AF182">
        <v>17.899999999999999</v>
      </c>
      <c r="AG182">
        <v>3847.3726000000001</v>
      </c>
      <c r="AH182">
        <f t="shared" si="12"/>
        <v>-13.48739999999998</v>
      </c>
    </row>
    <row r="183" spans="32:34" x14ac:dyDescent="0.25">
      <c r="AF183">
        <v>18</v>
      </c>
      <c r="AG183">
        <v>3847.3719999999998</v>
      </c>
      <c r="AH183">
        <f t="shared" si="12"/>
        <v>-13.488000000000284</v>
      </c>
    </row>
    <row r="184" spans="32:34" x14ac:dyDescent="0.25">
      <c r="AF184">
        <v>18.100000000000001</v>
      </c>
      <c r="AG184">
        <v>3847.3714</v>
      </c>
      <c r="AH184">
        <f t="shared" si="12"/>
        <v>-13.488600000000133</v>
      </c>
    </row>
    <row r="185" spans="32:34" x14ac:dyDescent="0.25">
      <c r="AF185">
        <v>18.2</v>
      </c>
      <c r="AG185">
        <v>3847.3708000000001</v>
      </c>
      <c r="AH185">
        <f t="shared" si="12"/>
        <v>-13.489199999999983</v>
      </c>
    </row>
    <row r="186" spans="32:34" x14ac:dyDescent="0.25">
      <c r="AF186">
        <v>18.3</v>
      </c>
      <c r="AG186">
        <v>3847.3701999999998</v>
      </c>
      <c r="AH186">
        <f t="shared" si="12"/>
        <v>-13.489800000000287</v>
      </c>
    </row>
    <row r="187" spans="32:34" x14ac:dyDescent="0.25">
      <c r="AF187">
        <v>18.399999999999999</v>
      </c>
      <c r="AG187">
        <v>3847.3696</v>
      </c>
      <c r="AH187">
        <f t="shared" si="12"/>
        <v>-13.490400000000136</v>
      </c>
    </row>
    <row r="188" spans="32:34" x14ac:dyDescent="0.25">
      <c r="AF188">
        <v>18.5</v>
      </c>
      <c r="AG188">
        <v>3847.3690000000001</v>
      </c>
      <c r="AH188">
        <f t="shared" si="12"/>
        <v>-13.490999999999985</v>
      </c>
    </row>
    <row r="189" spans="32:34" x14ac:dyDescent="0.25">
      <c r="AF189">
        <v>18.600000000000001</v>
      </c>
      <c r="AG189">
        <v>3847.3683999999998</v>
      </c>
      <c r="AH189">
        <f t="shared" si="12"/>
        <v>-13.49160000000029</v>
      </c>
    </row>
    <row r="190" spans="32:34" x14ac:dyDescent="0.25">
      <c r="AF190">
        <v>18.7</v>
      </c>
      <c r="AG190">
        <v>3847.3678</v>
      </c>
      <c r="AH190">
        <f t="shared" si="12"/>
        <v>-13.492200000000139</v>
      </c>
    </row>
    <row r="191" spans="32:34" x14ac:dyDescent="0.25">
      <c r="AF191">
        <v>18.8</v>
      </c>
      <c r="AG191">
        <v>3847.3672000000001</v>
      </c>
      <c r="AH191">
        <f t="shared" si="12"/>
        <v>-13.492799999999988</v>
      </c>
    </row>
    <row r="192" spans="32:34" x14ac:dyDescent="0.25">
      <c r="AF192">
        <v>18.899999999999999</v>
      </c>
      <c r="AG192">
        <v>3847.3665999999998</v>
      </c>
      <c r="AH192">
        <f t="shared" si="12"/>
        <v>-13.493400000000292</v>
      </c>
    </row>
    <row r="193" spans="32:34" x14ac:dyDescent="0.25">
      <c r="AF193">
        <v>19</v>
      </c>
      <c r="AG193">
        <v>3847.366</v>
      </c>
      <c r="AH193">
        <f t="shared" si="12"/>
        <v>-13.494000000000142</v>
      </c>
    </row>
    <row r="194" spans="32:34" x14ac:dyDescent="0.25">
      <c r="AF194">
        <v>19.100000000000001</v>
      </c>
      <c r="AG194">
        <v>3847.3654000000001</v>
      </c>
      <c r="AH194">
        <f t="shared" si="12"/>
        <v>-13.494599999999991</v>
      </c>
    </row>
    <row r="195" spans="32:34" x14ac:dyDescent="0.25">
      <c r="AF195">
        <v>19.2</v>
      </c>
      <c r="AG195">
        <v>3847.3647999999998</v>
      </c>
      <c r="AH195">
        <f t="shared" si="12"/>
        <v>-13.495200000000295</v>
      </c>
    </row>
    <row r="196" spans="32:34" x14ac:dyDescent="0.25">
      <c r="AF196">
        <v>19.3</v>
      </c>
      <c r="AG196">
        <v>3847.3642</v>
      </c>
      <c r="AH196">
        <f t="shared" ref="AH196:AH259" si="13">AG196-MAX($AG$3:$AG$2353)</f>
        <v>-13.495800000000145</v>
      </c>
    </row>
    <row r="197" spans="32:34" x14ac:dyDescent="0.25">
      <c r="AF197">
        <v>19.399999999999999</v>
      </c>
      <c r="AG197">
        <v>3847.3636000000001</v>
      </c>
      <c r="AH197">
        <f t="shared" si="13"/>
        <v>-13.496399999999994</v>
      </c>
    </row>
    <row r="198" spans="32:34" x14ac:dyDescent="0.25">
      <c r="AF198">
        <v>19.5</v>
      </c>
      <c r="AG198">
        <v>3847.3629999999998</v>
      </c>
      <c r="AH198">
        <f t="shared" si="13"/>
        <v>-13.497000000000298</v>
      </c>
    </row>
    <row r="199" spans="32:34" x14ac:dyDescent="0.25">
      <c r="AF199">
        <v>19.600000000000001</v>
      </c>
      <c r="AG199">
        <v>3847.3624</v>
      </c>
      <c r="AH199">
        <f t="shared" si="13"/>
        <v>-13.497600000000148</v>
      </c>
    </row>
    <row r="200" spans="32:34" x14ac:dyDescent="0.25">
      <c r="AF200">
        <v>19.7</v>
      </c>
      <c r="AG200">
        <v>3847.3618000000001</v>
      </c>
      <c r="AH200">
        <f t="shared" si="13"/>
        <v>-13.498199999999997</v>
      </c>
    </row>
    <row r="201" spans="32:34" x14ac:dyDescent="0.25">
      <c r="AF201">
        <v>19.8</v>
      </c>
      <c r="AG201">
        <v>3847.3611999999998</v>
      </c>
      <c r="AH201">
        <f t="shared" si="13"/>
        <v>-13.498800000000301</v>
      </c>
    </row>
    <row r="202" spans="32:34" x14ac:dyDescent="0.25">
      <c r="AF202">
        <v>19.899999999999999</v>
      </c>
      <c r="AG202">
        <v>3847.3606</v>
      </c>
      <c r="AH202">
        <f t="shared" si="13"/>
        <v>-13.499400000000151</v>
      </c>
    </row>
    <row r="203" spans="32:34" x14ac:dyDescent="0.25">
      <c r="AF203">
        <v>20</v>
      </c>
      <c r="AG203">
        <v>3847.36</v>
      </c>
      <c r="AH203">
        <f t="shared" si="13"/>
        <v>-13.5</v>
      </c>
    </row>
    <row r="204" spans="32:34" x14ac:dyDescent="0.25">
      <c r="AF204">
        <v>20.100000000000001</v>
      </c>
      <c r="AG204">
        <v>3847.3724000000002</v>
      </c>
      <c r="AH204">
        <f t="shared" si="13"/>
        <v>-13.487599999999929</v>
      </c>
    </row>
    <row r="205" spans="32:34" x14ac:dyDescent="0.25">
      <c r="AF205">
        <v>20.2</v>
      </c>
      <c r="AG205">
        <v>3847.3847999999998</v>
      </c>
      <c r="AH205">
        <f t="shared" si="13"/>
        <v>-13.475200000000314</v>
      </c>
    </row>
    <row r="206" spans="32:34" x14ac:dyDescent="0.25">
      <c r="AF206">
        <v>20.3</v>
      </c>
      <c r="AG206">
        <v>3847.3971999999999</v>
      </c>
      <c r="AH206">
        <f t="shared" si="13"/>
        <v>-13.462800000000243</v>
      </c>
    </row>
    <row r="207" spans="32:34" x14ac:dyDescent="0.25">
      <c r="AF207">
        <v>20.399999999999999</v>
      </c>
      <c r="AG207">
        <v>3847.4096</v>
      </c>
      <c r="AH207">
        <f t="shared" si="13"/>
        <v>-13.450400000000172</v>
      </c>
    </row>
    <row r="208" spans="32:34" x14ac:dyDescent="0.25">
      <c r="AF208">
        <v>20.5</v>
      </c>
      <c r="AG208">
        <v>3847.422</v>
      </c>
      <c r="AH208">
        <f t="shared" si="13"/>
        <v>-13.438000000000102</v>
      </c>
    </row>
    <row r="209" spans="32:34" x14ac:dyDescent="0.25">
      <c r="AF209">
        <v>20.6</v>
      </c>
      <c r="AG209">
        <v>3847.4344000000001</v>
      </c>
      <c r="AH209">
        <f t="shared" si="13"/>
        <v>-13.425600000000031</v>
      </c>
    </row>
    <row r="210" spans="32:34" x14ac:dyDescent="0.25">
      <c r="AF210">
        <v>20.7</v>
      </c>
      <c r="AG210">
        <v>3847.4468000000002</v>
      </c>
      <c r="AH210">
        <f t="shared" si="13"/>
        <v>-13.413199999999961</v>
      </c>
    </row>
    <row r="211" spans="32:34" x14ac:dyDescent="0.25">
      <c r="AF211">
        <v>20.8</v>
      </c>
      <c r="AG211">
        <v>3847.4591999999998</v>
      </c>
      <c r="AH211">
        <f t="shared" si="13"/>
        <v>-13.400800000000345</v>
      </c>
    </row>
    <row r="212" spans="32:34" x14ac:dyDescent="0.25">
      <c r="AF212">
        <v>20.9</v>
      </c>
      <c r="AG212">
        <v>3847.4715999999999</v>
      </c>
      <c r="AH212">
        <f t="shared" si="13"/>
        <v>-13.388400000000274</v>
      </c>
    </row>
    <row r="213" spans="32:34" x14ac:dyDescent="0.25">
      <c r="AF213">
        <v>21</v>
      </c>
      <c r="AG213">
        <v>3847.4839999999999</v>
      </c>
      <c r="AH213">
        <f t="shared" si="13"/>
        <v>-13.376000000000204</v>
      </c>
    </row>
    <row r="214" spans="32:34" x14ac:dyDescent="0.25">
      <c r="AF214">
        <v>21.1</v>
      </c>
      <c r="AG214">
        <v>3847.4964</v>
      </c>
      <c r="AH214">
        <f t="shared" si="13"/>
        <v>-13.363600000000133</v>
      </c>
    </row>
    <row r="215" spans="32:34" x14ac:dyDescent="0.25">
      <c r="AF215">
        <v>21.2</v>
      </c>
      <c r="AG215">
        <v>3847.5088000000001</v>
      </c>
      <c r="AH215">
        <f t="shared" si="13"/>
        <v>-13.351200000000063</v>
      </c>
    </row>
    <row r="216" spans="32:34" x14ac:dyDescent="0.25">
      <c r="AF216">
        <v>21.3</v>
      </c>
      <c r="AG216">
        <v>3847.5212000000001</v>
      </c>
      <c r="AH216">
        <f t="shared" si="13"/>
        <v>-13.338799999999992</v>
      </c>
    </row>
    <row r="217" spans="32:34" x14ac:dyDescent="0.25">
      <c r="AF217">
        <v>21.4</v>
      </c>
      <c r="AG217">
        <v>3847.5336000000002</v>
      </c>
      <c r="AH217">
        <f t="shared" si="13"/>
        <v>-13.326399999999921</v>
      </c>
    </row>
    <row r="218" spans="32:34" x14ac:dyDescent="0.25">
      <c r="AF218">
        <v>21.5</v>
      </c>
      <c r="AG218">
        <v>3847.5459999999998</v>
      </c>
      <c r="AH218">
        <f t="shared" si="13"/>
        <v>-13.314000000000306</v>
      </c>
    </row>
    <row r="219" spans="32:34" x14ac:dyDescent="0.25">
      <c r="AF219">
        <v>21.6</v>
      </c>
      <c r="AG219">
        <v>3847.5583999999999</v>
      </c>
      <c r="AH219">
        <f t="shared" si="13"/>
        <v>-13.301600000000235</v>
      </c>
    </row>
    <row r="220" spans="32:34" x14ac:dyDescent="0.25">
      <c r="AF220">
        <v>21.7</v>
      </c>
      <c r="AG220">
        <v>3847.5708</v>
      </c>
      <c r="AH220">
        <f t="shared" si="13"/>
        <v>-13.289200000000164</v>
      </c>
    </row>
    <row r="221" spans="32:34" x14ac:dyDescent="0.25">
      <c r="AF221">
        <v>21.8</v>
      </c>
      <c r="AG221">
        <v>3847.5832</v>
      </c>
      <c r="AH221">
        <f t="shared" si="13"/>
        <v>-13.276800000000094</v>
      </c>
    </row>
    <row r="222" spans="32:34" x14ac:dyDescent="0.25">
      <c r="AF222">
        <v>21.9</v>
      </c>
      <c r="AG222">
        <v>3847.5956000000001</v>
      </c>
      <c r="AH222">
        <f t="shared" si="13"/>
        <v>-13.264400000000023</v>
      </c>
    </row>
    <row r="223" spans="32:34" x14ac:dyDescent="0.25">
      <c r="AF223">
        <v>22</v>
      </c>
      <c r="AG223">
        <v>3847.6080000000002</v>
      </c>
      <c r="AH223">
        <f t="shared" si="13"/>
        <v>-13.251999999999953</v>
      </c>
    </row>
    <row r="224" spans="32:34" x14ac:dyDescent="0.25">
      <c r="AF224">
        <v>22.1</v>
      </c>
      <c r="AG224">
        <v>3847.6203999999998</v>
      </c>
      <c r="AH224">
        <f t="shared" si="13"/>
        <v>-13.239600000000337</v>
      </c>
    </row>
    <row r="225" spans="32:34" x14ac:dyDescent="0.25">
      <c r="AF225">
        <v>22.2</v>
      </c>
      <c r="AG225">
        <v>3847.6327999999999</v>
      </c>
      <c r="AH225">
        <f t="shared" si="13"/>
        <v>-13.227200000000266</v>
      </c>
    </row>
    <row r="226" spans="32:34" x14ac:dyDescent="0.25">
      <c r="AF226">
        <v>22.3</v>
      </c>
      <c r="AG226">
        <v>3847.6451999999999</v>
      </c>
      <c r="AH226">
        <f t="shared" si="13"/>
        <v>-13.214800000000196</v>
      </c>
    </row>
    <row r="227" spans="32:34" x14ac:dyDescent="0.25">
      <c r="AF227">
        <v>22.4</v>
      </c>
      <c r="AG227">
        <v>3847.6576</v>
      </c>
      <c r="AH227">
        <f t="shared" si="13"/>
        <v>-13.202400000000125</v>
      </c>
    </row>
    <row r="228" spans="32:34" x14ac:dyDescent="0.25">
      <c r="AF228">
        <v>22.5</v>
      </c>
      <c r="AG228">
        <v>3847.67</v>
      </c>
      <c r="AH228">
        <f t="shared" si="13"/>
        <v>-13.190000000000055</v>
      </c>
    </row>
    <row r="229" spans="32:34" x14ac:dyDescent="0.25">
      <c r="AF229">
        <v>22.6</v>
      </c>
      <c r="AG229">
        <v>3847.6824000000001</v>
      </c>
      <c r="AH229">
        <f t="shared" si="13"/>
        <v>-13.177599999999984</v>
      </c>
    </row>
    <row r="230" spans="32:34" x14ac:dyDescent="0.25">
      <c r="AF230">
        <v>22.7</v>
      </c>
      <c r="AG230">
        <v>3847.6948000000002</v>
      </c>
      <c r="AH230">
        <f t="shared" si="13"/>
        <v>-13.165199999999913</v>
      </c>
    </row>
    <row r="231" spans="32:34" x14ac:dyDescent="0.25">
      <c r="AF231">
        <v>22.8</v>
      </c>
      <c r="AG231">
        <v>3847.7071999999998</v>
      </c>
      <c r="AH231">
        <f t="shared" si="13"/>
        <v>-13.152800000000298</v>
      </c>
    </row>
    <row r="232" spans="32:34" x14ac:dyDescent="0.25">
      <c r="AF232">
        <v>22.9</v>
      </c>
      <c r="AG232">
        <v>3847.7195999999999</v>
      </c>
      <c r="AH232">
        <f t="shared" si="13"/>
        <v>-13.140400000000227</v>
      </c>
    </row>
    <row r="233" spans="32:34" x14ac:dyDescent="0.25">
      <c r="AF233">
        <v>23</v>
      </c>
      <c r="AG233">
        <v>3847.732</v>
      </c>
      <c r="AH233">
        <f t="shared" si="13"/>
        <v>-13.128000000000156</v>
      </c>
    </row>
    <row r="234" spans="32:34" x14ac:dyDescent="0.25">
      <c r="AF234">
        <v>23.1</v>
      </c>
      <c r="AG234">
        <v>3847.7444</v>
      </c>
      <c r="AH234">
        <f t="shared" si="13"/>
        <v>-13.115600000000086</v>
      </c>
    </row>
    <row r="235" spans="32:34" x14ac:dyDescent="0.25">
      <c r="AF235">
        <v>23.2</v>
      </c>
      <c r="AG235">
        <v>3847.7568000000001</v>
      </c>
      <c r="AH235">
        <f t="shared" si="13"/>
        <v>-13.103200000000015</v>
      </c>
    </row>
    <row r="236" spans="32:34" x14ac:dyDescent="0.25">
      <c r="AF236">
        <v>23.3</v>
      </c>
      <c r="AG236">
        <v>3847.7692000000002</v>
      </c>
      <c r="AH236">
        <f t="shared" si="13"/>
        <v>-13.090799999999945</v>
      </c>
    </row>
    <row r="237" spans="32:34" x14ac:dyDescent="0.25">
      <c r="AF237">
        <v>23.4</v>
      </c>
      <c r="AG237">
        <v>3847.7815999999998</v>
      </c>
      <c r="AH237">
        <f t="shared" si="13"/>
        <v>-13.078400000000329</v>
      </c>
    </row>
    <row r="238" spans="32:34" x14ac:dyDescent="0.25">
      <c r="AF238">
        <v>23.5</v>
      </c>
      <c r="AG238">
        <v>3847.7939999999999</v>
      </c>
      <c r="AH238">
        <f t="shared" si="13"/>
        <v>-13.066000000000258</v>
      </c>
    </row>
    <row r="239" spans="32:34" x14ac:dyDescent="0.25">
      <c r="AF239">
        <v>23.6</v>
      </c>
      <c r="AG239">
        <v>3847.8063999999999</v>
      </c>
      <c r="AH239">
        <f t="shared" si="13"/>
        <v>-13.053600000000188</v>
      </c>
    </row>
    <row r="240" spans="32:34" x14ac:dyDescent="0.25">
      <c r="AF240">
        <v>23.7</v>
      </c>
      <c r="AG240">
        <v>3847.8188</v>
      </c>
      <c r="AH240">
        <f t="shared" si="13"/>
        <v>-13.041200000000117</v>
      </c>
    </row>
    <row r="241" spans="32:34" x14ac:dyDescent="0.25">
      <c r="AF241">
        <v>23.8</v>
      </c>
      <c r="AG241">
        <v>3847.8312000000001</v>
      </c>
      <c r="AH241">
        <f t="shared" si="13"/>
        <v>-13.028800000000047</v>
      </c>
    </row>
    <row r="242" spans="32:34" x14ac:dyDescent="0.25">
      <c r="AF242">
        <v>23.9</v>
      </c>
      <c r="AG242">
        <v>3847.8436000000002</v>
      </c>
      <c r="AH242">
        <f t="shared" si="13"/>
        <v>-13.016399999999976</v>
      </c>
    </row>
    <row r="243" spans="32:34" x14ac:dyDescent="0.25">
      <c r="AF243">
        <v>24</v>
      </c>
      <c r="AG243">
        <v>3847.8560000000002</v>
      </c>
      <c r="AH243">
        <f t="shared" si="13"/>
        <v>-13.003999999999905</v>
      </c>
    </row>
    <row r="244" spans="32:34" x14ac:dyDescent="0.25">
      <c r="AF244">
        <v>24.1</v>
      </c>
      <c r="AG244">
        <v>3847.8683999999998</v>
      </c>
      <c r="AH244">
        <f t="shared" si="13"/>
        <v>-12.99160000000029</v>
      </c>
    </row>
    <row r="245" spans="32:34" x14ac:dyDescent="0.25">
      <c r="AF245">
        <v>24.2</v>
      </c>
      <c r="AG245">
        <v>3847.8807999999999</v>
      </c>
      <c r="AH245">
        <f t="shared" si="13"/>
        <v>-12.979200000000219</v>
      </c>
    </row>
    <row r="246" spans="32:34" x14ac:dyDescent="0.25">
      <c r="AF246">
        <v>24.3</v>
      </c>
      <c r="AG246">
        <v>3847.8932</v>
      </c>
      <c r="AH246">
        <f t="shared" si="13"/>
        <v>-12.966800000000148</v>
      </c>
    </row>
    <row r="247" spans="32:34" x14ac:dyDescent="0.25">
      <c r="AF247">
        <v>24.4</v>
      </c>
      <c r="AG247">
        <v>3847.9056</v>
      </c>
      <c r="AH247">
        <f t="shared" si="13"/>
        <v>-12.954400000000078</v>
      </c>
    </row>
    <row r="248" spans="32:34" x14ac:dyDescent="0.25">
      <c r="AF248">
        <v>24.5</v>
      </c>
      <c r="AG248">
        <v>3847.9180000000001</v>
      </c>
      <c r="AH248">
        <f t="shared" si="13"/>
        <v>-12.942000000000007</v>
      </c>
    </row>
    <row r="249" spans="32:34" x14ac:dyDescent="0.25">
      <c r="AF249">
        <v>24.6</v>
      </c>
      <c r="AG249">
        <v>3847.9304000000002</v>
      </c>
      <c r="AH249">
        <f t="shared" si="13"/>
        <v>-12.929599999999937</v>
      </c>
    </row>
    <row r="250" spans="32:34" x14ac:dyDescent="0.25">
      <c r="AF250">
        <v>24.7</v>
      </c>
      <c r="AG250">
        <v>3847.9427999999998</v>
      </c>
      <c r="AH250">
        <f t="shared" si="13"/>
        <v>-12.917200000000321</v>
      </c>
    </row>
    <row r="251" spans="32:34" x14ac:dyDescent="0.25">
      <c r="AF251">
        <v>24.8</v>
      </c>
      <c r="AG251">
        <v>3847.9551999999999</v>
      </c>
      <c r="AH251">
        <f t="shared" si="13"/>
        <v>-12.90480000000025</v>
      </c>
    </row>
    <row r="252" spans="32:34" x14ac:dyDescent="0.25">
      <c r="AF252">
        <v>24.9</v>
      </c>
      <c r="AG252">
        <v>3847.9675999999999</v>
      </c>
      <c r="AH252">
        <f t="shared" si="13"/>
        <v>-12.89240000000018</v>
      </c>
    </row>
    <row r="253" spans="32:34" x14ac:dyDescent="0.25">
      <c r="AF253">
        <v>25</v>
      </c>
      <c r="AG253">
        <v>3847.98</v>
      </c>
      <c r="AH253">
        <f t="shared" si="13"/>
        <v>-12.880000000000109</v>
      </c>
    </row>
    <row r="254" spans="32:34" x14ac:dyDescent="0.25">
      <c r="AF254">
        <v>25.1</v>
      </c>
      <c r="AG254">
        <v>3847.9792000000002</v>
      </c>
      <c r="AH254">
        <f t="shared" si="13"/>
        <v>-12.880799999999908</v>
      </c>
    </row>
    <row r="255" spans="32:34" x14ac:dyDescent="0.25">
      <c r="AF255">
        <v>25.2</v>
      </c>
      <c r="AG255">
        <v>3847.9784</v>
      </c>
      <c r="AH255">
        <f t="shared" si="13"/>
        <v>-12.881600000000162</v>
      </c>
    </row>
    <row r="256" spans="32:34" x14ac:dyDescent="0.25">
      <c r="AF256">
        <v>25.3</v>
      </c>
      <c r="AG256">
        <v>3847.9776000000002</v>
      </c>
      <c r="AH256">
        <f t="shared" si="13"/>
        <v>-12.882399999999961</v>
      </c>
    </row>
    <row r="257" spans="32:34" x14ac:dyDescent="0.25">
      <c r="AF257">
        <v>25.4</v>
      </c>
      <c r="AG257">
        <v>3847.9767999999999</v>
      </c>
      <c r="AH257">
        <f t="shared" si="13"/>
        <v>-12.883200000000215</v>
      </c>
    </row>
    <row r="258" spans="32:34" x14ac:dyDescent="0.25">
      <c r="AF258">
        <v>25.5</v>
      </c>
      <c r="AG258">
        <v>3847.9760000000001</v>
      </c>
      <c r="AH258">
        <f t="shared" si="13"/>
        <v>-12.884000000000015</v>
      </c>
    </row>
    <row r="259" spans="32:34" x14ac:dyDescent="0.25">
      <c r="AF259">
        <v>25.6</v>
      </c>
      <c r="AG259">
        <v>3847.9751999999999</v>
      </c>
      <c r="AH259">
        <f t="shared" si="13"/>
        <v>-12.884800000000268</v>
      </c>
    </row>
    <row r="260" spans="32:34" x14ac:dyDescent="0.25">
      <c r="AF260">
        <v>25.7</v>
      </c>
      <c r="AG260">
        <v>3847.9744000000001</v>
      </c>
      <c r="AH260">
        <f t="shared" ref="AH260:AH323" si="14">AG260-MAX($AG$3:$AG$2353)</f>
        <v>-12.885600000000068</v>
      </c>
    </row>
    <row r="261" spans="32:34" x14ac:dyDescent="0.25">
      <c r="AF261">
        <v>25.8</v>
      </c>
      <c r="AG261">
        <v>3847.9735999999998</v>
      </c>
      <c r="AH261">
        <f t="shared" si="14"/>
        <v>-12.886400000000322</v>
      </c>
    </row>
    <row r="262" spans="32:34" x14ac:dyDescent="0.25">
      <c r="AF262">
        <v>25.9</v>
      </c>
      <c r="AG262">
        <v>3847.9728</v>
      </c>
      <c r="AH262">
        <f t="shared" si="14"/>
        <v>-12.887200000000121</v>
      </c>
    </row>
    <row r="263" spans="32:34" x14ac:dyDescent="0.25">
      <c r="AF263">
        <v>26</v>
      </c>
      <c r="AG263">
        <v>3847.9720000000002</v>
      </c>
      <c r="AH263">
        <f t="shared" si="14"/>
        <v>-12.88799999999992</v>
      </c>
    </row>
    <row r="264" spans="32:34" x14ac:dyDescent="0.25">
      <c r="AF264">
        <v>26.1</v>
      </c>
      <c r="AG264">
        <v>3847.9712</v>
      </c>
      <c r="AH264">
        <f t="shared" si="14"/>
        <v>-12.888800000000174</v>
      </c>
    </row>
    <row r="265" spans="32:34" x14ac:dyDescent="0.25">
      <c r="AF265">
        <v>26.2</v>
      </c>
      <c r="AG265">
        <v>3847.9704000000002</v>
      </c>
      <c r="AH265">
        <f t="shared" si="14"/>
        <v>-12.889599999999973</v>
      </c>
    </row>
    <row r="266" spans="32:34" x14ac:dyDescent="0.25">
      <c r="AF266">
        <v>26.3</v>
      </c>
      <c r="AG266">
        <v>3847.9695999999999</v>
      </c>
      <c r="AH266">
        <f t="shared" si="14"/>
        <v>-12.890400000000227</v>
      </c>
    </row>
    <row r="267" spans="32:34" x14ac:dyDescent="0.25">
      <c r="AF267">
        <v>26.4</v>
      </c>
      <c r="AG267">
        <v>3847.9688000000001</v>
      </c>
      <c r="AH267">
        <f t="shared" si="14"/>
        <v>-12.891200000000026</v>
      </c>
    </row>
    <row r="268" spans="32:34" x14ac:dyDescent="0.25">
      <c r="AF268">
        <v>26.5</v>
      </c>
      <c r="AG268">
        <v>3847.9679999999998</v>
      </c>
      <c r="AH268">
        <f t="shared" si="14"/>
        <v>-12.89200000000028</v>
      </c>
    </row>
    <row r="269" spans="32:34" x14ac:dyDescent="0.25">
      <c r="AF269">
        <v>26.6</v>
      </c>
      <c r="AG269">
        <v>3847.9672</v>
      </c>
      <c r="AH269">
        <f t="shared" si="14"/>
        <v>-12.892800000000079</v>
      </c>
    </row>
    <row r="270" spans="32:34" x14ac:dyDescent="0.25">
      <c r="AF270">
        <v>26.7</v>
      </c>
      <c r="AG270">
        <v>3847.9663999999998</v>
      </c>
      <c r="AH270">
        <f t="shared" si="14"/>
        <v>-12.893600000000333</v>
      </c>
    </row>
    <row r="271" spans="32:34" x14ac:dyDescent="0.25">
      <c r="AF271">
        <v>26.8</v>
      </c>
      <c r="AG271">
        <v>3847.9656</v>
      </c>
      <c r="AH271">
        <f t="shared" si="14"/>
        <v>-12.894400000000132</v>
      </c>
    </row>
    <row r="272" spans="32:34" x14ac:dyDescent="0.25">
      <c r="AF272">
        <v>26.9</v>
      </c>
      <c r="AG272">
        <v>3847.9648000000002</v>
      </c>
      <c r="AH272">
        <f t="shared" si="14"/>
        <v>-12.895199999999932</v>
      </c>
    </row>
    <row r="273" spans="32:34" x14ac:dyDescent="0.25">
      <c r="AF273">
        <v>27</v>
      </c>
      <c r="AG273">
        <v>3847.9639999999999</v>
      </c>
      <c r="AH273">
        <f t="shared" si="14"/>
        <v>-12.896000000000186</v>
      </c>
    </row>
    <row r="274" spans="32:34" x14ac:dyDescent="0.25">
      <c r="AF274">
        <v>27.1</v>
      </c>
      <c r="AG274">
        <v>3847.9632000000001</v>
      </c>
      <c r="AH274">
        <f t="shared" si="14"/>
        <v>-12.896799999999985</v>
      </c>
    </row>
    <row r="275" spans="32:34" x14ac:dyDescent="0.25">
      <c r="AF275">
        <v>27.2</v>
      </c>
      <c r="AG275">
        <v>3847.9623999999999</v>
      </c>
      <c r="AH275">
        <f t="shared" si="14"/>
        <v>-12.897600000000239</v>
      </c>
    </row>
    <row r="276" spans="32:34" x14ac:dyDescent="0.25">
      <c r="AF276">
        <v>27.3</v>
      </c>
      <c r="AG276">
        <v>3847.9616000000001</v>
      </c>
      <c r="AH276">
        <f t="shared" si="14"/>
        <v>-12.898400000000038</v>
      </c>
    </row>
    <row r="277" spans="32:34" x14ac:dyDescent="0.25">
      <c r="AF277">
        <v>27.4</v>
      </c>
      <c r="AG277">
        <v>3847.9607999999998</v>
      </c>
      <c r="AH277">
        <f t="shared" si="14"/>
        <v>-12.899200000000292</v>
      </c>
    </row>
    <row r="278" spans="32:34" x14ac:dyDescent="0.25">
      <c r="AF278">
        <v>27.5</v>
      </c>
      <c r="AG278">
        <v>3847.96</v>
      </c>
      <c r="AH278">
        <f t="shared" si="14"/>
        <v>-12.900000000000091</v>
      </c>
    </row>
    <row r="279" spans="32:34" x14ac:dyDescent="0.25">
      <c r="AF279">
        <v>27.6</v>
      </c>
      <c r="AG279">
        <v>3847.9591999999998</v>
      </c>
      <c r="AH279">
        <f t="shared" si="14"/>
        <v>-12.900800000000345</v>
      </c>
    </row>
    <row r="280" spans="32:34" x14ac:dyDescent="0.25">
      <c r="AF280">
        <v>27.7</v>
      </c>
      <c r="AG280">
        <v>3847.9584</v>
      </c>
      <c r="AH280">
        <f t="shared" si="14"/>
        <v>-12.901600000000144</v>
      </c>
    </row>
    <row r="281" spans="32:34" x14ac:dyDescent="0.25">
      <c r="AF281">
        <v>27.8</v>
      </c>
      <c r="AG281">
        <v>3847.9576000000002</v>
      </c>
      <c r="AH281">
        <f t="shared" si="14"/>
        <v>-12.902399999999943</v>
      </c>
    </row>
    <row r="282" spans="32:34" x14ac:dyDescent="0.25">
      <c r="AF282">
        <v>27.9</v>
      </c>
      <c r="AG282">
        <v>3847.9567999999999</v>
      </c>
      <c r="AH282">
        <f t="shared" si="14"/>
        <v>-12.903200000000197</v>
      </c>
    </row>
    <row r="283" spans="32:34" x14ac:dyDescent="0.25">
      <c r="AF283">
        <v>28</v>
      </c>
      <c r="AG283">
        <v>3847.9560000000001</v>
      </c>
      <c r="AH283">
        <f t="shared" si="14"/>
        <v>-12.903999999999996</v>
      </c>
    </row>
    <row r="284" spans="32:34" x14ac:dyDescent="0.25">
      <c r="AF284">
        <v>28.1</v>
      </c>
      <c r="AG284">
        <v>3847.9551999999999</v>
      </c>
      <c r="AH284">
        <f t="shared" si="14"/>
        <v>-12.90480000000025</v>
      </c>
    </row>
    <row r="285" spans="32:34" x14ac:dyDescent="0.25">
      <c r="AF285">
        <v>28.2</v>
      </c>
      <c r="AG285">
        <v>3847.9544000000001</v>
      </c>
      <c r="AH285">
        <f t="shared" si="14"/>
        <v>-12.905600000000049</v>
      </c>
    </row>
    <row r="286" spans="32:34" x14ac:dyDescent="0.25">
      <c r="AF286">
        <v>28.3</v>
      </c>
      <c r="AG286">
        <v>3847.9535999999998</v>
      </c>
      <c r="AH286">
        <f t="shared" si="14"/>
        <v>-12.906400000000303</v>
      </c>
    </row>
    <row r="287" spans="32:34" x14ac:dyDescent="0.25">
      <c r="AF287">
        <v>28.4</v>
      </c>
      <c r="AG287">
        <v>3847.9528</v>
      </c>
      <c r="AH287">
        <f t="shared" si="14"/>
        <v>-12.907200000000103</v>
      </c>
    </row>
    <row r="288" spans="32:34" x14ac:dyDescent="0.25">
      <c r="AF288">
        <v>28.5</v>
      </c>
      <c r="AG288">
        <v>3847.9520000000002</v>
      </c>
      <c r="AH288">
        <f t="shared" si="14"/>
        <v>-12.907999999999902</v>
      </c>
    </row>
    <row r="289" spans="32:34" x14ac:dyDescent="0.25">
      <c r="AF289">
        <v>28.6</v>
      </c>
      <c r="AG289">
        <v>3847.9512</v>
      </c>
      <c r="AH289">
        <f t="shared" si="14"/>
        <v>-12.908800000000156</v>
      </c>
    </row>
    <row r="290" spans="32:34" x14ac:dyDescent="0.25">
      <c r="AF290">
        <v>28.7</v>
      </c>
      <c r="AG290">
        <v>3847.9504000000002</v>
      </c>
      <c r="AH290">
        <f t="shared" si="14"/>
        <v>-12.909599999999955</v>
      </c>
    </row>
    <row r="291" spans="32:34" x14ac:dyDescent="0.25">
      <c r="AF291">
        <v>28.8</v>
      </c>
      <c r="AG291">
        <v>3847.9495999999999</v>
      </c>
      <c r="AH291">
        <f t="shared" si="14"/>
        <v>-12.910400000000209</v>
      </c>
    </row>
    <row r="292" spans="32:34" x14ac:dyDescent="0.25">
      <c r="AF292">
        <v>28.9</v>
      </c>
      <c r="AG292">
        <v>3847.9488000000001</v>
      </c>
      <c r="AH292">
        <f t="shared" si="14"/>
        <v>-12.911200000000008</v>
      </c>
    </row>
    <row r="293" spans="32:34" x14ac:dyDescent="0.25">
      <c r="AF293">
        <v>29</v>
      </c>
      <c r="AG293">
        <v>3847.9479999999999</v>
      </c>
      <c r="AH293">
        <f t="shared" si="14"/>
        <v>-12.912000000000262</v>
      </c>
    </row>
    <row r="294" spans="32:34" x14ac:dyDescent="0.25">
      <c r="AF294">
        <v>29.1</v>
      </c>
      <c r="AG294">
        <v>3847.9472000000001</v>
      </c>
      <c r="AH294">
        <f t="shared" si="14"/>
        <v>-12.912800000000061</v>
      </c>
    </row>
    <row r="295" spans="32:34" x14ac:dyDescent="0.25">
      <c r="AF295">
        <v>29.2</v>
      </c>
      <c r="AG295">
        <v>3847.9463999999998</v>
      </c>
      <c r="AH295">
        <f t="shared" si="14"/>
        <v>-12.913600000000315</v>
      </c>
    </row>
    <row r="296" spans="32:34" x14ac:dyDescent="0.25">
      <c r="AF296">
        <v>29.3</v>
      </c>
      <c r="AG296">
        <v>3847.9456</v>
      </c>
      <c r="AH296">
        <f t="shared" si="14"/>
        <v>-12.914400000000114</v>
      </c>
    </row>
    <row r="297" spans="32:34" x14ac:dyDescent="0.25">
      <c r="AF297">
        <v>29.4</v>
      </c>
      <c r="AG297">
        <v>3847.9448000000002</v>
      </c>
      <c r="AH297">
        <f t="shared" si="14"/>
        <v>-12.915199999999913</v>
      </c>
    </row>
    <row r="298" spans="32:34" x14ac:dyDescent="0.25">
      <c r="AF298">
        <v>29.5</v>
      </c>
      <c r="AG298">
        <v>3847.944</v>
      </c>
      <c r="AH298">
        <f t="shared" si="14"/>
        <v>-12.916000000000167</v>
      </c>
    </row>
    <row r="299" spans="32:34" x14ac:dyDescent="0.25">
      <c r="AF299">
        <v>29.6</v>
      </c>
      <c r="AG299">
        <v>3847.9432000000002</v>
      </c>
      <c r="AH299">
        <f t="shared" si="14"/>
        <v>-12.916799999999967</v>
      </c>
    </row>
    <row r="300" spans="32:34" x14ac:dyDescent="0.25">
      <c r="AF300">
        <v>29.7</v>
      </c>
      <c r="AG300">
        <v>3847.9423999999999</v>
      </c>
      <c r="AH300">
        <f t="shared" si="14"/>
        <v>-12.91760000000022</v>
      </c>
    </row>
    <row r="301" spans="32:34" x14ac:dyDescent="0.25">
      <c r="AF301">
        <v>29.8</v>
      </c>
      <c r="AG301">
        <v>3847.9416000000001</v>
      </c>
      <c r="AH301">
        <f t="shared" si="14"/>
        <v>-12.91840000000002</v>
      </c>
    </row>
    <row r="302" spans="32:34" x14ac:dyDescent="0.25">
      <c r="AF302">
        <v>29.9</v>
      </c>
      <c r="AG302">
        <v>3847.9407999999999</v>
      </c>
      <c r="AH302">
        <f t="shared" si="14"/>
        <v>-12.919200000000274</v>
      </c>
    </row>
    <row r="303" spans="32:34" x14ac:dyDescent="0.25">
      <c r="AF303">
        <v>30</v>
      </c>
      <c r="AG303">
        <v>3847.94</v>
      </c>
      <c r="AH303">
        <f t="shared" si="14"/>
        <v>-12.920000000000073</v>
      </c>
    </row>
    <row r="304" spans="32:34" x14ac:dyDescent="0.25">
      <c r="AF304">
        <v>30.1</v>
      </c>
      <c r="AG304">
        <v>3847.942</v>
      </c>
      <c r="AH304">
        <f t="shared" si="14"/>
        <v>-12.91800000000012</v>
      </c>
    </row>
    <row r="305" spans="32:34" x14ac:dyDescent="0.25">
      <c r="AF305">
        <v>30.2</v>
      </c>
      <c r="AG305">
        <v>3847.944</v>
      </c>
      <c r="AH305">
        <f t="shared" si="14"/>
        <v>-12.916000000000167</v>
      </c>
    </row>
    <row r="306" spans="32:34" x14ac:dyDescent="0.25">
      <c r="AF306">
        <v>30.3</v>
      </c>
      <c r="AG306">
        <v>3847.9459999999999</v>
      </c>
      <c r="AH306">
        <f t="shared" si="14"/>
        <v>-12.914000000000215</v>
      </c>
    </row>
    <row r="307" spans="32:34" x14ac:dyDescent="0.25">
      <c r="AF307">
        <v>30.4</v>
      </c>
      <c r="AG307">
        <v>3847.9479999999999</v>
      </c>
      <c r="AH307">
        <f t="shared" si="14"/>
        <v>-12.912000000000262</v>
      </c>
    </row>
    <row r="308" spans="32:34" x14ac:dyDescent="0.25">
      <c r="AF308">
        <v>30.5</v>
      </c>
      <c r="AG308">
        <v>3847.95</v>
      </c>
      <c r="AH308">
        <f t="shared" si="14"/>
        <v>-12.910000000000309</v>
      </c>
    </row>
    <row r="309" spans="32:34" x14ac:dyDescent="0.25">
      <c r="AF309">
        <v>30.6</v>
      </c>
      <c r="AG309">
        <v>3847.9520000000002</v>
      </c>
      <c r="AH309">
        <f t="shared" si="14"/>
        <v>-12.907999999999902</v>
      </c>
    </row>
    <row r="310" spans="32:34" x14ac:dyDescent="0.25">
      <c r="AF310">
        <v>30.7</v>
      </c>
      <c r="AG310">
        <v>3847.9540000000002</v>
      </c>
      <c r="AH310">
        <f t="shared" si="14"/>
        <v>-12.905999999999949</v>
      </c>
    </row>
    <row r="311" spans="32:34" x14ac:dyDescent="0.25">
      <c r="AF311">
        <v>30.8</v>
      </c>
      <c r="AG311">
        <v>3847.9560000000001</v>
      </c>
      <c r="AH311">
        <f t="shared" si="14"/>
        <v>-12.903999999999996</v>
      </c>
    </row>
    <row r="312" spans="32:34" x14ac:dyDescent="0.25">
      <c r="AF312">
        <v>30.9</v>
      </c>
      <c r="AG312">
        <v>3847.9580000000001</v>
      </c>
      <c r="AH312">
        <f t="shared" si="14"/>
        <v>-12.902000000000044</v>
      </c>
    </row>
    <row r="313" spans="32:34" x14ac:dyDescent="0.25">
      <c r="AF313">
        <v>31</v>
      </c>
      <c r="AG313">
        <v>3847.96</v>
      </c>
      <c r="AH313">
        <f t="shared" si="14"/>
        <v>-12.900000000000091</v>
      </c>
    </row>
    <row r="314" spans="32:34" x14ac:dyDescent="0.25">
      <c r="AF314">
        <v>31.1</v>
      </c>
      <c r="AG314">
        <v>3847.962</v>
      </c>
      <c r="AH314">
        <f t="shared" si="14"/>
        <v>-12.898000000000138</v>
      </c>
    </row>
    <row r="315" spans="32:34" x14ac:dyDescent="0.25">
      <c r="AF315">
        <v>31.2</v>
      </c>
      <c r="AG315">
        <v>3847.9639999999999</v>
      </c>
      <c r="AH315">
        <f t="shared" si="14"/>
        <v>-12.896000000000186</v>
      </c>
    </row>
    <row r="316" spans="32:34" x14ac:dyDescent="0.25">
      <c r="AF316">
        <v>31.3</v>
      </c>
      <c r="AG316">
        <v>3847.9659999999999</v>
      </c>
      <c r="AH316">
        <f t="shared" si="14"/>
        <v>-12.894000000000233</v>
      </c>
    </row>
    <row r="317" spans="32:34" x14ac:dyDescent="0.25">
      <c r="AF317">
        <v>31.4</v>
      </c>
      <c r="AG317">
        <v>3847.9679999999998</v>
      </c>
      <c r="AH317">
        <f t="shared" si="14"/>
        <v>-12.89200000000028</v>
      </c>
    </row>
    <row r="318" spans="32:34" x14ac:dyDescent="0.25">
      <c r="AF318">
        <v>31.5</v>
      </c>
      <c r="AG318">
        <v>3847.97</v>
      </c>
      <c r="AH318">
        <f t="shared" si="14"/>
        <v>-12.890000000000327</v>
      </c>
    </row>
    <row r="319" spans="32:34" x14ac:dyDescent="0.25">
      <c r="AF319">
        <v>31.6</v>
      </c>
      <c r="AG319">
        <v>3847.9720000000002</v>
      </c>
      <c r="AH319">
        <f t="shared" si="14"/>
        <v>-12.88799999999992</v>
      </c>
    </row>
    <row r="320" spans="32:34" x14ac:dyDescent="0.25">
      <c r="AF320">
        <v>31.7</v>
      </c>
      <c r="AG320">
        <v>3847.9740000000002</v>
      </c>
      <c r="AH320">
        <f t="shared" si="14"/>
        <v>-12.885999999999967</v>
      </c>
    </row>
    <row r="321" spans="32:34" x14ac:dyDescent="0.25">
      <c r="AF321">
        <v>31.8</v>
      </c>
      <c r="AG321">
        <v>3847.9760000000001</v>
      </c>
      <c r="AH321">
        <f t="shared" si="14"/>
        <v>-12.884000000000015</v>
      </c>
    </row>
    <row r="322" spans="32:34" x14ac:dyDescent="0.25">
      <c r="AF322">
        <v>31.9</v>
      </c>
      <c r="AG322">
        <v>3847.9780000000001</v>
      </c>
      <c r="AH322">
        <f t="shared" si="14"/>
        <v>-12.882000000000062</v>
      </c>
    </row>
    <row r="323" spans="32:34" x14ac:dyDescent="0.25">
      <c r="AF323">
        <v>32</v>
      </c>
      <c r="AG323">
        <v>3847.98</v>
      </c>
      <c r="AH323">
        <f t="shared" si="14"/>
        <v>-12.880000000000109</v>
      </c>
    </row>
    <row r="324" spans="32:34" x14ac:dyDescent="0.25">
      <c r="AF324">
        <v>32.1</v>
      </c>
      <c r="AG324">
        <v>3847.982</v>
      </c>
      <c r="AH324">
        <f t="shared" ref="AH324:AH387" si="15">AG324-MAX($AG$3:$AG$2353)</f>
        <v>-12.878000000000156</v>
      </c>
    </row>
    <row r="325" spans="32:34" x14ac:dyDescent="0.25">
      <c r="AF325">
        <v>32.200000000000003</v>
      </c>
      <c r="AG325">
        <v>3847.9839999999999</v>
      </c>
      <c r="AH325">
        <f t="shared" si="15"/>
        <v>-12.876000000000204</v>
      </c>
    </row>
    <row r="326" spans="32:34" x14ac:dyDescent="0.25">
      <c r="AF326">
        <v>32.299999999999997</v>
      </c>
      <c r="AG326">
        <v>3847.9859999999999</v>
      </c>
      <c r="AH326">
        <f t="shared" si="15"/>
        <v>-12.874000000000251</v>
      </c>
    </row>
    <row r="327" spans="32:34" x14ac:dyDescent="0.25">
      <c r="AF327">
        <v>32.4</v>
      </c>
      <c r="AG327">
        <v>3847.9879999999998</v>
      </c>
      <c r="AH327">
        <f t="shared" si="15"/>
        <v>-12.872000000000298</v>
      </c>
    </row>
    <row r="328" spans="32:34" x14ac:dyDescent="0.25">
      <c r="AF328">
        <v>32.5</v>
      </c>
      <c r="AG328">
        <v>3847.99</v>
      </c>
      <c r="AH328">
        <f t="shared" si="15"/>
        <v>-12.870000000000346</v>
      </c>
    </row>
    <row r="329" spans="32:34" x14ac:dyDescent="0.25">
      <c r="AF329">
        <v>32.6</v>
      </c>
      <c r="AG329">
        <v>3847.9920000000002</v>
      </c>
      <c r="AH329">
        <f t="shared" si="15"/>
        <v>-12.867999999999938</v>
      </c>
    </row>
    <row r="330" spans="32:34" x14ac:dyDescent="0.25">
      <c r="AF330">
        <v>32.700000000000003</v>
      </c>
      <c r="AG330">
        <v>3847.9940000000001</v>
      </c>
      <c r="AH330">
        <f t="shared" si="15"/>
        <v>-12.865999999999985</v>
      </c>
    </row>
    <row r="331" spans="32:34" x14ac:dyDescent="0.25">
      <c r="AF331">
        <v>32.799999999999997</v>
      </c>
      <c r="AG331">
        <v>3847.9960000000001</v>
      </c>
      <c r="AH331">
        <f t="shared" si="15"/>
        <v>-12.864000000000033</v>
      </c>
    </row>
    <row r="332" spans="32:34" x14ac:dyDescent="0.25">
      <c r="AF332">
        <v>32.9</v>
      </c>
      <c r="AG332">
        <v>3847.998</v>
      </c>
      <c r="AH332">
        <f t="shared" si="15"/>
        <v>-12.86200000000008</v>
      </c>
    </row>
    <row r="333" spans="32:34" x14ac:dyDescent="0.25">
      <c r="AF333">
        <v>33</v>
      </c>
      <c r="AG333">
        <v>3848</v>
      </c>
      <c r="AH333">
        <f t="shared" si="15"/>
        <v>-12.860000000000127</v>
      </c>
    </row>
    <row r="334" spans="32:34" x14ac:dyDescent="0.25">
      <c r="AF334">
        <v>33.1</v>
      </c>
      <c r="AG334">
        <v>3848.002</v>
      </c>
      <c r="AH334">
        <f t="shared" si="15"/>
        <v>-12.858000000000175</v>
      </c>
    </row>
    <row r="335" spans="32:34" x14ac:dyDescent="0.25">
      <c r="AF335">
        <v>33.200000000000003</v>
      </c>
      <c r="AG335">
        <v>3848.0039999999999</v>
      </c>
      <c r="AH335">
        <f t="shared" si="15"/>
        <v>-12.856000000000222</v>
      </c>
    </row>
    <row r="336" spans="32:34" x14ac:dyDescent="0.25">
      <c r="AF336">
        <v>33.299999999999997</v>
      </c>
      <c r="AG336">
        <v>3848.0059999999999</v>
      </c>
      <c r="AH336">
        <f t="shared" si="15"/>
        <v>-12.854000000000269</v>
      </c>
    </row>
    <row r="337" spans="32:34" x14ac:dyDescent="0.25">
      <c r="AF337">
        <v>33.4</v>
      </c>
      <c r="AG337">
        <v>3848.0079999999998</v>
      </c>
      <c r="AH337">
        <f t="shared" si="15"/>
        <v>-12.852000000000317</v>
      </c>
    </row>
    <row r="338" spans="32:34" x14ac:dyDescent="0.25">
      <c r="AF338">
        <v>33.5</v>
      </c>
      <c r="AG338">
        <v>3848.01</v>
      </c>
      <c r="AH338">
        <f t="shared" si="15"/>
        <v>-12.849999999999909</v>
      </c>
    </row>
    <row r="339" spans="32:34" x14ac:dyDescent="0.25">
      <c r="AF339">
        <v>33.6</v>
      </c>
      <c r="AG339">
        <v>3848.0120000000002</v>
      </c>
      <c r="AH339">
        <f t="shared" si="15"/>
        <v>-12.847999999999956</v>
      </c>
    </row>
    <row r="340" spans="32:34" x14ac:dyDescent="0.25">
      <c r="AF340">
        <v>33.700000000000003</v>
      </c>
      <c r="AG340">
        <v>3848.0140000000001</v>
      </c>
      <c r="AH340">
        <f t="shared" si="15"/>
        <v>-12.846000000000004</v>
      </c>
    </row>
    <row r="341" spans="32:34" x14ac:dyDescent="0.25">
      <c r="AF341">
        <v>33.799999999999997</v>
      </c>
      <c r="AG341">
        <v>3848.0160000000001</v>
      </c>
      <c r="AH341">
        <f t="shared" si="15"/>
        <v>-12.844000000000051</v>
      </c>
    </row>
    <row r="342" spans="32:34" x14ac:dyDescent="0.25">
      <c r="AF342">
        <v>33.9</v>
      </c>
      <c r="AG342">
        <v>3848.018</v>
      </c>
      <c r="AH342">
        <f t="shared" si="15"/>
        <v>-12.842000000000098</v>
      </c>
    </row>
    <row r="343" spans="32:34" x14ac:dyDescent="0.25">
      <c r="AF343">
        <v>34</v>
      </c>
      <c r="AG343">
        <v>3848.02</v>
      </c>
      <c r="AH343">
        <f t="shared" si="15"/>
        <v>-12.840000000000146</v>
      </c>
    </row>
    <row r="344" spans="32:34" x14ac:dyDescent="0.25">
      <c r="AF344">
        <v>34.1</v>
      </c>
      <c r="AG344">
        <v>3848.0219999999999</v>
      </c>
      <c r="AH344">
        <f t="shared" si="15"/>
        <v>-12.838000000000193</v>
      </c>
    </row>
    <row r="345" spans="32:34" x14ac:dyDescent="0.25">
      <c r="AF345">
        <v>34.200000000000003</v>
      </c>
      <c r="AG345">
        <v>3848.0239999999999</v>
      </c>
      <c r="AH345">
        <f t="shared" si="15"/>
        <v>-12.83600000000024</v>
      </c>
    </row>
    <row r="346" spans="32:34" x14ac:dyDescent="0.25">
      <c r="AF346">
        <v>34.299999999999997</v>
      </c>
      <c r="AG346">
        <v>3848.0259999999998</v>
      </c>
      <c r="AH346">
        <f t="shared" si="15"/>
        <v>-12.834000000000287</v>
      </c>
    </row>
    <row r="347" spans="32:34" x14ac:dyDescent="0.25">
      <c r="AF347">
        <v>34.4</v>
      </c>
      <c r="AG347">
        <v>3848.0279999999998</v>
      </c>
      <c r="AH347">
        <f t="shared" si="15"/>
        <v>-12.832000000000335</v>
      </c>
    </row>
    <row r="348" spans="32:34" x14ac:dyDescent="0.25">
      <c r="AF348">
        <v>34.5</v>
      </c>
      <c r="AG348">
        <v>3848.0299999999902</v>
      </c>
      <c r="AH348">
        <f t="shared" si="15"/>
        <v>-12.830000000009932</v>
      </c>
    </row>
    <row r="349" spans="32:34" x14ac:dyDescent="0.25">
      <c r="AF349">
        <v>34.6</v>
      </c>
      <c r="AG349">
        <v>3848.0320000000002</v>
      </c>
      <c r="AH349">
        <f t="shared" si="15"/>
        <v>-12.827999999999975</v>
      </c>
    </row>
    <row r="350" spans="32:34" x14ac:dyDescent="0.25">
      <c r="AF350">
        <v>34.700000000000003</v>
      </c>
      <c r="AG350">
        <v>3848.0340000000001</v>
      </c>
      <c r="AH350">
        <f t="shared" si="15"/>
        <v>-12.826000000000022</v>
      </c>
    </row>
    <row r="351" spans="32:34" x14ac:dyDescent="0.25">
      <c r="AF351">
        <v>34.799999999999997</v>
      </c>
      <c r="AG351">
        <v>3848.0360000000001</v>
      </c>
      <c r="AH351">
        <f t="shared" si="15"/>
        <v>-12.824000000000069</v>
      </c>
    </row>
    <row r="352" spans="32:34" x14ac:dyDescent="0.25">
      <c r="AF352">
        <v>34.9</v>
      </c>
      <c r="AG352">
        <v>3848.038</v>
      </c>
      <c r="AH352">
        <f t="shared" si="15"/>
        <v>-12.822000000000116</v>
      </c>
    </row>
    <row r="353" spans="32:34" x14ac:dyDescent="0.25">
      <c r="AF353">
        <v>35</v>
      </c>
      <c r="AG353">
        <v>3848.04</v>
      </c>
      <c r="AH353">
        <f t="shared" si="15"/>
        <v>-12.820000000000164</v>
      </c>
    </row>
    <row r="354" spans="32:34" x14ac:dyDescent="0.25">
      <c r="AF354">
        <v>35.1</v>
      </c>
      <c r="AG354">
        <v>3848.0239999999999</v>
      </c>
      <c r="AH354">
        <f t="shared" si="15"/>
        <v>-12.83600000000024</v>
      </c>
    </row>
    <row r="355" spans="32:34" x14ac:dyDescent="0.25">
      <c r="AF355">
        <v>35.200000000000003</v>
      </c>
      <c r="AG355">
        <v>3848.0079999999998</v>
      </c>
      <c r="AH355">
        <f t="shared" si="15"/>
        <v>-12.852000000000317</v>
      </c>
    </row>
    <row r="356" spans="32:34" x14ac:dyDescent="0.25">
      <c r="AF356">
        <v>35.299999999999997</v>
      </c>
      <c r="AG356">
        <v>3847.9919999999902</v>
      </c>
      <c r="AH356">
        <f t="shared" si="15"/>
        <v>-12.868000000009943</v>
      </c>
    </row>
    <row r="357" spans="32:34" x14ac:dyDescent="0.25">
      <c r="AF357">
        <v>35.4</v>
      </c>
      <c r="AG357">
        <v>3847.9760000000001</v>
      </c>
      <c r="AH357">
        <f t="shared" si="15"/>
        <v>-12.884000000000015</v>
      </c>
    </row>
    <row r="358" spans="32:34" x14ac:dyDescent="0.25">
      <c r="AF358">
        <v>35.5</v>
      </c>
      <c r="AG358">
        <v>3847.96</v>
      </c>
      <c r="AH358">
        <f t="shared" si="15"/>
        <v>-12.900000000000091</v>
      </c>
    </row>
    <row r="359" spans="32:34" x14ac:dyDescent="0.25">
      <c r="AF359">
        <v>35.6</v>
      </c>
      <c r="AG359">
        <v>3847.944</v>
      </c>
      <c r="AH359">
        <f t="shared" si="15"/>
        <v>-12.916000000000167</v>
      </c>
    </row>
    <row r="360" spans="32:34" x14ac:dyDescent="0.25">
      <c r="AF360">
        <v>35.700000000000003</v>
      </c>
      <c r="AG360">
        <v>3847.9279999999999</v>
      </c>
      <c r="AH360">
        <f t="shared" si="15"/>
        <v>-12.932000000000244</v>
      </c>
    </row>
    <row r="361" spans="32:34" x14ac:dyDescent="0.25">
      <c r="AF361">
        <v>35.799999999999997</v>
      </c>
      <c r="AG361">
        <v>3847.9119999999998</v>
      </c>
      <c r="AH361">
        <f t="shared" si="15"/>
        <v>-12.94800000000032</v>
      </c>
    </row>
    <row r="362" spans="32:34" x14ac:dyDescent="0.25">
      <c r="AF362">
        <v>35.9</v>
      </c>
      <c r="AG362">
        <v>3847.8959999999902</v>
      </c>
      <c r="AH362">
        <f t="shared" si="15"/>
        <v>-12.964000000009946</v>
      </c>
    </row>
    <row r="363" spans="32:34" x14ac:dyDescent="0.25">
      <c r="AF363">
        <v>36</v>
      </c>
      <c r="AG363">
        <v>3847.88</v>
      </c>
      <c r="AH363">
        <f t="shared" si="15"/>
        <v>-12.980000000000018</v>
      </c>
    </row>
    <row r="364" spans="32:34" x14ac:dyDescent="0.25">
      <c r="AF364">
        <v>36.1</v>
      </c>
      <c r="AG364">
        <v>3847.864</v>
      </c>
      <c r="AH364">
        <f t="shared" si="15"/>
        <v>-12.996000000000095</v>
      </c>
    </row>
    <row r="365" spans="32:34" x14ac:dyDescent="0.25">
      <c r="AF365">
        <v>36.200000000000003</v>
      </c>
      <c r="AG365">
        <v>3847.848</v>
      </c>
      <c r="AH365">
        <f t="shared" si="15"/>
        <v>-13.012000000000171</v>
      </c>
    </row>
    <row r="366" spans="32:34" x14ac:dyDescent="0.25">
      <c r="AF366">
        <v>36.299999999999997</v>
      </c>
      <c r="AG366">
        <v>3847.8319999999999</v>
      </c>
      <c r="AH366">
        <f t="shared" si="15"/>
        <v>-13.028000000000247</v>
      </c>
    </row>
    <row r="367" spans="32:34" x14ac:dyDescent="0.25">
      <c r="AF367">
        <v>36.4</v>
      </c>
      <c r="AG367">
        <v>3847.8159999999998</v>
      </c>
      <c r="AH367">
        <f t="shared" si="15"/>
        <v>-13.044000000000324</v>
      </c>
    </row>
    <row r="368" spans="32:34" x14ac:dyDescent="0.25">
      <c r="AF368">
        <v>36.5</v>
      </c>
      <c r="AG368">
        <v>3847.7999999999902</v>
      </c>
      <c r="AH368">
        <f t="shared" si="15"/>
        <v>-13.06000000000995</v>
      </c>
    </row>
    <row r="369" spans="32:34" x14ac:dyDescent="0.25">
      <c r="AF369">
        <v>36.6</v>
      </c>
      <c r="AG369">
        <v>3847.7840000000001</v>
      </c>
      <c r="AH369">
        <f t="shared" si="15"/>
        <v>-13.076000000000022</v>
      </c>
    </row>
    <row r="370" spans="32:34" x14ac:dyDescent="0.25">
      <c r="AF370">
        <v>36.700000000000003</v>
      </c>
      <c r="AG370">
        <v>3847.768</v>
      </c>
      <c r="AH370">
        <f t="shared" si="15"/>
        <v>-13.092000000000098</v>
      </c>
    </row>
    <row r="371" spans="32:34" x14ac:dyDescent="0.25">
      <c r="AF371">
        <v>36.799999999999997</v>
      </c>
      <c r="AG371">
        <v>3847.752</v>
      </c>
      <c r="AH371">
        <f t="shared" si="15"/>
        <v>-13.108000000000175</v>
      </c>
    </row>
    <row r="372" spans="32:34" x14ac:dyDescent="0.25">
      <c r="AF372">
        <v>36.9</v>
      </c>
      <c r="AG372">
        <v>3847.7359999999999</v>
      </c>
      <c r="AH372">
        <f t="shared" si="15"/>
        <v>-13.124000000000251</v>
      </c>
    </row>
    <row r="373" spans="32:34" x14ac:dyDescent="0.25">
      <c r="AF373">
        <v>37</v>
      </c>
      <c r="AG373">
        <v>3847.72</v>
      </c>
      <c r="AH373">
        <f t="shared" si="15"/>
        <v>-13.140000000000327</v>
      </c>
    </row>
    <row r="374" spans="32:34" x14ac:dyDescent="0.25">
      <c r="AF374">
        <v>37.1</v>
      </c>
      <c r="AG374">
        <v>3847.7039999999902</v>
      </c>
      <c r="AH374">
        <f t="shared" si="15"/>
        <v>-13.156000000009954</v>
      </c>
    </row>
    <row r="375" spans="32:34" x14ac:dyDescent="0.25">
      <c r="AF375">
        <v>37.200000000000003</v>
      </c>
      <c r="AG375">
        <v>3847.6880000000001</v>
      </c>
      <c r="AH375">
        <f t="shared" si="15"/>
        <v>-13.172000000000025</v>
      </c>
    </row>
    <row r="376" spans="32:34" x14ac:dyDescent="0.25">
      <c r="AF376">
        <v>37.299999999999997</v>
      </c>
      <c r="AG376">
        <v>3847.672</v>
      </c>
      <c r="AH376">
        <f t="shared" si="15"/>
        <v>-13.188000000000102</v>
      </c>
    </row>
    <row r="377" spans="32:34" x14ac:dyDescent="0.25">
      <c r="AF377">
        <v>37.4</v>
      </c>
      <c r="AG377">
        <v>3847.6559999999999</v>
      </c>
      <c r="AH377">
        <f t="shared" si="15"/>
        <v>-13.204000000000178</v>
      </c>
    </row>
    <row r="378" spans="32:34" x14ac:dyDescent="0.25">
      <c r="AF378">
        <v>37.5</v>
      </c>
      <c r="AG378">
        <v>3847.64</v>
      </c>
      <c r="AH378">
        <f t="shared" si="15"/>
        <v>-13.220000000000255</v>
      </c>
    </row>
    <row r="379" spans="32:34" x14ac:dyDescent="0.25">
      <c r="AF379">
        <v>37.6</v>
      </c>
      <c r="AG379">
        <v>3847.6239999999998</v>
      </c>
      <c r="AH379">
        <f t="shared" si="15"/>
        <v>-13.236000000000331</v>
      </c>
    </row>
    <row r="380" spans="32:34" x14ac:dyDescent="0.25">
      <c r="AF380">
        <v>37.700000000000003</v>
      </c>
      <c r="AG380">
        <v>3847.6079999999902</v>
      </c>
      <c r="AH380">
        <f t="shared" si="15"/>
        <v>-13.252000000009957</v>
      </c>
    </row>
    <row r="381" spans="32:34" x14ac:dyDescent="0.25">
      <c r="AF381">
        <v>37.799999999999997</v>
      </c>
      <c r="AG381">
        <v>3847.5919999999901</v>
      </c>
      <c r="AH381">
        <f t="shared" si="15"/>
        <v>-13.268000000010034</v>
      </c>
    </row>
    <row r="382" spans="32:34" x14ac:dyDescent="0.25">
      <c r="AF382">
        <v>37.9</v>
      </c>
      <c r="AG382">
        <v>3847.576</v>
      </c>
      <c r="AH382">
        <f t="shared" si="15"/>
        <v>-13.284000000000106</v>
      </c>
    </row>
    <row r="383" spans="32:34" x14ac:dyDescent="0.25">
      <c r="AF383">
        <v>38</v>
      </c>
      <c r="AG383">
        <v>3847.56</v>
      </c>
      <c r="AH383">
        <f t="shared" si="15"/>
        <v>-13.300000000000182</v>
      </c>
    </row>
    <row r="384" spans="32:34" x14ac:dyDescent="0.25">
      <c r="AF384">
        <v>38.1</v>
      </c>
      <c r="AG384">
        <v>3847.5439999999999</v>
      </c>
      <c r="AH384">
        <f t="shared" si="15"/>
        <v>-13.316000000000258</v>
      </c>
    </row>
    <row r="385" spans="32:34" x14ac:dyDescent="0.25">
      <c r="AF385">
        <v>38.200000000000003</v>
      </c>
      <c r="AG385">
        <v>3847.5279999999998</v>
      </c>
      <c r="AH385">
        <f t="shared" si="15"/>
        <v>-13.332000000000335</v>
      </c>
    </row>
    <row r="386" spans="32:34" x14ac:dyDescent="0.25">
      <c r="AF386">
        <v>38.299999999999997</v>
      </c>
      <c r="AG386">
        <v>3847.5119999999902</v>
      </c>
      <c r="AH386">
        <f t="shared" si="15"/>
        <v>-13.348000000009961</v>
      </c>
    </row>
    <row r="387" spans="32:34" x14ac:dyDescent="0.25">
      <c r="AF387">
        <v>38.4</v>
      </c>
      <c r="AG387">
        <v>3847.4959999999901</v>
      </c>
      <c r="AH387">
        <f t="shared" si="15"/>
        <v>-13.364000000010037</v>
      </c>
    </row>
    <row r="388" spans="32:34" x14ac:dyDescent="0.25">
      <c r="AF388">
        <v>38.5</v>
      </c>
      <c r="AG388">
        <v>3847.48</v>
      </c>
      <c r="AH388">
        <f t="shared" ref="AH388:AH451" si="16">AG388-MAX($AG$3:$AG$2353)</f>
        <v>-13.380000000000109</v>
      </c>
    </row>
    <row r="389" spans="32:34" x14ac:dyDescent="0.25">
      <c r="AF389">
        <v>38.6</v>
      </c>
      <c r="AG389">
        <v>3847.4639999999999</v>
      </c>
      <c r="AH389">
        <f t="shared" si="16"/>
        <v>-13.396000000000186</v>
      </c>
    </row>
    <row r="390" spans="32:34" x14ac:dyDescent="0.25">
      <c r="AF390">
        <v>38.700000000000003</v>
      </c>
      <c r="AG390">
        <v>3847.4479999999999</v>
      </c>
      <c r="AH390">
        <f t="shared" si="16"/>
        <v>-13.412000000000262</v>
      </c>
    </row>
    <row r="391" spans="32:34" x14ac:dyDescent="0.25">
      <c r="AF391">
        <v>38.799999999999997</v>
      </c>
      <c r="AG391">
        <v>3847.4319999999998</v>
      </c>
      <c r="AH391">
        <f t="shared" si="16"/>
        <v>-13.428000000000338</v>
      </c>
    </row>
    <row r="392" spans="32:34" x14ac:dyDescent="0.25">
      <c r="AF392">
        <v>38.9</v>
      </c>
      <c r="AG392">
        <v>3847.4159999999902</v>
      </c>
      <c r="AH392">
        <f t="shared" si="16"/>
        <v>-13.444000000009964</v>
      </c>
    </row>
    <row r="393" spans="32:34" x14ac:dyDescent="0.25">
      <c r="AF393">
        <v>39</v>
      </c>
      <c r="AG393">
        <v>3847.3999999999901</v>
      </c>
      <c r="AH393">
        <f t="shared" si="16"/>
        <v>-13.460000000010041</v>
      </c>
    </row>
    <row r="394" spans="32:34" x14ac:dyDescent="0.25">
      <c r="AF394">
        <v>39.1</v>
      </c>
      <c r="AG394">
        <v>3847.384</v>
      </c>
      <c r="AH394">
        <f t="shared" si="16"/>
        <v>-13.476000000000113</v>
      </c>
    </row>
    <row r="395" spans="32:34" x14ac:dyDescent="0.25">
      <c r="AF395">
        <v>39.200000000000003</v>
      </c>
      <c r="AG395">
        <v>3847.3679999999999</v>
      </c>
      <c r="AH395">
        <f t="shared" si="16"/>
        <v>-13.492000000000189</v>
      </c>
    </row>
    <row r="396" spans="32:34" x14ac:dyDescent="0.25">
      <c r="AF396">
        <v>39.299999999999997</v>
      </c>
      <c r="AG396">
        <v>3847.3519999999999</v>
      </c>
      <c r="AH396">
        <f t="shared" si="16"/>
        <v>-13.508000000000266</v>
      </c>
    </row>
    <row r="397" spans="32:34" x14ac:dyDescent="0.25">
      <c r="AF397">
        <v>39.4</v>
      </c>
      <c r="AG397">
        <v>3847.3359999999998</v>
      </c>
      <c r="AH397">
        <f t="shared" si="16"/>
        <v>-13.524000000000342</v>
      </c>
    </row>
    <row r="398" spans="32:34" x14ac:dyDescent="0.25">
      <c r="AF398">
        <v>39.5</v>
      </c>
      <c r="AG398">
        <v>3847.3199999999902</v>
      </c>
      <c r="AH398">
        <f t="shared" si="16"/>
        <v>-13.540000000009968</v>
      </c>
    </row>
    <row r="399" spans="32:34" x14ac:dyDescent="0.25">
      <c r="AF399">
        <v>39.6</v>
      </c>
      <c r="AG399">
        <v>3847.3039999999901</v>
      </c>
      <c r="AH399">
        <f t="shared" si="16"/>
        <v>-13.556000000010044</v>
      </c>
    </row>
    <row r="400" spans="32:34" x14ac:dyDescent="0.25">
      <c r="AF400">
        <v>39.700000000000003</v>
      </c>
      <c r="AG400">
        <v>3847.288</v>
      </c>
      <c r="AH400">
        <f t="shared" si="16"/>
        <v>-13.572000000000116</v>
      </c>
    </row>
    <row r="401" spans="32:34" x14ac:dyDescent="0.25">
      <c r="AF401">
        <v>39.799999999999997</v>
      </c>
      <c r="AG401">
        <v>3847.2719999999999</v>
      </c>
      <c r="AH401">
        <f t="shared" si="16"/>
        <v>-13.588000000000193</v>
      </c>
    </row>
    <row r="402" spans="32:34" x14ac:dyDescent="0.25">
      <c r="AF402">
        <v>39.9</v>
      </c>
      <c r="AG402">
        <v>3847.2559999999999</v>
      </c>
      <c r="AH402">
        <f t="shared" si="16"/>
        <v>-13.604000000000269</v>
      </c>
    </row>
    <row r="403" spans="32:34" x14ac:dyDescent="0.25">
      <c r="AF403">
        <v>40</v>
      </c>
      <c r="AG403">
        <v>3847.24</v>
      </c>
      <c r="AH403">
        <f t="shared" si="16"/>
        <v>-13.620000000000346</v>
      </c>
    </row>
    <row r="404" spans="32:34" x14ac:dyDescent="0.25">
      <c r="AF404">
        <v>40.1</v>
      </c>
      <c r="AG404">
        <v>3847.2531999999901</v>
      </c>
      <c r="AH404">
        <f t="shared" si="16"/>
        <v>-13.606800000010026</v>
      </c>
    </row>
    <row r="405" spans="32:34" x14ac:dyDescent="0.25">
      <c r="AF405">
        <v>40.200000000000003</v>
      </c>
      <c r="AG405">
        <v>3847.2664</v>
      </c>
      <c r="AH405">
        <f t="shared" si="16"/>
        <v>-13.593600000000151</v>
      </c>
    </row>
    <row r="406" spans="32:34" x14ac:dyDescent="0.25">
      <c r="AF406">
        <v>40.299999999999997</v>
      </c>
      <c r="AG406">
        <v>3847.2795999999998</v>
      </c>
      <c r="AH406">
        <f t="shared" si="16"/>
        <v>-13.580400000000282</v>
      </c>
    </row>
    <row r="407" spans="32:34" x14ac:dyDescent="0.25">
      <c r="AF407">
        <v>40.4</v>
      </c>
      <c r="AG407">
        <v>3847.2927999999902</v>
      </c>
      <c r="AH407">
        <f t="shared" si="16"/>
        <v>-13.567200000009962</v>
      </c>
    </row>
    <row r="408" spans="32:34" x14ac:dyDescent="0.25">
      <c r="AF408">
        <v>40.5</v>
      </c>
      <c r="AG408">
        <v>3847.30599999999</v>
      </c>
      <c r="AH408">
        <f t="shared" si="16"/>
        <v>-13.554000000010092</v>
      </c>
    </row>
    <row r="409" spans="32:34" x14ac:dyDescent="0.25">
      <c r="AF409">
        <v>40.6</v>
      </c>
      <c r="AG409">
        <v>3847.3191999999999</v>
      </c>
      <c r="AH409">
        <f t="shared" si="16"/>
        <v>-13.540800000000218</v>
      </c>
    </row>
    <row r="410" spans="32:34" x14ac:dyDescent="0.25">
      <c r="AF410">
        <v>40.700000000000003</v>
      </c>
      <c r="AG410">
        <v>3847.3323999999998</v>
      </c>
      <c r="AH410">
        <f t="shared" si="16"/>
        <v>-13.527600000000348</v>
      </c>
    </row>
    <row r="411" spans="32:34" x14ac:dyDescent="0.25">
      <c r="AF411">
        <v>40.799999999999997</v>
      </c>
      <c r="AG411">
        <v>3847.3455999999901</v>
      </c>
      <c r="AH411">
        <f t="shared" si="16"/>
        <v>-13.514400000010028</v>
      </c>
    </row>
    <row r="412" spans="32:34" x14ac:dyDescent="0.25">
      <c r="AF412">
        <v>40.9</v>
      </c>
      <c r="AG412">
        <v>3847.3588</v>
      </c>
      <c r="AH412">
        <f t="shared" si="16"/>
        <v>-13.501200000000154</v>
      </c>
    </row>
    <row r="413" spans="32:34" x14ac:dyDescent="0.25">
      <c r="AF413">
        <v>41</v>
      </c>
      <c r="AG413">
        <v>3847.3719999999998</v>
      </c>
      <c r="AH413">
        <f t="shared" si="16"/>
        <v>-13.488000000000284</v>
      </c>
    </row>
    <row r="414" spans="32:34" x14ac:dyDescent="0.25">
      <c r="AF414">
        <v>41.1</v>
      </c>
      <c r="AG414">
        <v>3847.3851999999902</v>
      </c>
      <c r="AH414">
        <f t="shared" si="16"/>
        <v>-13.474800000009964</v>
      </c>
    </row>
    <row r="415" spans="32:34" x14ac:dyDescent="0.25">
      <c r="AF415">
        <v>41.2</v>
      </c>
      <c r="AG415">
        <v>3847.3984</v>
      </c>
      <c r="AH415">
        <f t="shared" si="16"/>
        <v>-13.461600000000089</v>
      </c>
    </row>
    <row r="416" spans="32:34" x14ac:dyDescent="0.25">
      <c r="AF416">
        <v>41.3</v>
      </c>
      <c r="AG416">
        <v>3847.4115999999999</v>
      </c>
      <c r="AH416">
        <f t="shared" si="16"/>
        <v>-13.44840000000022</v>
      </c>
    </row>
    <row r="417" spans="32:34" x14ac:dyDescent="0.25">
      <c r="AF417">
        <v>41.4</v>
      </c>
      <c r="AG417">
        <v>3847.4247999999998</v>
      </c>
      <c r="AH417">
        <f t="shared" si="16"/>
        <v>-13.43520000000035</v>
      </c>
    </row>
    <row r="418" spans="32:34" x14ac:dyDescent="0.25">
      <c r="AF418">
        <v>41.5</v>
      </c>
      <c r="AG418">
        <v>3847.4380000000001</v>
      </c>
      <c r="AH418">
        <f t="shared" si="16"/>
        <v>-13.422000000000025</v>
      </c>
    </row>
    <row r="419" spans="32:34" x14ac:dyDescent="0.25">
      <c r="AF419">
        <v>41.6</v>
      </c>
      <c r="AG419">
        <v>3847.4512</v>
      </c>
      <c r="AH419">
        <f t="shared" si="16"/>
        <v>-13.408800000000156</v>
      </c>
    </row>
    <row r="420" spans="32:34" x14ac:dyDescent="0.25">
      <c r="AF420">
        <v>41.7</v>
      </c>
      <c r="AG420">
        <v>3847.4643999999998</v>
      </c>
      <c r="AH420">
        <f t="shared" si="16"/>
        <v>-13.395600000000286</v>
      </c>
    </row>
    <row r="421" spans="32:34" x14ac:dyDescent="0.25">
      <c r="AF421">
        <v>41.8</v>
      </c>
      <c r="AG421">
        <v>3847.4775999999902</v>
      </c>
      <c r="AH421">
        <f t="shared" si="16"/>
        <v>-13.382400000009966</v>
      </c>
    </row>
    <row r="422" spans="32:34" x14ac:dyDescent="0.25">
      <c r="AF422">
        <v>41.9</v>
      </c>
      <c r="AG422">
        <v>3847.4908</v>
      </c>
      <c r="AH422">
        <f t="shared" si="16"/>
        <v>-13.369200000000092</v>
      </c>
    </row>
    <row r="423" spans="32:34" x14ac:dyDescent="0.25">
      <c r="AF423">
        <v>42</v>
      </c>
      <c r="AG423">
        <v>3847.5039999999999</v>
      </c>
      <c r="AH423">
        <f t="shared" si="16"/>
        <v>-13.356000000000222</v>
      </c>
    </row>
    <row r="424" spans="32:34" x14ac:dyDescent="0.25">
      <c r="AF424">
        <v>42.1</v>
      </c>
      <c r="AG424">
        <v>3847.5171999999998</v>
      </c>
      <c r="AH424">
        <f t="shared" si="16"/>
        <v>-13.342800000000352</v>
      </c>
    </row>
    <row r="425" spans="32:34" x14ac:dyDescent="0.25">
      <c r="AF425">
        <v>42.2</v>
      </c>
      <c r="AG425">
        <v>3847.5304000000001</v>
      </c>
      <c r="AH425">
        <f t="shared" si="16"/>
        <v>-13.329600000000028</v>
      </c>
    </row>
    <row r="426" spans="32:34" x14ac:dyDescent="0.25">
      <c r="AF426">
        <v>42.3</v>
      </c>
      <c r="AG426">
        <v>3847.5436</v>
      </c>
      <c r="AH426">
        <f t="shared" si="16"/>
        <v>-13.316400000000158</v>
      </c>
    </row>
    <row r="427" spans="32:34" x14ac:dyDescent="0.25">
      <c r="AF427">
        <v>42.4</v>
      </c>
      <c r="AG427">
        <v>3847.5567999999998</v>
      </c>
      <c r="AH427">
        <f t="shared" si="16"/>
        <v>-13.303200000000288</v>
      </c>
    </row>
    <row r="428" spans="32:34" x14ac:dyDescent="0.25">
      <c r="AF428">
        <v>42.5</v>
      </c>
      <c r="AG428">
        <v>3847.5699999999902</v>
      </c>
      <c r="AH428">
        <f t="shared" si="16"/>
        <v>-13.290000000009968</v>
      </c>
    </row>
    <row r="429" spans="32:34" x14ac:dyDescent="0.25">
      <c r="AF429">
        <v>42.6</v>
      </c>
      <c r="AG429">
        <v>3847.5832</v>
      </c>
      <c r="AH429">
        <f t="shared" si="16"/>
        <v>-13.276800000000094</v>
      </c>
    </row>
    <row r="430" spans="32:34" x14ac:dyDescent="0.25">
      <c r="AF430">
        <v>42.7</v>
      </c>
      <c r="AG430">
        <v>3847.5963999999999</v>
      </c>
      <c r="AH430">
        <f t="shared" si="16"/>
        <v>-13.263600000000224</v>
      </c>
    </row>
    <row r="431" spans="32:34" x14ac:dyDescent="0.25">
      <c r="AF431">
        <v>42.8</v>
      </c>
      <c r="AG431">
        <v>3847.6095999999998</v>
      </c>
      <c r="AH431">
        <f t="shared" si="16"/>
        <v>-13.250400000000354</v>
      </c>
    </row>
    <row r="432" spans="32:34" x14ac:dyDescent="0.25">
      <c r="AF432">
        <v>42.9</v>
      </c>
      <c r="AG432">
        <v>3847.6228000000001</v>
      </c>
      <c r="AH432">
        <f t="shared" si="16"/>
        <v>-13.23720000000003</v>
      </c>
    </row>
    <row r="433" spans="32:34" x14ac:dyDescent="0.25">
      <c r="AF433">
        <v>43</v>
      </c>
      <c r="AG433">
        <v>3847.636</v>
      </c>
      <c r="AH433">
        <f t="shared" si="16"/>
        <v>-13.22400000000016</v>
      </c>
    </row>
    <row r="434" spans="32:34" x14ac:dyDescent="0.25">
      <c r="AF434">
        <v>43.1</v>
      </c>
      <c r="AG434">
        <v>3847.6491999999998</v>
      </c>
      <c r="AH434">
        <f t="shared" si="16"/>
        <v>-13.21080000000029</v>
      </c>
    </row>
    <row r="435" spans="32:34" x14ac:dyDescent="0.25">
      <c r="AF435">
        <v>43.2</v>
      </c>
      <c r="AG435">
        <v>3847.6624000000002</v>
      </c>
      <c r="AH435">
        <f t="shared" si="16"/>
        <v>-13.197599999999966</v>
      </c>
    </row>
    <row r="436" spans="32:34" x14ac:dyDescent="0.25">
      <c r="AF436">
        <v>43.3</v>
      </c>
      <c r="AG436">
        <v>3847.6756</v>
      </c>
      <c r="AH436">
        <f t="shared" si="16"/>
        <v>-13.184400000000096</v>
      </c>
    </row>
    <row r="437" spans="32:34" x14ac:dyDescent="0.25">
      <c r="AF437">
        <v>43.4</v>
      </c>
      <c r="AG437">
        <v>3847.6887999999999</v>
      </c>
      <c r="AH437">
        <f t="shared" si="16"/>
        <v>-13.171200000000226</v>
      </c>
    </row>
    <row r="438" spans="32:34" x14ac:dyDescent="0.25">
      <c r="AF438">
        <v>43.5</v>
      </c>
      <c r="AG438">
        <v>3847.7020000000002</v>
      </c>
      <c r="AH438">
        <f t="shared" si="16"/>
        <v>-13.157999999999902</v>
      </c>
    </row>
    <row r="439" spans="32:34" x14ac:dyDescent="0.25">
      <c r="AF439">
        <v>43.6</v>
      </c>
      <c r="AG439">
        <v>3847.7152000000001</v>
      </c>
      <c r="AH439">
        <f t="shared" si="16"/>
        <v>-13.144800000000032</v>
      </c>
    </row>
    <row r="440" spans="32:34" x14ac:dyDescent="0.25">
      <c r="AF440">
        <v>43.7</v>
      </c>
      <c r="AG440">
        <v>3847.7284</v>
      </c>
      <c r="AH440">
        <f t="shared" si="16"/>
        <v>-13.131600000000162</v>
      </c>
    </row>
    <row r="441" spans="32:34" x14ac:dyDescent="0.25">
      <c r="AF441">
        <v>43.8</v>
      </c>
      <c r="AG441">
        <v>3847.7415999999998</v>
      </c>
      <c r="AH441">
        <f t="shared" si="16"/>
        <v>-13.118400000000292</v>
      </c>
    </row>
    <row r="442" spans="32:34" x14ac:dyDescent="0.25">
      <c r="AF442">
        <v>43.9</v>
      </c>
      <c r="AG442">
        <v>3847.7548000000002</v>
      </c>
      <c r="AH442">
        <f t="shared" si="16"/>
        <v>-13.105199999999968</v>
      </c>
    </row>
    <row r="443" spans="32:34" x14ac:dyDescent="0.25">
      <c r="AF443">
        <v>44</v>
      </c>
      <c r="AG443">
        <v>3847.768</v>
      </c>
      <c r="AH443">
        <f t="shared" si="16"/>
        <v>-13.092000000000098</v>
      </c>
    </row>
    <row r="444" spans="32:34" x14ac:dyDescent="0.25">
      <c r="AF444">
        <v>44.1</v>
      </c>
      <c r="AG444">
        <v>3847.7811999999999</v>
      </c>
      <c r="AH444">
        <f t="shared" si="16"/>
        <v>-13.078800000000228</v>
      </c>
    </row>
    <row r="445" spans="32:34" x14ac:dyDescent="0.25">
      <c r="AF445">
        <v>44.2</v>
      </c>
      <c r="AG445">
        <v>3847.7944000000002</v>
      </c>
      <c r="AH445">
        <f t="shared" si="16"/>
        <v>-13.065599999999904</v>
      </c>
    </row>
    <row r="446" spans="32:34" x14ac:dyDescent="0.25">
      <c r="AF446">
        <v>44.3</v>
      </c>
      <c r="AG446">
        <v>3847.8076000000001</v>
      </c>
      <c r="AH446">
        <f t="shared" si="16"/>
        <v>-13.052400000000034</v>
      </c>
    </row>
    <row r="447" spans="32:34" x14ac:dyDescent="0.25">
      <c r="AF447">
        <v>44.4</v>
      </c>
      <c r="AG447">
        <v>3847.8208</v>
      </c>
      <c r="AH447">
        <f t="shared" si="16"/>
        <v>-13.039200000000164</v>
      </c>
    </row>
    <row r="448" spans="32:34" x14ac:dyDescent="0.25">
      <c r="AF448">
        <v>44.5</v>
      </c>
      <c r="AG448">
        <v>3847.8339999999998</v>
      </c>
      <c r="AH448">
        <f t="shared" si="16"/>
        <v>-13.026000000000295</v>
      </c>
    </row>
    <row r="449" spans="32:34" x14ac:dyDescent="0.25">
      <c r="AF449">
        <v>44.6</v>
      </c>
      <c r="AG449">
        <v>3847.8472000000002</v>
      </c>
      <c r="AH449">
        <f t="shared" si="16"/>
        <v>-13.01279999999997</v>
      </c>
    </row>
    <row r="450" spans="32:34" x14ac:dyDescent="0.25">
      <c r="AF450">
        <v>44.7</v>
      </c>
      <c r="AG450">
        <v>3847.8604</v>
      </c>
      <c r="AH450">
        <f t="shared" si="16"/>
        <v>-12.9996000000001</v>
      </c>
    </row>
    <row r="451" spans="32:34" x14ac:dyDescent="0.25">
      <c r="AF451">
        <v>44.8</v>
      </c>
      <c r="AG451">
        <v>3847.8735999999999</v>
      </c>
      <c r="AH451">
        <f t="shared" si="16"/>
        <v>-12.986400000000231</v>
      </c>
    </row>
    <row r="452" spans="32:34" x14ac:dyDescent="0.25">
      <c r="AF452">
        <v>44.9</v>
      </c>
      <c r="AG452">
        <v>3847.8868000000002</v>
      </c>
      <c r="AH452">
        <f t="shared" ref="AH452:AH515" si="17">AG452-MAX($AG$3:$AG$2353)</f>
        <v>-12.973199999999906</v>
      </c>
    </row>
    <row r="453" spans="32:34" x14ac:dyDescent="0.25">
      <c r="AF453">
        <v>45</v>
      </c>
      <c r="AG453">
        <v>3847.9</v>
      </c>
      <c r="AH453">
        <f t="shared" si="17"/>
        <v>-12.960000000000036</v>
      </c>
    </row>
    <row r="454" spans="32:34" x14ac:dyDescent="0.25">
      <c r="AF454">
        <v>45.1</v>
      </c>
      <c r="AG454">
        <v>3847.9288000000001</v>
      </c>
      <c r="AH454">
        <f t="shared" si="17"/>
        <v>-12.93119999999999</v>
      </c>
    </row>
    <row r="455" spans="32:34" x14ac:dyDescent="0.25">
      <c r="AF455">
        <v>45.2</v>
      </c>
      <c r="AG455">
        <v>3847.9576000000002</v>
      </c>
      <c r="AH455">
        <f t="shared" si="17"/>
        <v>-12.902399999999943</v>
      </c>
    </row>
    <row r="456" spans="32:34" x14ac:dyDescent="0.25">
      <c r="AF456">
        <v>45.3</v>
      </c>
      <c r="AG456">
        <v>3847.9863999999998</v>
      </c>
      <c r="AH456">
        <f t="shared" si="17"/>
        <v>-12.873600000000351</v>
      </c>
    </row>
    <row r="457" spans="32:34" x14ac:dyDescent="0.25">
      <c r="AF457">
        <v>45.4</v>
      </c>
      <c r="AG457">
        <v>3848.0151999999998</v>
      </c>
      <c r="AH457">
        <f t="shared" si="17"/>
        <v>-12.844800000000305</v>
      </c>
    </row>
    <row r="458" spans="32:34" x14ac:dyDescent="0.25">
      <c r="AF458">
        <v>45.5</v>
      </c>
      <c r="AG458">
        <v>3848.0439999999999</v>
      </c>
      <c r="AH458">
        <f t="shared" si="17"/>
        <v>-12.816000000000258</v>
      </c>
    </row>
    <row r="459" spans="32:34" x14ac:dyDescent="0.25">
      <c r="AF459">
        <v>45.6</v>
      </c>
      <c r="AG459">
        <v>3848.0727999999999</v>
      </c>
      <c r="AH459">
        <f t="shared" si="17"/>
        <v>-12.787200000000212</v>
      </c>
    </row>
    <row r="460" spans="32:34" x14ac:dyDescent="0.25">
      <c r="AF460">
        <v>45.7</v>
      </c>
      <c r="AG460">
        <v>3848.1016</v>
      </c>
      <c r="AH460">
        <f t="shared" si="17"/>
        <v>-12.758400000000165</v>
      </c>
    </row>
    <row r="461" spans="32:34" x14ac:dyDescent="0.25">
      <c r="AF461">
        <v>45.8</v>
      </c>
      <c r="AG461">
        <v>3848.1304</v>
      </c>
      <c r="AH461">
        <f t="shared" si="17"/>
        <v>-12.729600000000119</v>
      </c>
    </row>
    <row r="462" spans="32:34" x14ac:dyDescent="0.25">
      <c r="AF462">
        <v>45.9</v>
      </c>
      <c r="AG462">
        <v>3848.1592000000001</v>
      </c>
      <c r="AH462">
        <f t="shared" si="17"/>
        <v>-12.700800000000072</v>
      </c>
    </row>
    <row r="463" spans="32:34" x14ac:dyDescent="0.25">
      <c r="AF463">
        <v>46</v>
      </c>
      <c r="AG463">
        <v>3848.1880000000001</v>
      </c>
      <c r="AH463">
        <f t="shared" si="17"/>
        <v>-12.672000000000025</v>
      </c>
    </row>
    <row r="464" spans="32:34" x14ac:dyDescent="0.25">
      <c r="AF464">
        <v>46.1</v>
      </c>
      <c r="AG464">
        <v>3848.2168000000001</v>
      </c>
      <c r="AH464">
        <f t="shared" si="17"/>
        <v>-12.643199999999979</v>
      </c>
    </row>
    <row r="465" spans="32:34" x14ac:dyDescent="0.25">
      <c r="AF465">
        <v>46.2</v>
      </c>
      <c r="AG465">
        <v>3848.2456000000002</v>
      </c>
      <c r="AH465">
        <f t="shared" si="17"/>
        <v>-12.614399999999932</v>
      </c>
    </row>
    <row r="466" spans="32:34" x14ac:dyDescent="0.25">
      <c r="AF466">
        <v>46.3</v>
      </c>
      <c r="AG466">
        <v>3848.2743999999998</v>
      </c>
      <c r="AH466">
        <f t="shared" si="17"/>
        <v>-12.585600000000341</v>
      </c>
    </row>
    <row r="467" spans="32:34" x14ac:dyDescent="0.25">
      <c r="AF467">
        <v>46.4</v>
      </c>
      <c r="AG467">
        <v>3848.3031999999998</v>
      </c>
      <c r="AH467">
        <f t="shared" si="17"/>
        <v>-12.556800000000294</v>
      </c>
    </row>
    <row r="468" spans="32:34" x14ac:dyDescent="0.25">
      <c r="AF468">
        <v>46.5</v>
      </c>
      <c r="AG468">
        <v>3848.3319999999999</v>
      </c>
      <c r="AH468">
        <f t="shared" si="17"/>
        <v>-12.528000000000247</v>
      </c>
    </row>
    <row r="469" spans="32:34" x14ac:dyDescent="0.25">
      <c r="AF469">
        <v>46.6</v>
      </c>
      <c r="AG469">
        <v>3848.3607999999999</v>
      </c>
      <c r="AH469">
        <f t="shared" si="17"/>
        <v>-12.499200000000201</v>
      </c>
    </row>
    <row r="470" spans="32:34" x14ac:dyDescent="0.25">
      <c r="AF470">
        <v>46.7</v>
      </c>
      <c r="AG470">
        <v>3848.3896</v>
      </c>
      <c r="AH470">
        <f t="shared" si="17"/>
        <v>-12.470400000000154</v>
      </c>
    </row>
    <row r="471" spans="32:34" x14ac:dyDescent="0.25">
      <c r="AF471">
        <v>46.8</v>
      </c>
      <c r="AG471">
        <v>3848.4184</v>
      </c>
      <c r="AH471">
        <f t="shared" si="17"/>
        <v>-12.441600000000108</v>
      </c>
    </row>
    <row r="472" spans="32:34" x14ac:dyDescent="0.25">
      <c r="AF472">
        <v>46.9</v>
      </c>
      <c r="AG472">
        <v>3848.4472000000001</v>
      </c>
      <c r="AH472">
        <f t="shared" si="17"/>
        <v>-12.412800000000061</v>
      </c>
    </row>
    <row r="473" spans="32:34" x14ac:dyDescent="0.25">
      <c r="AF473">
        <v>47</v>
      </c>
      <c r="AG473">
        <v>3848.4760000000001</v>
      </c>
      <c r="AH473">
        <f t="shared" si="17"/>
        <v>-12.384000000000015</v>
      </c>
    </row>
    <row r="474" spans="32:34" x14ac:dyDescent="0.25">
      <c r="AF474">
        <v>47.1</v>
      </c>
      <c r="AG474">
        <v>3848.5048000000002</v>
      </c>
      <c r="AH474">
        <f t="shared" si="17"/>
        <v>-12.355199999999968</v>
      </c>
    </row>
    <row r="475" spans="32:34" x14ac:dyDescent="0.25">
      <c r="AF475">
        <v>47.2</v>
      </c>
      <c r="AG475">
        <v>3848.5336000000002</v>
      </c>
      <c r="AH475">
        <f t="shared" si="17"/>
        <v>-12.326399999999921</v>
      </c>
    </row>
    <row r="476" spans="32:34" x14ac:dyDescent="0.25">
      <c r="AF476">
        <v>47.3</v>
      </c>
      <c r="AG476">
        <v>3848.5623999999998</v>
      </c>
      <c r="AH476">
        <f t="shared" si="17"/>
        <v>-12.29760000000033</v>
      </c>
    </row>
    <row r="477" spans="32:34" x14ac:dyDescent="0.25">
      <c r="AF477">
        <v>47.4</v>
      </c>
      <c r="AG477">
        <v>3848.5911999999998</v>
      </c>
      <c r="AH477">
        <f t="shared" si="17"/>
        <v>-12.268800000000283</v>
      </c>
    </row>
    <row r="478" spans="32:34" x14ac:dyDescent="0.25">
      <c r="AF478">
        <v>47.5</v>
      </c>
      <c r="AG478">
        <v>3848.62</v>
      </c>
      <c r="AH478">
        <f t="shared" si="17"/>
        <v>-12.240000000000236</v>
      </c>
    </row>
    <row r="479" spans="32:34" x14ac:dyDescent="0.25">
      <c r="AF479">
        <v>47.6</v>
      </c>
      <c r="AG479">
        <v>3848.6487999999999</v>
      </c>
      <c r="AH479">
        <f t="shared" si="17"/>
        <v>-12.21120000000019</v>
      </c>
    </row>
    <row r="480" spans="32:34" x14ac:dyDescent="0.25">
      <c r="AF480">
        <v>47.7</v>
      </c>
      <c r="AG480">
        <v>3848.6776</v>
      </c>
      <c r="AH480">
        <f t="shared" si="17"/>
        <v>-12.182400000000143</v>
      </c>
    </row>
    <row r="481" spans="32:34" x14ac:dyDescent="0.25">
      <c r="AF481">
        <v>47.8</v>
      </c>
      <c r="AG481">
        <v>3848.7064</v>
      </c>
      <c r="AH481">
        <f t="shared" si="17"/>
        <v>-12.153600000000097</v>
      </c>
    </row>
    <row r="482" spans="32:34" x14ac:dyDescent="0.25">
      <c r="AF482">
        <v>47.9</v>
      </c>
      <c r="AG482">
        <v>3848.7352000000001</v>
      </c>
      <c r="AH482">
        <f t="shared" si="17"/>
        <v>-12.12480000000005</v>
      </c>
    </row>
    <row r="483" spans="32:34" x14ac:dyDescent="0.25">
      <c r="AF483">
        <v>48</v>
      </c>
      <c r="AG483">
        <v>3848.7640000000001</v>
      </c>
      <c r="AH483">
        <f t="shared" si="17"/>
        <v>-12.096000000000004</v>
      </c>
    </row>
    <row r="484" spans="32:34" x14ac:dyDescent="0.25">
      <c r="AF484">
        <v>48.1</v>
      </c>
      <c r="AG484">
        <v>3848.7928000000002</v>
      </c>
      <c r="AH484">
        <f t="shared" si="17"/>
        <v>-12.067199999999957</v>
      </c>
    </row>
    <row r="485" spans="32:34" x14ac:dyDescent="0.25">
      <c r="AF485">
        <v>48.2</v>
      </c>
      <c r="AG485">
        <v>3848.8216000000002</v>
      </c>
      <c r="AH485">
        <f t="shared" si="17"/>
        <v>-12.038399999999911</v>
      </c>
    </row>
    <row r="486" spans="32:34" x14ac:dyDescent="0.25">
      <c r="AF486">
        <v>48.3</v>
      </c>
      <c r="AG486">
        <v>3848.8503999999998</v>
      </c>
      <c r="AH486">
        <f t="shared" si="17"/>
        <v>-12.009600000000319</v>
      </c>
    </row>
    <row r="487" spans="32:34" x14ac:dyDescent="0.25">
      <c r="AF487">
        <v>48.4</v>
      </c>
      <c r="AG487">
        <v>3848.8791999999999</v>
      </c>
      <c r="AH487">
        <f t="shared" si="17"/>
        <v>-11.980800000000272</v>
      </c>
    </row>
    <row r="488" spans="32:34" x14ac:dyDescent="0.25">
      <c r="AF488">
        <v>48.5</v>
      </c>
      <c r="AG488">
        <v>3848.9079999999999</v>
      </c>
      <c r="AH488">
        <f t="shared" si="17"/>
        <v>-11.952000000000226</v>
      </c>
    </row>
    <row r="489" spans="32:34" x14ac:dyDescent="0.25">
      <c r="AF489">
        <v>48.6</v>
      </c>
      <c r="AG489">
        <v>3848.9367999999999</v>
      </c>
      <c r="AH489">
        <f t="shared" si="17"/>
        <v>-11.923200000000179</v>
      </c>
    </row>
    <row r="490" spans="32:34" x14ac:dyDescent="0.25">
      <c r="AF490">
        <v>48.7</v>
      </c>
      <c r="AG490">
        <v>3848.9656</v>
      </c>
      <c r="AH490">
        <f t="shared" si="17"/>
        <v>-11.894400000000132</v>
      </c>
    </row>
    <row r="491" spans="32:34" x14ac:dyDescent="0.25">
      <c r="AF491">
        <v>48.8</v>
      </c>
      <c r="AG491">
        <v>3848.9944</v>
      </c>
      <c r="AH491">
        <f t="shared" si="17"/>
        <v>-11.865600000000086</v>
      </c>
    </row>
    <row r="492" spans="32:34" x14ac:dyDescent="0.25">
      <c r="AF492">
        <v>48.9</v>
      </c>
      <c r="AG492">
        <v>3849.0232000000001</v>
      </c>
      <c r="AH492">
        <f t="shared" si="17"/>
        <v>-11.836800000000039</v>
      </c>
    </row>
    <row r="493" spans="32:34" x14ac:dyDescent="0.25">
      <c r="AF493">
        <v>49</v>
      </c>
      <c r="AG493">
        <v>3849.0520000000001</v>
      </c>
      <c r="AH493">
        <f t="shared" si="17"/>
        <v>-11.807999999999993</v>
      </c>
    </row>
    <row r="494" spans="32:34" x14ac:dyDescent="0.25">
      <c r="AF494">
        <v>49.1</v>
      </c>
      <c r="AG494">
        <v>3849.0808000000002</v>
      </c>
      <c r="AH494">
        <f t="shared" si="17"/>
        <v>-11.779199999999946</v>
      </c>
    </row>
    <row r="495" spans="32:34" x14ac:dyDescent="0.25">
      <c r="AF495">
        <v>49.2</v>
      </c>
      <c r="AG495">
        <v>3849.1095999999998</v>
      </c>
      <c r="AH495">
        <f t="shared" si="17"/>
        <v>-11.750400000000354</v>
      </c>
    </row>
    <row r="496" spans="32:34" x14ac:dyDescent="0.25">
      <c r="AF496">
        <v>49.3</v>
      </c>
      <c r="AG496">
        <v>3849.1383999999998</v>
      </c>
      <c r="AH496">
        <f t="shared" si="17"/>
        <v>-11.721600000000308</v>
      </c>
    </row>
    <row r="497" spans="32:34" x14ac:dyDescent="0.25">
      <c r="AF497">
        <v>49.4</v>
      </c>
      <c r="AG497">
        <v>3849.1671999999999</v>
      </c>
      <c r="AH497">
        <f t="shared" si="17"/>
        <v>-11.692800000000261</v>
      </c>
    </row>
    <row r="498" spans="32:34" x14ac:dyDescent="0.25">
      <c r="AF498">
        <v>49.5</v>
      </c>
      <c r="AG498">
        <v>3849.1959999999999</v>
      </c>
      <c r="AH498">
        <f t="shared" si="17"/>
        <v>-11.664000000000215</v>
      </c>
    </row>
    <row r="499" spans="32:34" x14ac:dyDescent="0.25">
      <c r="AF499">
        <v>49.6</v>
      </c>
      <c r="AG499">
        <v>3849.2248</v>
      </c>
      <c r="AH499">
        <f t="shared" si="17"/>
        <v>-11.635200000000168</v>
      </c>
    </row>
    <row r="500" spans="32:34" x14ac:dyDescent="0.25">
      <c r="AF500">
        <v>49.7</v>
      </c>
      <c r="AG500">
        <v>3849.2536</v>
      </c>
      <c r="AH500">
        <f t="shared" si="17"/>
        <v>-11.606400000000122</v>
      </c>
    </row>
    <row r="501" spans="32:34" x14ac:dyDescent="0.25">
      <c r="AF501">
        <v>49.8</v>
      </c>
      <c r="AG501">
        <v>3849.2824000000001</v>
      </c>
      <c r="AH501">
        <f t="shared" si="17"/>
        <v>-11.577600000000075</v>
      </c>
    </row>
    <row r="502" spans="32:34" x14ac:dyDescent="0.25">
      <c r="AF502">
        <v>49.9</v>
      </c>
      <c r="AG502">
        <v>3849.3112000000001</v>
      </c>
      <c r="AH502">
        <f t="shared" si="17"/>
        <v>-11.548800000000028</v>
      </c>
    </row>
    <row r="503" spans="32:34" x14ac:dyDescent="0.25">
      <c r="AF503">
        <v>50</v>
      </c>
      <c r="AG503">
        <v>3849.34</v>
      </c>
      <c r="AH503">
        <f t="shared" si="17"/>
        <v>-11.519999999999982</v>
      </c>
    </row>
    <row r="504" spans="32:34" x14ac:dyDescent="0.25">
      <c r="AF504">
        <v>50.1</v>
      </c>
      <c r="AG504">
        <v>3849.3575999999998</v>
      </c>
      <c r="AH504">
        <f t="shared" si="17"/>
        <v>-11.502400000000307</v>
      </c>
    </row>
    <row r="505" spans="32:34" x14ac:dyDescent="0.25">
      <c r="AF505">
        <v>50.2</v>
      </c>
      <c r="AG505">
        <v>3849.3751999999999</v>
      </c>
      <c r="AH505">
        <f t="shared" si="17"/>
        <v>-11.484800000000178</v>
      </c>
    </row>
    <row r="506" spans="32:34" x14ac:dyDescent="0.25">
      <c r="AF506">
        <v>50.3</v>
      </c>
      <c r="AG506">
        <v>3849.3928000000001</v>
      </c>
      <c r="AH506">
        <f t="shared" si="17"/>
        <v>-11.467200000000048</v>
      </c>
    </row>
    <row r="507" spans="32:34" x14ac:dyDescent="0.25">
      <c r="AF507">
        <v>50.4</v>
      </c>
      <c r="AG507">
        <v>3849.4104000000002</v>
      </c>
      <c r="AH507">
        <f t="shared" si="17"/>
        <v>-11.449599999999919</v>
      </c>
    </row>
    <row r="508" spans="32:34" x14ac:dyDescent="0.25">
      <c r="AF508">
        <v>50.5</v>
      </c>
      <c r="AG508">
        <v>3849.4279999999999</v>
      </c>
      <c r="AH508">
        <f t="shared" si="17"/>
        <v>-11.432000000000244</v>
      </c>
    </row>
    <row r="509" spans="32:34" x14ac:dyDescent="0.25">
      <c r="AF509">
        <v>50.6</v>
      </c>
      <c r="AG509">
        <v>3849.4456</v>
      </c>
      <c r="AH509">
        <f t="shared" si="17"/>
        <v>-11.414400000000114</v>
      </c>
    </row>
    <row r="510" spans="32:34" x14ac:dyDescent="0.25">
      <c r="AF510">
        <v>50.7</v>
      </c>
      <c r="AG510">
        <v>3849.4632000000001</v>
      </c>
      <c r="AH510">
        <f t="shared" si="17"/>
        <v>-11.396799999999985</v>
      </c>
    </row>
    <row r="511" spans="32:34" x14ac:dyDescent="0.25">
      <c r="AF511">
        <v>50.8</v>
      </c>
      <c r="AG511">
        <v>3849.4807999999998</v>
      </c>
      <c r="AH511">
        <f t="shared" si="17"/>
        <v>-11.37920000000031</v>
      </c>
    </row>
    <row r="512" spans="32:34" x14ac:dyDescent="0.25">
      <c r="AF512">
        <v>50.9</v>
      </c>
      <c r="AG512">
        <v>3849.4983999999999</v>
      </c>
      <c r="AH512">
        <f t="shared" si="17"/>
        <v>-11.36160000000018</v>
      </c>
    </row>
    <row r="513" spans="32:34" x14ac:dyDescent="0.25">
      <c r="AF513">
        <v>51</v>
      </c>
      <c r="AG513">
        <v>3849.5160000000001</v>
      </c>
      <c r="AH513">
        <f t="shared" si="17"/>
        <v>-11.344000000000051</v>
      </c>
    </row>
    <row r="514" spans="32:34" x14ac:dyDescent="0.25">
      <c r="AF514">
        <v>51.1</v>
      </c>
      <c r="AG514">
        <v>3849.5336000000002</v>
      </c>
      <c r="AH514">
        <f t="shared" si="17"/>
        <v>-11.326399999999921</v>
      </c>
    </row>
    <row r="515" spans="32:34" x14ac:dyDescent="0.25">
      <c r="AF515">
        <v>51.2</v>
      </c>
      <c r="AG515">
        <v>3849.5511999999999</v>
      </c>
      <c r="AH515">
        <f t="shared" si="17"/>
        <v>-11.308800000000247</v>
      </c>
    </row>
    <row r="516" spans="32:34" x14ac:dyDescent="0.25">
      <c r="AF516">
        <v>51.3</v>
      </c>
      <c r="AG516">
        <v>3849.5688</v>
      </c>
      <c r="AH516">
        <f t="shared" ref="AH516:AH579" si="18">AG516-MAX($AG$3:$AG$2353)</f>
        <v>-11.291200000000117</v>
      </c>
    </row>
    <row r="517" spans="32:34" x14ac:dyDescent="0.25">
      <c r="AF517">
        <v>51.4</v>
      </c>
      <c r="AG517">
        <v>3849.5864000000001</v>
      </c>
      <c r="AH517">
        <f t="shared" si="18"/>
        <v>-11.273599999999988</v>
      </c>
    </row>
    <row r="518" spans="32:34" x14ac:dyDescent="0.25">
      <c r="AF518">
        <v>51.5</v>
      </c>
      <c r="AG518">
        <v>3849.6039999999998</v>
      </c>
      <c r="AH518">
        <f t="shared" si="18"/>
        <v>-11.256000000000313</v>
      </c>
    </row>
    <row r="519" spans="32:34" x14ac:dyDescent="0.25">
      <c r="AF519">
        <v>51.6</v>
      </c>
      <c r="AG519">
        <v>3849.6215999999999</v>
      </c>
      <c r="AH519">
        <f t="shared" si="18"/>
        <v>-11.238400000000183</v>
      </c>
    </row>
    <row r="520" spans="32:34" x14ac:dyDescent="0.25">
      <c r="AF520">
        <v>51.7</v>
      </c>
      <c r="AG520">
        <v>3849.6392000000001</v>
      </c>
      <c r="AH520">
        <f t="shared" si="18"/>
        <v>-11.220800000000054</v>
      </c>
    </row>
    <row r="521" spans="32:34" x14ac:dyDescent="0.25">
      <c r="AF521">
        <v>51.8</v>
      </c>
      <c r="AG521">
        <v>3849.6568000000002</v>
      </c>
      <c r="AH521">
        <f t="shared" si="18"/>
        <v>-11.203199999999924</v>
      </c>
    </row>
    <row r="522" spans="32:34" x14ac:dyDescent="0.25">
      <c r="AF522">
        <v>51.9</v>
      </c>
      <c r="AG522">
        <v>3849.6743999999999</v>
      </c>
      <c r="AH522">
        <f t="shared" si="18"/>
        <v>-11.18560000000025</v>
      </c>
    </row>
    <row r="523" spans="32:34" x14ac:dyDescent="0.25">
      <c r="AF523">
        <v>52</v>
      </c>
      <c r="AG523">
        <v>3849.692</v>
      </c>
      <c r="AH523">
        <f t="shared" si="18"/>
        <v>-11.16800000000012</v>
      </c>
    </row>
    <row r="524" spans="32:34" x14ac:dyDescent="0.25">
      <c r="AF524">
        <v>52.1</v>
      </c>
      <c r="AG524">
        <v>3849.7096000000001</v>
      </c>
      <c r="AH524">
        <f t="shared" si="18"/>
        <v>-11.150399999999991</v>
      </c>
    </row>
    <row r="525" spans="32:34" x14ac:dyDescent="0.25">
      <c r="AF525">
        <v>52.2</v>
      </c>
      <c r="AG525">
        <v>3849.7271999999998</v>
      </c>
      <c r="AH525">
        <f t="shared" si="18"/>
        <v>-11.132800000000316</v>
      </c>
    </row>
    <row r="526" spans="32:34" x14ac:dyDescent="0.25">
      <c r="AF526">
        <v>52.3</v>
      </c>
      <c r="AG526">
        <v>3849.7447999999999</v>
      </c>
      <c r="AH526">
        <f t="shared" si="18"/>
        <v>-11.115200000000186</v>
      </c>
    </row>
    <row r="527" spans="32:34" x14ac:dyDescent="0.25">
      <c r="AF527">
        <v>52.4</v>
      </c>
      <c r="AG527">
        <v>3849.7624000000001</v>
      </c>
      <c r="AH527">
        <f t="shared" si="18"/>
        <v>-11.097600000000057</v>
      </c>
    </row>
    <row r="528" spans="32:34" x14ac:dyDescent="0.25">
      <c r="AF528">
        <v>52.5</v>
      </c>
      <c r="AG528">
        <v>3849.7799999999902</v>
      </c>
      <c r="AH528">
        <f t="shared" si="18"/>
        <v>-11.080000000009932</v>
      </c>
    </row>
    <row r="529" spans="32:34" x14ac:dyDescent="0.25">
      <c r="AF529">
        <v>52.6</v>
      </c>
      <c r="AG529">
        <v>3849.7975999999999</v>
      </c>
      <c r="AH529">
        <f t="shared" si="18"/>
        <v>-11.062400000000252</v>
      </c>
    </row>
    <row r="530" spans="32:34" x14ac:dyDescent="0.25">
      <c r="AF530">
        <v>52.7</v>
      </c>
      <c r="AG530">
        <v>3849.8152</v>
      </c>
      <c r="AH530">
        <f t="shared" si="18"/>
        <v>-11.044800000000123</v>
      </c>
    </row>
    <row r="531" spans="32:34" x14ac:dyDescent="0.25">
      <c r="AF531">
        <v>52.8</v>
      </c>
      <c r="AG531">
        <v>3849.8328000000001</v>
      </c>
      <c r="AH531">
        <f t="shared" si="18"/>
        <v>-11.027199999999993</v>
      </c>
    </row>
    <row r="532" spans="32:34" x14ac:dyDescent="0.25">
      <c r="AF532">
        <v>52.9</v>
      </c>
      <c r="AG532">
        <v>3849.8503999999998</v>
      </c>
      <c r="AH532">
        <f t="shared" si="18"/>
        <v>-11.009600000000319</v>
      </c>
    </row>
    <row r="533" spans="32:34" x14ac:dyDescent="0.25">
      <c r="AF533">
        <v>53</v>
      </c>
      <c r="AG533">
        <v>3849.8679999999999</v>
      </c>
      <c r="AH533">
        <f t="shared" si="18"/>
        <v>-10.992000000000189</v>
      </c>
    </row>
    <row r="534" spans="32:34" x14ac:dyDescent="0.25">
      <c r="AF534">
        <v>53.1</v>
      </c>
      <c r="AG534">
        <v>3849.8856000000001</v>
      </c>
      <c r="AH534">
        <f t="shared" si="18"/>
        <v>-10.97440000000006</v>
      </c>
    </row>
    <row r="535" spans="32:34" x14ac:dyDescent="0.25">
      <c r="AF535">
        <v>53.2</v>
      </c>
      <c r="AG535">
        <v>3849.9031999999902</v>
      </c>
      <c r="AH535">
        <f t="shared" si="18"/>
        <v>-10.956800000009935</v>
      </c>
    </row>
    <row r="536" spans="32:34" x14ac:dyDescent="0.25">
      <c r="AF536">
        <v>53.3</v>
      </c>
      <c r="AG536">
        <v>3849.9207999999999</v>
      </c>
      <c r="AH536">
        <f t="shared" si="18"/>
        <v>-10.939200000000255</v>
      </c>
    </row>
    <row r="537" spans="32:34" x14ac:dyDescent="0.25">
      <c r="AF537">
        <v>53.4</v>
      </c>
      <c r="AG537">
        <v>3849.9384</v>
      </c>
      <c r="AH537">
        <f t="shared" si="18"/>
        <v>-10.921600000000126</v>
      </c>
    </row>
    <row r="538" spans="32:34" x14ac:dyDescent="0.25">
      <c r="AF538">
        <v>53.5</v>
      </c>
      <c r="AG538">
        <v>3849.9560000000001</v>
      </c>
      <c r="AH538">
        <f t="shared" si="18"/>
        <v>-10.903999999999996</v>
      </c>
    </row>
    <row r="539" spans="32:34" x14ac:dyDescent="0.25">
      <c r="AF539">
        <v>53.6</v>
      </c>
      <c r="AG539">
        <v>3849.9735999999998</v>
      </c>
      <c r="AH539">
        <f t="shared" si="18"/>
        <v>-10.886400000000322</v>
      </c>
    </row>
    <row r="540" spans="32:34" x14ac:dyDescent="0.25">
      <c r="AF540">
        <v>53.7</v>
      </c>
      <c r="AG540">
        <v>3849.9911999999999</v>
      </c>
      <c r="AH540">
        <f t="shared" si="18"/>
        <v>-10.868800000000192</v>
      </c>
    </row>
    <row r="541" spans="32:34" x14ac:dyDescent="0.25">
      <c r="AF541">
        <v>53.8</v>
      </c>
      <c r="AG541">
        <v>3850.0088000000001</v>
      </c>
      <c r="AH541">
        <f t="shared" si="18"/>
        <v>-10.851200000000063</v>
      </c>
    </row>
    <row r="542" spans="32:34" x14ac:dyDescent="0.25">
      <c r="AF542">
        <v>53.9</v>
      </c>
      <c r="AG542">
        <v>3850.0263999999902</v>
      </c>
      <c r="AH542">
        <f t="shared" si="18"/>
        <v>-10.833600000009938</v>
      </c>
    </row>
    <row r="543" spans="32:34" x14ac:dyDescent="0.25">
      <c r="AF543">
        <v>54</v>
      </c>
      <c r="AG543">
        <v>3850.0439999999999</v>
      </c>
      <c r="AH543">
        <f t="shared" si="18"/>
        <v>-10.816000000000258</v>
      </c>
    </row>
    <row r="544" spans="32:34" x14ac:dyDescent="0.25">
      <c r="AF544">
        <v>54.1</v>
      </c>
      <c r="AG544">
        <v>3850.0616</v>
      </c>
      <c r="AH544">
        <f t="shared" si="18"/>
        <v>-10.798400000000129</v>
      </c>
    </row>
    <row r="545" spans="32:34" x14ac:dyDescent="0.25">
      <c r="AF545">
        <v>54.2</v>
      </c>
      <c r="AG545">
        <v>3850.0791999999901</v>
      </c>
      <c r="AH545">
        <f t="shared" si="18"/>
        <v>-10.780800000010004</v>
      </c>
    </row>
    <row r="546" spans="32:34" x14ac:dyDescent="0.25">
      <c r="AF546">
        <v>54.3</v>
      </c>
      <c r="AG546">
        <v>3850.0967999999998</v>
      </c>
      <c r="AH546">
        <f t="shared" si="18"/>
        <v>-10.763200000000325</v>
      </c>
    </row>
    <row r="547" spans="32:34" x14ac:dyDescent="0.25">
      <c r="AF547">
        <v>54.4</v>
      </c>
      <c r="AG547">
        <v>3850.1143999999999</v>
      </c>
      <c r="AH547">
        <f t="shared" si="18"/>
        <v>-10.745600000000195</v>
      </c>
    </row>
    <row r="548" spans="32:34" x14ac:dyDescent="0.25">
      <c r="AF548">
        <v>54.5</v>
      </c>
      <c r="AG548">
        <v>3850.1319999999901</v>
      </c>
      <c r="AH548">
        <f t="shared" si="18"/>
        <v>-10.72800000001007</v>
      </c>
    </row>
    <row r="549" spans="32:34" x14ac:dyDescent="0.25">
      <c r="AF549">
        <v>54.6</v>
      </c>
      <c r="AG549">
        <v>3850.1495999999902</v>
      </c>
      <c r="AH549">
        <f t="shared" si="18"/>
        <v>-10.71040000000994</v>
      </c>
    </row>
    <row r="550" spans="32:34" x14ac:dyDescent="0.25">
      <c r="AF550">
        <v>54.7</v>
      </c>
      <c r="AG550">
        <v>3850.1671999999999</v>
      </c>
      <c r="AH550">
        <f t="shared" si="18"/>
        <v>-10.692800000000261</v>
      </c>
    </row>
    <row r="551" spans="32:34" x14ac:dyDescent="0.25">
      <c r="AF551">
        <v>54.8</v>
      </c>
      <c r="AG551">
        <v>3850.1848</v>
      </c>
      <c r="AH551">
        <f t="shared" si="18"/>
        <v>-10.675200000000132</v>
      </c>
    </row>
    <row r="552" spans="32:34" x14ac:dyDescent="0.25">
      <c r="AF552">
        <v>54.9</v>
      </c>
      <c r="AG552">
        <v>3850.2023999999901</v>
      </c>
      <c r="AH552">
        <f t="shared" si="18"/>
        <v>-10.657600000010007</v>
      </c>
    </row>
    <row r="553" spans="32:34" x14ac:dyDescent="0.25">
      <c r="AF553">
        <v>55</v>
      </c>
      <c r="AG553">
        <v>3850.22</v>
      </c>
      <c r="AH553">
        <f t="shared" si="18"/>
        <v>-10.640000000000327</v>
      </c>
    </row>
    <row r="554" spans="32:34" x14ac:dyDescent="0.25">
      <c r="AF554">
        <v>55.1</v>
      </c>
      <c r="AG554">
        <v>3850.2289999999998</v>
      </c>
      <c r="AH554">
        <f t="shared" si="18"/>
        <v>-10.631000000000313</v>
      </c>
    </row>
    <row r="555" spans="32:34" x14ac:dyDescent="0.25">
      <c r="AF555">
        <v>55.2</v>
      </c>
      <c r="AG555">
        <v>3850.2379999999998</v>
      </c>
      <c r="AH555">
        <f t="shared" si="18"/>
        <v>-10.622000000000298</v>
      </c>
    </row>
    <row r="556" spans="32:34" x14ac:dyDescent="0.25">
      <c r="AF556">
        <v>55.3</v>
      </c>
      <c r="AG556">
        <v>3850.2469999999998</v>
      </c>
      <c r="AH556">
        <f t="shared" si="18"/>
        <v>-10.613000000000284</v>
      </c>
    </row>
    <row r="557" spans="32:34" x14ac:dyDescent="0.25">
      <c r="AF557">
        <v>55.4</v>
      </c>
      <c r="AG557">
        <v>3850.2559999999999</v>
      </c>
      <c r="AH557">
        <f t="shared" si="18"/>
        <v>-10.604000000000269</v>
      </c>
    </row>
    <row r="558" spans="32:34" x14ac:dyDescent="0.25">
      <c r="AF558">
        <v>55.5</v>
      </c>
      <c r="AG558">
        <v>3850.2649999999999</v>
      </c>
      <c r="AH558">
        <f t="shared" si="18"/>
        <v>-10.595000000000255</v>
      </c>
    </row>
    <row r="559" spans="32:34" x14ac:dyDescent="0.25">
      <c r="AF559">
        <v>55.6</v>
      </c>
      <c r="AG559">
        <v>3850.2739999999999</v>
      </c>
      <c r="AH559">
        <f t="shared" si="18"/>
        <v>-10.58600000000024</v>
      </c>
    </row>
    <row r="560" spans="32:34" x14ac:dyDescent="0.25">
      <c r="AF560">
        <v>55.7</v>
      </c>
      <c r="AG560">
        <v>3850.2829999999999</v>
      </c>
      <c r="AH560">
        <f t="shared" si="18"/>
        <v>-10.577000000000226</v>
      </c>
    </row>
    <row r="561" spans="32:34" x14ac:dyDescent="0.25">
      <c r="AF561">
        <v>55.8</v>
      </c>
      <c r="AG561">
        <v>3850.2919999999999</v>
      </c>
      <c r="AH561">
        <f t="shared" si="18"/>
        <v>-10.568000000000211</v>
      </c>
    </row>
    <row r="562" spans="32:34" x14ac:dyDescent="0.25">
      <c r="AF562">
        <v>55.9</v>
      </c>
      <c r="AG562">
        <v>3850.3009999999999</v>
      </c>
      <c r="AH562">
        <f t="shared" si="18"/>
        <v>-10.559000000000196</v>
      </c>
    </row>
    <row r="563" spans="32:34" x14ac:dyDescent="0.25">
      <c r="AF563">
        <v>56</v>
      </c>
      <c r="AG563">
        <v>3850.31</v>
      </c>
      <c r="AH563">
        <f t="shared" si="18"/>
        <v>-10.550000000000182</v>
      </c>
    </row>
    <row r="564" spans="32:34" x14ac:dyDescent="0.25">
      <c r="AF564">
        <v>56.1</v>
      </c>
      <c r="AG564">
        <v>3850.319</v>
      </c>
      <c r="AH564">
        <f t="shared" si="18"/>
        <v>-10.541000000000167</v>
      </c>
    </row>
    <row r="565" spans="32:34" x14ac:dyDescent="0.25">
      <c r="AF565">
        <v>56.2</v>
      </c>
      <c r="AG565">
        <v>3850.328</v>
      </c>
      <c r="AH565">
        <f t="shared" si="18"/>
        <v>-10.532000000000153</v>
      </c>
    </row>
    <row r="566" spans="32:34" x14ac:dyDescent="0.25">
      <c r="AF566">
        <v>56.3</v>
      </c>
      <c r="AG566">
        <v>3850.337</v>
      </c>
      <c r="AH566">
        <f t="shared" si="18"/>
        <v>-10.523000000000138</v>
      </c>
    </row>
    <row r="567" spans="32:34" x14ac:dyDescent="0.25">
      <c r="AF567">
        <v>56.4</v>
      </c>
      <c r="AG567">
        <v>3850.346</v>
      </c>
      <c r="AH567">
        <f t="shared" si="18"/>
        <v>-10.514000000000124</v>
      </c>
    </row>
    <row r="568" spans="32:34" x14ac:dyDescent="0.25">
      <c r="AF568">
        <v>56.5</v>
      </c>
      <c r="AG568">
        <v>3850.355</v>
      </c>
      <c r="AH568">
        <f t="shared" si="18"/>
        <v>-10.505000000000109</v>
      </c>
    </row>
    <row r="569" spans="32:34" x14ac:dyDescent="0.25">
      <c r="AF569">
        <v>56.6</v>
      </c>
      <c r="AG569">
        <v>3850.364</v>
      </c>
      <c r="AH569">
        <f t="shared" si="18"/>
        <v>-10.496000000000095</v>
      </c>
    </row>
    <row r="570" spans="32:34" x14ac:dyDescent="0.25">
      <c r="AF570">
        <v>56.7</v>
      </c>
      <c r="AG570">
        <v>3850.373</v>
      </c>
      <c r="AH570">
        <f t="shared" si="18"/>
        <v>-10.48700000000008</v>
      </c>
    </row>
    <row r="571" spans="32:34" x14ac:dyDescent="0.25">
      <c r="AF571">
        <v>56.8</v>
      </c>
      <c r="AG571">
        <v>3850.3820000000001</v>
      </c>
      <c r="AH571">
        <f t="shared" si="18"/>
        <v>-10.478000000000065</v>
      </c>
    </row>
    <row r="572" spans="32:34" x14ac:dyDescent="0.25">
      <c r="AF572">
        <v>56.9</v>
      </c>
      <c r="AG572">
        <v>3850.3910000000001</v>
      </c>
      <c r="AH572">
        <f t="shared" si="18"/>
        <v>-10.469000000000051</v>
      </c>
    </row>
    <row r="573" spans="32:34" x14ac:dyDescent="0.25">
      <c r="AF573">
        <v>57</v>
      </c>
      <c r="AG573">
        <v>3850.4</v>
      </c>
      <c r="AH573">
        <f t="shared" si="18"/>
        <v>-10.460000000000036</v>
      </c>
    </row>
    <row r="574" spans="32:34" x14ac:dyDescent="0.25">
      <c r="AF574">
        <v>57.1</v>
      </c>
      <c r="AG574">
        <v>3850.4090000000001</v>
      </c>
      <c r="AH574">
        <f t="shared" si="18"/>
        <v>-10.451000000000022</v>
      </c>
    </row>
    <row r="575" spans="32:34" x14ac:dyDescent="0.25">
      <c r="AF575">
        <v>57.2</v>
      </c>
      <c r="AG575">
        <v>3850.4180000000001</v>
      </c>
      <c r="AH575">
        <f t="shared" si="18"/>
        <v>-10.442000000000007</v>
      </c>
    </row>
    <row r="576" spans="32:34" x14ac:dyDescent="0.25">
      <c r="AF576">
        <v>57.3</v>
      </c>
      <c r="AG576">
        <v>3850.4270000000001</v>
      </c>
      <c r="AH576">
        <f t="shared" si="18"/>
        <v>-10.432999999999993</v>
      </c>
    </row>
    <row r="577" spans="32:34" x14ac:dyDescent="0.25">
      <c r="AF577">
        <v>57.4</v>
      </c>
      <c r="AG577">
        <v>3850.4360000000001</v>
      </c>
      <c r="AH577">
        <f t="shared" si="18"/>
        <v>-10.423999999999978</v>
      </c>
    </row>
    <row r="578" spans="32:34" x14ac:dyDescent="0.25">
      <c r="AF578">
        <v>57.5</v>
      </c>
      <c r="AG578">
        <v>3850.4449999999902</v>
      </c>
      <c r="AH578">
        <f t="shared" si="18"/>
        <v>-10.415000000009968</v>
      </c>
    </row>
    <row r="579" spans="32:34" x14ac:dyDescent="0.25">
      <c r="AF579">
        <v>57.6</v>
      </c>
      <c r="AG579">
        <v>3850.4539999999902</v>
      </c>
      <c r="AH579">
        <f t="shared" si="18"/>
        <v>-10.406000000009954</v>
      </c>
    </row>
    <row r="580" spans="32:34" x14ac:dyDescent="0.25">
      <c r="AF580">
        <v>57.7</v>
      </c>
      <c r="AG580">
        <v>3850.4629999999902</v>
      </c>
      <c r="AH580">
        <f t="shared" ref="AH580:AH643" si="19">AG580-MAX($AG$3:$AG$2353)</f>
        <v>-10.397000000009939</v>
      </c>
    </row>
    <row r="581" spans="32:34" x14ac:dyDescent="0.25">
      <c r="AF581">
        <v>57.8</v>
      </c>
      <c r="AG581">
        <v>3850.4719999999902</v>
      </c>
      <c r="AH581">
        <f t="shared" si="19"/>
        <v>-10.388000000009924</v>
      </c>
    </row>
    <row r="582" spans="32:34" x14ac:dyDescent="0.25">
      <c r="AF582">
        <v>57.9</v>
      </c>
      <c r="AG582">
        <v>3850.4809999999902</v>
      </c>
      <c r="AH582">
        <f t="shared" si="19"/>
        <v>-10.37900000000991</v>
      </c>
    </row>
    <row r="583" spans="32:34" x14ac:dyDescent="0.25">
      <c r="AF583">
        <v>58</v>
      </c>
      <c r="AG583">
        <v>3850.49</v>
      </c>
      <c r="AH583">
        <f t="shared" si="19"/>
        <v>-10.370000000000346</v>
      </c>
    </row>
    <row r="584" spans="32:34" x14ac:dyDescent="0.25">
      <c r="AF584">
        <v>58.1</v>
      </c>
      <c r="AG584">
        <v>3850.4989999999998</v>
      </c>
      <c r="AH584">
        <f t="shared" si="19"/>
        <v>-10.361000000000331</v>
      </c>
    </row>
    <row r="585" spans="32:34" x14ac:dyDescent="0.25">
      <c r="AF585">
        <v>58.2</v>
      </c>
      <c r="AG585">
        <v>3850.5079999999998</v>
      </c>
      <c r="AH585">
        <f t="shared" si="19"/>
        <v>-10.352000000000317</v>
      </c>
    </row>
    <row r="586" spans="32:34" x14ac:dyDescent="0.25">
      <c r="AF586">
        <v>58.3</v>
      </c>
      <c r="AG586">
        <v>3850.5169999999998</v>
      </c>
      <c r="AH586">
        <f t="shared" si="19"/>
        <v>-10.343000000000302</v>
      </c>
    </row>
    <row r="587" spans="32:34" x14ac:dyDescent="0.25">
      <c r="AF587">
        <v>58.4</v>
      </c>
      <c r="AG587">
        <v>3850.5259999999998</v>
      </c>
      <c r="AH587">
        <f t="shared" si="19"/>
        <v>-10.334000000000287</v>
      </c>
    </row>
    <row r="588" spans="32:34" x14ac:dyDescent="0.25">
      <c r="AF588">
        <v>58.5</v>
      </c>
      <c r="AG588">
        <v>3850.5349999999999</v>
      </c>
      <c r="AH588">
        <f t="shared" si="19"/>
        <v>-10.325000000000273</v>
      </c>
    </row>
    <row r="589" spans="32:34" x14ac:dyDescent="0.25">
      <c r="AF589">
        <v>58.6</v>
      </c>
      <c r="AG589">
        <v>3850.5439999999999</v>
      </c>
      <c r="AH589">
        <f t="shared" si="19"/>
        <v>-10.316000000000258</v>
      </c>
    </row>
    <row r="590" spans="32:34" x14ac:dyDescent="0.25">
      <c r="AF590">
        <v>58.7</v>
      </c>
      <c r="AG590">
        <v>3850.5529999999999</v>
      </c>
      <c r="AH590">
        <f t="shared" si="19"/>
        <v>-10.307000000000244</v>
      </c>
    </row>
    <row r="591" spans="32:34" x14ac:dyDescent="0.25">
      <c r="AF591">
        <v>58.8</v>
      </c>
      <c r="AG591">
        <v>3850.5619999999999</v>
      </c>
      <c r="AH591">
        <f t="shared" si="19"/>
        <v>-10.298000000000229</v>
      </c>
    </row>
    <row r="592" spans="32:34" x14ac:dyDescent="0.25">
      <c r="AF592">
        <v>58.9</v>
      </c>
      <c r="AG592">
        <v>3850.5709999999999</v>
      </c>
      <c r="AH592">
        <f t="shared" si="19"/>
        <v>-10.289000000000215</v>
      </c>
    </row>
    <row r="593" spans="32:34" x14ac:dyDescent="0.25">
      <c r="AF593">
        <v>59</v>
      </c>
      <c r="AG593">
        <v>3850.58</v>
      </c>
      <c r="AH593">
        <f t="shared" si="19"/>
        <v>-10.2800000000002</v>
      </c>
    </row>
    <row r="594" spans="32:34" x14ac:dyDescent="0.25">
      <c r="AF594">
        <v>59.1</v>
      </c>
      <c r="AG594">
        <v>3850.5889999999999</v>
      </c>
      <c r="AH594">
        <f t="shared" si="19"/>
        <v>-10.271000000000186</v>
      </c>
    </row>
    <row r="595" spans="32:34" x14ac:dyDescent="0.25">
      <c r="AF595">
        <v>59.2</v>
      </c>
      <c r="AG595">
        <v>3850.598</v>
      </c>
      <c r="AH595">
        <f t="shared" si="19"/>
        <v>-10.262000000000171</v>
      </c>
    </row>
    <row r="596" spans="32:34" x14ac:dyDescent="0.25">
      <c r="AF596">
        <v>59.3</v>
      </c>
      <c r="AG596">
        <v>3850.607</v>
      </c>
      <c r="AH596">
        <f t="shared" si="19"/>
        <v>-10.253000000000156</v>
      </c>
    </row>
    <row r="597" spans="32:34" x14ac:dyDescent="0.25">
      <c r="AF597">
        <v>59.4</v>
      </c>
      <c r="AG597">
        <v>3850.616</v>
      </c>
      <c r="AH597">
        <f t="shared" si="19"/>
        <v>-10.244000000000142</v>
      </c>
    </row>
    <row r="598" spans="32:34" x14ac:dyDescent="0.25">
      <c r="AF598">
        <v>59.5</v>
      </c>
      <c r="AG598">
        <v>3850.625</v>
      </c>
      <c r="AH598">
        <f t="shared" si="19"/>
        <v>-10.235000000000127</v>
      </c>
    </row>
    <row r="599" spans="32:34" x14ac:dyDescent="0.25">
      <c r="AF599">
        <v>59.6</v>
      </c>
      <c r="AG599">
        <v>3850.634</v>
      </c>
      <c r="AH599">
        <f t="shared" si="19"/>
        <v>-10.226000000000113</v>
      </c>
    </row>
    <row r="600" spans="32:34" x14ac:dyDescent="0.25">
      <c r="AF600">
        <v>59.7</v>
      </c>
      <c r="AG600">
        <v>3850.643</v>
      </c>
      <c r="AH600">
        <f t="shared" si="19"/>
        <v>-10.217000000000098</v>
      </c>
    </row>
    <row r="601" spans="32:34" x14ac:dyDescent="0.25">
      <c r="AF601">
        <v>59.8</v>
      </c>
      <c r="AG601">
        <v>3850.652</v>
      </c>
      <c r="AH601">
        <f t="shared" si="19"/>
        <v>-10.208000000000084</v>
      </c>
    </row>
    <row r="602" spans="32:34" x14ac:dyDescent="0.25">
      <c r="AF602">
        <v>59.9</v>
      </c>
      <c r="AG602">
        <v>3850.6610000000001</v>
      </c>
      <c r="AH602">
        <f t="shared" si="19"/>
        <v>-10.199000000000069</v>
      </c>
    </row>
    <row r="603" spans="32:34" x14ac:dyDescent="0.25">
      <c r="AF603">
        <v>60</v>
      </c>
      <c r="AG603">
        <v>3850.67</v>
      </c>
      <c r="AH603">
        <f t="shared" si="19"/>
        <v>-10.190000000000055</v>
      </c>
    </row>
    <row r="604" spans="32:34" x14ac:dyDescent="0.25">
      <c r="AF604">
        <v>60.1</v>
      </c>
      <c r="AG604">
        <v>3850.701</v>
      </c>
      <c r="AH604">
        <f t="shared" si="19"/>
        <v>-10.159000000000106</v>
      </c>
    </row>
    <row r="605" spans="32:34" x14ac:dyDescent="0.25">
      <c r="AF605">
        <v>60.2</v>
      </c>
      <c r="AG605">
        <v>3850.732</v>
      </c>
      <c r="AH605">
        <f t="shared" si="19"/>
        <v>-10.128000000000156</v>
      </c>
    </row>
    <row r="606" spans="32:34" x14ac:dyDescent="0.25">
      <c r="AF606">
        <v>60.3</v>
      </c>
      <c r="AG606">
        <v>3850.7629999999999</v>
      </c>
      <c r="AH606">
        <f t="shared" si="19"/>
        <v>-10.097000000000207</v>
      </c>
    </row>
    <row r="607" spans="32:34" x14ac:dyDescent="0.25">
      <c r="AF607">
        <v>60.4</v>
      </c>
      <c r="AG607">
        <v>3850.7939999999999</v>
      </c>
      <c r="AH607">
        <f t="shared" si="19"/>
        <v>-10.066000000000258</v>
      </c>
    </row>
    <row r="608" spans="32:34" x14ac:dyDescent="0.25">
      <c r="AF608">
        <v>60.5</v>
      </c>
      <c r="AG608">
        <v>3850.8249999999998</v>
      </c>
      <c r="AH608">
        <f t="shared" si="19"/>
        <v>-10.035000000000309</v>
      </c>
    </row>
    <row r="609" spans="32:34" x14ac:dyDescent="0.25">
      <c r="AF609">
        <v>60.6</v>
      </c>
      <c r="AG609">
        <v>3850.8560000000002</v>
      </c>
      <c r="AH609">
        <f t="shared" si="19"/>
        <v>-10.003999999999905</v>
      </c>
    </row>
    <row r="610" spans="32:34" x14ac:dyDescent="0.25">
      <c r="AF610">
        <v>60.7</v>
      </c>
      <c r="AG610">
        <v>3850.8870000000002</v>
      </c>
      <c r="AH610">
        <f t="shared" si="19"/>
        <v>-9.9729999999999563</v>
      </c>
    </row>
    <row r="611" spans="32:34" x14ac:dyDescent="0.25">
      <c r="AF611">
        <v>60.8</v>
      </c>
      <c r="AG611">
        <v>3850.9180000000001</v>
      </c>
      <c r="AH611">
        <f t="shared" si="19"/>
        <v>-9.9420000000000073</v>
      </c>
    </row>
    <row r="612" spans="32:34" x14ac:dyDescent="0.25">
      <c r="AF612">
        <v>60.9</v>
      </c>
      <c r="AG612">
        <v>3850.9490000000001</v>
      </c>
      <c r="AH612">
        <f t="shared" si="19"/>
        <v>-9.9110000000000582</v>
      </c>
    </row>
    <row r="613" spans="32:34" x14ac:dyDescent="0.25">
      <c r="AF613">
        <v>61</v>
      </c>
      <c r="AG613">
        <v>3850.98</v>
      </c>
      <c r="AH613">
        <f t="shared" si="19"/>
        <v>-9.8800000000001091</v>
      </c>
    </row>
    <row r="614" spans="32:34" x14ac:dyDescent="0.25">
      <c r="AF614">
        <v>61.1</v>
      </c>
      <c r="AG614">
        <v>3851.011</v>
      </c>
      <c r="AH614">
        <f t="shared" si="19"/>
        <v>-9.8490000000001601</v>
      </c>
    </row>
    <row r="615" spans="32:34" x14ac:dyDescent="0.25">
      <c r="AF615">
        <v>61.2</v>
      </c>
      <c r="AG615">
        <v>3851.0419999999999</v>
      </c>
      <c r="AH615">
        <f t="shared" si="19"/>
        <v>-9.818000000000211</v>
      </c>
    </row>
    <row r="616" spans="32:34" x14ac:dyDescent="0.25">
      <c r="AF616">
        <v>61.3</v>
      </c>
      <c r="AG616">
        <v>3851.0729999999999</v>
      </c>
      <c r="AH616">
        <f t="shared" si="19"/>
        <v>-9.7870000000002619</v>
      </c>
    </row>
    <row r="617" spans="32:34" x14ac:dyDescent="0.25">
      <c r="AF617">
        <v>61.4</v>
      </c>
      <c r="AG617">
        <v>3851.1039999999998</v>
      </c>
      <c r="AH617">
        <f t="shared" si="19"/>
        <v>-9.7560000000003129</v>
      </c>
    </row>
    <row r="618" spans="32:34" x14ac:dyDescent="0.25">
      <c r="AF618">
        <v>61.5</v>
      </c>
      <c r="AG618">
        <v>3851.1350000000002</v>
      </c>
      <c r="AH618">
        <f t="shared" si="19"/>
        <v>-9.7249999999999091</v>
      </c>
    </row>
    <row r="619" spans="32:34" x14ac:dyDescent="0.25">
      <c r="AF619">
        <v>61.6</v>
      </c>
      <c r="AG619">
        <v>3851.1660000000002</v>
      </c>
      <c r="AH619">
        <f t="shared" si="19"/>
        <v>-9.69399999999996</v>
      </c>
    </row>
    <row r="620" spans="32:34" x14ac:dyDescent="0.25">
      <c r="AF620">
        <v>61.7</v>
      </c>
      <c r="AG620">
        <v>3851.1970000000001</v>
      </c>
      <c r="AH620">
        <f t="shared" si="19"/>
        <v>-9.6630000000000109</v>
      </c>
    </row>
    <row r="621" spans="32:34" x14ac:dyDescent="0.25">
      <c r="AF621">
        <v>61.8</v>
      </c>
      <c r="AG621">
        <v>3851.2280000000001</v>
      </c>
      <c r="AH621">
        <f t="shared" si="19"/>
        <v>-9.6320000000000618</v>
      </c>
    </row>
    <row r="622" spans="32:34" x14ac:dyDescent="0.25">
      <c r="AF622">
        <v>61.9</v>
      </c>
      <c r="AG622">
        <v>3851.259</v>
      </c>
      <c r="AH622">
        <f t="shared" si="19"/>
        <v>-9.6010000000001128</v>
      </c>
    </row>
    <row r="623" spans="32:34" x14ac:dyDescent="0.25">
      <c r="AF623">
        <v>62</v>
      </c>
      <c r="AG623">
        <v>3851.29</v>
      </c>
      <c r="AH623">
        <f t="shared" si="19"/>
        <v>-9.5700000000001637</v>
      </c>
    </row>
    <row r="624" spans="32:34" x14ac:dyDescent="0.25">
      <c r="AF624">
        <v>62.1</v>
      </c>
      <c r="AG624">
        <v>3851.3209999999999</v>
      </c>
      <c r="AH624">
        <f t="shared" si="19"/>
        <v>-9.5390000000002146</v>
      </c>
    </row>
    <row r="625" spans="32:34" x14ac:dyDescent="0.25">
      <c r="AF625">
        <v>62.2</v>
      </c>
      <c r="AG625">
        <v>3851.3519999999999</v>
      </c>
      <c r="AH625">
        <f t="shared" si="19"/>
        <v>-9.5080000000002656</v>
      </c>
    </row>
    <row r="626" spans="32:34" x14ac:dyDescent="0.25">
      <c r="AF626">
        <v>62.3</v>
      </c>
      <c r="AG626">
        <v>3851.3829999999998</v>
      </c>
      <c r="AH626">
        <f t="shared" si="19"/>
        <v>-9.4770000000003165</v>
      </c>
    </row>
    <row r="627" spans="32:34" x14ac:dyDescent="0.25">
      <c r="AF627">
        <v>62.4</v>
      </c>
      <c r="AG627">
        <v>3851.4139999999902</v>
      </c>
      <c r="AH627">
        <f t="shared" si="19"/>
        <v>-9.4460000000099171</v>
      </c>
    </row>
    <row r="628" spans="32:34" x14ac:dyDescent="0.25">
      <c r="AF628">
        <v>62.5</v>
      </c>
      <c r="AG628">
        <v>3851.4449999999902</v>
      </c>
      <c r="AH628">
        <f t="shared" si="19"/>
        <v>-9.4150000000099681</v>
      </c>
    </row>
    <row r="629" spans="32:34" x14ac:dyDescent="0.25">
      <c r="AF629">
        <v>62.6</v>
      </c>
      <c r="AG629">
        <v>3851.4760000000001</v>
      </c>
      <c r="AH629">
        <f t="shared" si="19"/>
        <v>-9.3840000000000146</v>
      </c>
    </row>
    <row r="630" spans="32:34" x14ac:dyDescent="0.25">
      <c r="AF630">
        <v>62.7</v>
      </c>
      <c r="AG630">
        <v>3851.5070000000001</v>
      </c>
      <c r="AH630">
        <f t="shared" si="19"/>
        <v>-9.3530000000000655</v>
      </c>
    </row>
    <row r="631" spans="32:34" x14ac:dyDescent="0.25">
      <c r="AF631">
        <v>62.8</v>
      </c>
      <c r="AG631">
        <v>3851.538</v>
      </c>
      <c r="AH631">
        <f t="shared" si="19"/>
        <v>-9.3220000000001164</v>
      </c>
    </row>
    <row r="632" spans="32:34" x14ac:dyDescent="0.25">
      <c r="AF632">
        <v>62.9</v>
      </c>
      <c r="AG632">
        <v>3851.569</v>
      </c>
      <c r="AH632">
        <f t="shared" si="19"/>
        <v>-9.2910000000001673</v>
      </c>
    </row>
    <row r="633" spans="32:34" x14ac:dyDescent="0.25">
      <c r="AF633">
        <v>63</v>
      </c>
      <c r="AG633">
        <v>3851.6</v>
      </c>
      <c r="AH633">
        <f t="shared" si="19"/>
        <v>-9.2600000000002183</v>
      </c>
    </row>
    <row r="634" spans="32:34" x14ac:dyDescent="0.25">
      <c r="AF634">
        <v>63.1</v>
      </c>
      <c r="AG634">
        <v>3851.6309999999999</v>
      </c>
      <c r="AH634">
        <f t="shared" si="19"/>
        <v>-9.2290000000002692</v>
      </c>
    </row>
    <row r="635" spans="32:34" x14ac:dyDescent="0.25">
      <c r="AF635">
        <v>63.2</v>
      </c>
      <c r="AG635">
        <v>3851.6619999999998</v>
      </c>
      <c r="AH635">
        <f t="shared" si="19"/>
        <v>-9.1980000000003201</v>
      </c>
    </row>
    <row r="636" spans="32:34" x14ac:dyDescent="0.25">
      <c r="AF636">
        <v>63.3</v>
      </c>
      <c r="AG636">
        <v>3851.6929999999902</v>
      </c>
      <c r="AH636">
        <f t="shared" si="19"/>
        <v>-9.1670000000099208</v>
      </c>
    </row>
    <row r="637" spans="32:34" x14ac:dyDescent="0.25">
      <c r="AF637">
        <v>63.4</v>
      </c>
      <c r="AG637">
        <v>3851.7239999999902</v>
      </c>
      <c r="AH637">
        <f t="shared" si="19"/>
        <v>-9.1360000000099717</v>
      </c>
    </row>
    <row r="638" spans="32:34" x14ac:dyDescent="0.25">
      <c r="AF638">
        <v>63.5</v>
      </c>
      <c r="AG638">
        <v>3851.7550000000001</v>
      </c>
      <c r="AH638">
        <f t="shared" si="19"/>
        <v>-9.1050000000000182</v>
      </c>
    </row>
    <row r="639" spans="32:34" x14ac:dyDescent="0.25">
      <c r="AF639">
        <v>63.6</v>
      </c>
      <c r="AG639">
        <v>3851.7860000000001</v>
      </c>
      <c r="AH639">
        <f t="shared" si="19"/>
        <v>-9.0740000000000691</v>
      </c>
    </row>
    <row r="640" spans="32:34" x14ac:dyDescent="0.25">
      <c r="AF640">
        <v>63.7</v>
      </c>
      <c r="AG640">
        <v>3851.817</v>
      </c>
      <c r="AH640">
        <f t="shared" si="19"/>
        <v>-9.0430000000001201</v>
      </c>
    </row>
    <row r="641" spans="32:34" x14ac:dyDescent="0.25">
      <c r="AF641">
        <v>63.8</v>
      </c>
      <c r="AG641">
        <v>3851.848</v>
      </c>
      <c r="AH641">
        <f t="shared" si="19"/>
        <v>-9.012000000000171</v>
      </c>
    </row>
    <row r="642" spans="32:34" x14ac:dyDescent="0.25">
      <c r="AF642">
        <v>63.9</v>
      </c>
      <c r="AG642">
        <v>3851.8789999999999</v>
      </c>
      <c r="AH642">
        <f t="shared" si="19"/>
        <v>-8.9810000000002219</v>
      </c>
    </row>
    <row r="643" spans="32:34" x14ac:dyDescent="0.25">
      <c r="AF643">
        <v>64</v>
      </c>
      <c r="AG643">
        <v>3851.91</v>
      </c>
      <c r="AH643">
        <f t="shared" si="19"/>
        <v>-8.9500000000002728</v>
      </c>
    </row>
    <row r="644" spans="32:34" x14ac:dyDescent="0.25">
      <c r="AF644">
        <v>64.099999999999994</v>
      </c>
      <c r="AG644">
        <v>3851.9409999999998</v>
      </c>
      <c r="AH644">
        <f t="shared" ref="AH644:AH707" si="20">AG644-MAX($AG$3:$AG$2353)</f>
        <v>-8.9190000000003238</v>
      </c>
    </row>
    <row r="645" spans="32:34" x14ac:dyDescent="0.25">
      <c r="AF645">
        <v>64.2</v>
      </c>
      <c r="AG645">
        <v>3851.9719999999902</v>
      </c>
      <c r="AH645">
        <f t="shared" si="20"/>
        <v>-8.8880000000099244</v>
      </c>
    </row>
    <row r="646" spans="32:34" x14ac:dyDescent="0.25">
      <c r="AF646">
        <v>64.3</v>
      </c>
      <c r="AG646">
        <v>3852.0029999999902</v>
      </c>
      <c r="AH646">
        <f t="shared" si="20"/>
        <v>-8.8570000000099753</v>
      </c>
    </row>
    <row r="647" spans="32:34" x14ac:dyDescent="0.25">
      <c r="AF647">
        <v>64.400000000000006</v>
      </c>
      <c r="AG647">
        <v>3852.0339999999901</v>
      </c>
      <c r="AH647">
        <f t="shared" si="20"/>
        <v>-8.8260000000100263</v>
      </c>
    </row>
    <row r="648" spans="32:34" x14ac:dyDescent="0.25">
      <c r="AF648">
        <v>64.5</v>
      </c>
      <c r="AG648">
        <v>3852.0649999999901</v>
      </c>
      <c r="AH648">
        <f t="shared" si="20"/>
        <v>-8.7950000000100772</v>
      </c>
    </row>
    <row r="649" spans="32:34" x14ac:dyDescent="0.25">
      <c r="AF649">
        <v>64.599999999999994</v>
      </c>
      <c r="AG649">
        <v>3852.096</v>
      </c>
      <c r="AH649">
        <f t="shared" si="20"/>
        <v>-8.7640000000001237</v>
      </c>
    </row>
    <row r="650" spans="32:34" x14ac:dyDescent="0.25">
      <c r="AF650">
        <v>64.7</v>
      </c>
      <c r="AG650">
        <v>3852.127</v>
      </c>
      <c r="AH650">
        <f t="shared" si="20"/>
        <v>-8.7330000000001746</v>
      </c>
    </row>
    <row r="651" spans="32:34" x14ac:dyDescent="0.25">
      <c r="AF651">
        <v>64.8</v>
      </c>
      <c r="AG651">
        <v>3852.1579999999999</v>
      </c>
      <c r="AH651">
        <f t="shared" si="20"/>
        <v>-8.7020000000002256</v>
      </c>
    </row>
    <row r="652" spans="32:34" x14ac:dyDescent="0.25">
      <c r="AF652">
        <v>64.900000000000006</v>
      </c>
      <c r="AG652">
        <v>3852.1889999999999</v>
      </c>
      <c r="AH652">
        <f t="shared" si="20"/>
        <v>-8.6710000000002765</v>
      </c>
    </row>
    <row r="653" spans="32:34" x14ac:dyDescent="0.25">
      <c r="AF653">
        <v>65</v>
      </c>
      <c r="AG653">
        <v>3852.22</v>
      </c>
      <c r="AH653">
        <f t="shared" si="20"/>
        <v>-8.6400000000003274</v>
      </c>
    </row>
    <row r="654" spans="32:34" x14ac:dyDescent="0.25">
      <c r="AF654">
        <v>65.099999999999994</v>
      </c>
      <c r="AG654">
        <v>3852.2599999999902</v>
      </c>
      <c r="AH654">
        <f t="shared" si="20"/>
        <v>-8.6000000000099135</v>
      </c>
    </row>
    <row r="655" spans="32:34" x14ac:dyDescent="0.25">
      <c r="AF655">
        <v>65.2</v>
      </c>
      <c r="AG655">
        <v>3852.2999999999902</v>
      </c>
      <c r="AH655">
        <f t="shared" si="20"/>
        <v>-8.5600000000099499</v>
      </c>
    </row>
    <row r="656" spans="32:34" x14ac:dyDescent="0.25">
      <c r="AF656">
        <v>65.3</v>
      </c>
      <c r="AG656">
        <v>3852.3399999999901</v>
      </c>
      <c r="AH656">
        <f t="shared" si="20"/>
        <v>-8.5200000000099863</v>
      </c>
    </row>
    <row r="657" spans="32:34" x14ac:dyDescent="0.25">
      <c r="AF657">
        <v>65.400000000000006</v>
      </c>
      <c r="AG657">
        <v>3852.3799999999901</v>
      </c>
      <c r="AH657">
        <f t="shared" si="20"/>
        <v>-8.4800000000100226</v>
      </c>
    </row>
    <row r="658" spans="32:34" x14ac:dyDescent="0.25">
      <c r="AF658">
        <v>65.5</v>
      </c>
      <c r="AG658">
        <v>3852.4199999999901</v>
      </c>
      <c r="AH658">
        <f t="shared" si="20"/>
        <v>-8.440000000010059</v>
      </c>
    </row>
    <row r="659" spans="32:34" x14ac:dyDescent="0.25">
      <c r="AF659">
        <v>65.599999999999994</v>
      </c>
      <c r="AG659">
        <v>3852.45999999999</v>
      </c>
      <c r="AH659">
        <f t="shared" si="20"/>
        <v>-8.4000000000100954</v>
      </c>
    </row>
    <row r="660" spans="32:34" x14ac:dyDescent="0.25">
      <c r="AF660">
        <v>65.7</v>
      </c>
      <c r="AG660">
        <v>3852.5</v>
      </c>
      <c r="AH660">
        <f t="shared" si="20"/>
        <v>-8.3600000000001273</v>
      </c>
    </row>
    <row r="661" spans="32:34" x14ac:dyDescent="0.25">
      <c r="AF661">
        <v>65.8</v>
      </c>
      <c r="AG661">
        <v>3852.54</v>
      </c>
      <c r="AH661">
        <f t="shared" si="20"/>
        <v>-8.3200000000001637</v>
      </c>
    </row>
    <row r="662" spans="32:34" x14ac:dyDescent="0.25">
      <c r="AF662">
        <v>65.900000000000006</v>
      </c>
      <c r="AG662">
        <v>3852.58</v>
      </c>
      <c r="AH662">
        <f t="shared" si="20"/>
        <v>-8.2800000000002001</v>
      </c>
    </row>
    <row r="663" spans="32:34" x14ac:dyDescent="0.25">
      <c r="AF663">
        <v>66</v>
      </c>
      <c r="AG663">
        <v>3852.62</v>
      </c>
      <c r="AH663">
        <f t="shared" si="20"/>
        <v>-8.2400000000002365</v>
      </c>
    </row>
    <row r="664" spans="32:34" x14ac:dyDescent="0.25">
      <c r="AF664">
        <v>66.099999999999994</v>
      </c>
      <c r="AG664">
        <v>3852.66</v>
      </c>
      <c r="AH664">
        <f t="shared" si="20"/>
        <v>-8.2000000000002728</v>
      </c>
    </row>
    <row r="665" spans="32:34" x14ac:dyDescent="0.25">
      <c r="AF665">
        <v>66.2</v>
      </c>
      <c r="AG665">
        <v>3852.7</v>
      </c>
      <c r="AH665">
        <f t="shared" si="20"/>
        <v>-8.1600000000003092</v>
      </c>
    </row>
    <row r="666" spans="32:34" x14ac:dyDescent="0.25">
      <c r="AF666">
        <v>66.3</v>
      </c>
      <c r="AG666">
        <v>3852.74</v>
      </c>
      <c r="AH666">
        <f t="shared" si="20"/>
        <v>-8.1200000000003456</v>
      </c>
    </row>
    <row r="667" spans="32:34" x14ac:dyDescent="0.25">
      <c r="AF667">
        <v>66.400000000000006</v>
      </c>
      <c r="AG667">
        <v>3852.7799999999902</v>
      </c>
      <c r="AH667">
        <f t="shared" si="20"/>
        <v>-8.0800000000099317</v>
      </c>
    </row>
    <row r="668" spans="32:34" x14ac:dyDescent="0.25">
      <c r="AF668">
        <v>66.5</v>
      </c>
      <c r="AG668">
        <v>3852.8199999999902</v>
      </c>
      <c r="AH668">
        <f t="shared" si="20"/>
        <v>-8.0400000000099681</v>
      </c>
    </row>
    <row r="669" spans="32:34" x14ac:dyDescent="0.25">
      <c r="AF669">
        <v>66.599999999999994</v>
      </c>
      <c r="AG669">
        <v>3852.8599999999901</v>
      </c>
      <c r="AH669">
        <f t="shared" si="20"/>
        <v>-8.0000000000100044</v>
      </c>
    </row>
    <row r="670" spans="32:34" x14ac:dyDescent="0.25">
      <c r="AF670">
        <v>66.7</v>
      </c>
      <c r="AG670">
        <v>3852.8999999999901</v>
      </c>
      <c r="AH670">
        <f t="shared" si="20"/>
        <v>-7.9600000000100408</v>
      </c>
    </row>
    <row r="671" spans="32:34" x14ac:dyDescent="0.25">
      <c r="AF671">
        <v>66.8</v>
      </c>
      <c r="AG671">
        <v>3852.9399999999901</v>
      </c>
      <c r="AH671">
        <f t="shared" si="20"/>
        <v>-7.9200000000100772</v>
      </c>
    </row>
    <row r="672" spans="32:34" x14ac:dyDescent="0.25">
      <c r="AF672">
        <v>66.900000000000006</v>
      </c>
      <c r="AG672">
        <v>3852.98</v>
      </c>
      <c r="AH672">
        <f t="shared" si="20"/>
        <v>-7.8800000000001091</v>
      </c>
    </row>
    <row r="673" spans="32:34" x14ac:dyDescent="0.25">
      <c r="AF673">
        <v>67</v>
      </c>
      <c r="AG673">
        <v>3853.02</v>
      </c>
      <c r="AH673">
        <f t="shared" si="20"/>
        <v>-7.8400000000001455</v>
      </c>
    </row>
    <row r="674" spans="32:34" x14ac:dyDescent="0.25">
      <c r="AF674">
        <v>67.099999999999994</v>
      </c>
      <c r="AG674">
        <v>3853.06</v>
      </c>
      <c r="AH674">
        <f t="shared" si="20"/>
        <v>-7.8000000000001819</v>
      </c>
    </row>
    <row r="675" spans="32:34" x14ac:dyDescent="0.25">
      <c r="AF675">
        <v>67.2</v>
      </c>
      <c r="AG675">
        <v>3853.1</v>
      </c>
      <c r="AH675">
        <f t="shared" si="20"/>
        <v>-7.7600000000002183</v>
      </c>
    </row>
    <row r="676" spans="32:34" x14ac:dyDescent="0.25">
      <c r="AF676">
        <v>67.3</v>
      </c>
      <c r="AG676">
        <v>3853.14</v>
      </c>
      <c r="AH676">
        <f t="shared" si="20"/>
        <v>-7.7200000000002547</v>
      </c>
    </row>
    <row r="677" spans="32:34" x14ac:dyDescent="0.25">
      <c r="AF677">
        <v>67.400000000000006</v>
      </c>
      <c r="AG677">
        <v>3853.18</v>
      </c>
      <c r="AH677">
        <f t="shared" si="20"/>
        <v>-7.680000000000291</v>
      </c>
    </row>
    <row r="678" spans="32:34" x14ac:dyDescent="0.25">
      <c r="AF678">
        <v>67.5</v>
      </c>
      <c r="AG678">
        <v>3853.22</v>
      </c>
      <c r="AH678">
        <f t="shared" si="20"/>
        <v>-7.6400000000003274</v>
      </c>
    </row>
    <row r="679" spans="32:34" x14ac:dyDescent="0.25">
      <c r="AF679">
        <v>67.599999999999994</v>
      </c>
      <c r="AG679">
        <v>3853.2599999999902</v>
      </c>
      <c r="AH679">
        <f t="shared" si="20"/>
        <v>-7.6000000000099135</v>
      </c>
    </row>
    <row r="680" spans="32:34" x14ac:dyDescent="0.25">
      <c r="AF680">
        <v>67.7</v>
      </c>
      <c r="AG680">
        <v>3853.2999999999902</v>
      </c>
      <c r="AH680">
        <f t="shared" si="20"/>
        <v>-7.5600000000099499</v>
      </c>
    </row>
    <row r="681" spans="32:34" x14ac:dyDescent="0.25">
      <c r="AF681">
        <v>67.8</v>
      </c>
      <c r="AG681">
        <v>3853.3399999999901</v>
      </c>
      <c r="AH681">
        <f t="shared" si="20"/>
        <v>-7.5200000000099863</v>
      </c>
    </row>
    <row r="682" spans="32:34" x14ac:dyDescent="0.25">
      <c r="AF682">
        <v>67.900000000000006</v>
      </c>
      <c r="AG682">
        <v>3853.3799999999901</v>
      </c>
      <c r="AH682">
        <f t="shared" si="20"/>
        <v>-7.4800000000100226</v>
      </c>
    </row>
    <row r="683" spans="32:34" x14ac:dyDescent="0.25">
      <c r="AF683">
        <v>68</v>
      </c>
      <c r="AG683">
        <v>3853.4199999999901</v>
      </c>
      <c r="AH683">
        <f t="shared" si="20"/>
        <v>-7.440000000010059</v>
      </c>
    </row>
    <row r="684" spans="32:34" x14ac:dyDescent="0.25">
      <c r="AF684">
        <v>68.099999999999994</v>
      </c>
      <c r="AG684">
        <v>3853.45999999999</v>
      </c>
      <c r="AH684">
        <f t="shared" si="20"/>
        <v>-7.4000000000100954</v>
      </c>
    </row>
    <row r="685" spans="32:34" x14ac:dyDescent="0.25">
      <c r="AF685">
        <v>68.2</v>
      </c>
      <c r="AG685">
        <v>3853.5</v>
      </c>
      <c r="AH685">
        <f t="shared" si="20"/>
        <v>-7.3600000000001273</v>
      </c>
    </row>
    <row r="686" spans="32:34" x14ac:dyDescent="0.25">
      <c r="AF686">
        <v>68.3</v>
      </c>
      <c r="AG686">
        <v>3853.54</v>
      </c>
      <c r="AH686">
        <f t="shared" si="20"/>
        <v>-7.3200000000001637</v>
      </c>
    </row>
    <row r="687" spans="32:34" x14ac:dyDescent="0.25">
      <c r="AF687">
        <v>68.400000000000006</v>
      </c>
      <c r="AG687">
        <v>3853.58</v>
      </c>
      <c r="AH687">
        <f t="shared" si="20"/>
        <v>-7.2800000000002001</v>
      </c>
    </row>
    <row r="688" spans="32:34" x14ac:dyDescent="0.25">
      <c r="AF688">
        <v>68.5</v>
      </c>
      <c r="AG688">
        <v>3853.62</v>
      </c>
      <c r="AH688">
        <f t="shared" si="20"/>
        <v>-7.2400000000002365</v>
      </c>
    </row>
    <row r="689" spans="32:34" x14ac:dyDescent="0.25">
      <c r="AF689">
        <v>68.599999999999994</v>
      </c>
      <c r="AG689">
        <v>3853.66</v>
      </c>
      <c r="AH689">
        <f t="shared" si="20"/>
        <v>-7.2000000000002728</v>
      </c>
    </row>
    <row r="690" spans="32:34" x14ac:dyDescent="0.25">
      <c r="AF690">
        <v>68.7</v>
      </c>
      <c r="AG690">
        <v>3853.7</v>
      </c>
      <c r="AH690">
        <f t="shared" si="20"/>
        <v>-7.1600000000003092</v>
      </c>
    </row>
    <row r="691" spans="32:34" x14ac:dyDescent="0.25">
      <c r="AF691">
        <v>68.8</v>
      </c>
      <c r="AG691">
        <v>3853.74</v>
      </c>
      <c r="AH691">
        <f t="shared" si="20"/>
        <v>-7.1200000000003456</v>
      </c>
    </row>
    <row r="692" spans="32:34" x14ac:dyDescent="0.25">
      <c r="AF692">
        <v>68.900000000000006</v>
      </c>
      <c r="AG692">
        <v>3853.7799999999902</v>
      </c>
      <c r="AH692">
        <f t="shared" si="20"/>
        <v>-7.0800000000099317</v>
      </c>
    </row>
    <row r="693" spans="32:34" x14ac:dyDescent="0.25">
      <c r="AF693">
        <v>69</v>
      </c>
      <c r="AG693">
        <v>3853.8199999999902</v>
      </c>
      <c r="AH693">
        <f t="shared" si="20"/>
        <v>-7.0400000000099681</v>
      </c>
    </row>
    <row r="694" spans="32:34" x14ac:dyDescent="0.25">
      <c r="AF694">
        <v>69.099999999999994</v>
      </c>
      <c r="AG694">
        <v>3853.8599999999901</v>
      </c>
      <c r="AH694">
        <f t="shared" si="20"/>
        <v>-7.0000000000100044</v>
      </c>
    </row>
    <row r="695" spans="32:34" x14ac:dyDescent="0.25">
      <c r="AF695">
        <v>69.2</v>
      </c>
      <c r="AG695">
        <v>3853.8999999999901</v>
      </c>
      <c r="AH695">
        <f t="shared" si="20"/>
        <v>-6.9600000000100408</v>
      </c>
    </row>
    <row r="696" spans="32:34" x14ac:dyDescent="0.25">
      <c r="AF696">
        <v>69.3</v>
      </c>
      <c r="AG696">
        <v>3853.9399999999901</v>
      </c>
      <c r="AH696">
        <f t="shared" si="20"/>
        <v>-6.9200000000100772</v>
      </c>
    </row>
    <row r="697" spans="32:34" x14ac:dyDescent="0.25">
      <c r="AF697">
        <v>69.400000000000006</v>
      </c>
      <c r="AG697">
        <v>3853.98</v>
      </c>
      <c r="AH697">
        <f t="shared" si="20"/>
        <v>-6.8800000000001091</v>
      </c>
    </row>
    <row r="698" spans="32:34" x14ac:dyDescent="0.25">
      <c r="AF698">
        <v>69.5</v>
      </c>
      <c r="AG698">
        <v>3854.02</v>
      </c>
      <c r="AH698">
        <f t="shared" si="20"/>
        <v>-6.8400000000001455</v>
      </c>
    </row>
    <row r="699" spans="32:34" x14ac:dyDescent="0.25">
      <c r="AF699">
        <v>69.599999999999994</v>
      </c>
      <c r="AG699">
        <v>3854.06</v>
      </c>
      <c r="AH699">
        <f t="shared" si="20"/>
        <v>-6.8000000000001819</v>
      </c>
    </row>
    <row r="700" spans="32:34" x14ac:dyDescent="0.25">
      <c r="AF700">
        <v>69.7</v>
      </c>
      <c r="AG700">
        <v>3854.1</v>
      </c>
      <c r="AH700">
        <f t="shared" si="20"/>
        <v>-6.7600000000002183</v>
      </c>
    </row>
    <row r="701" spans="32:34" x14ac:dyDescent="0.25">
      <c r="AF701">
        <v>69.8</v>
      </c>
      <c r="AG701">
        <v>3854.14</v>
      </c>
      <c r="AH701">
        <f t="shared" si="20"/>
        <v>-6.7200000000002547</v>
      </c>
    </row>
    <row r="702" spans="32:34" x14ac:dyDescent="0.25">
      <c r="AF702">
        <v>69.900000000000006</v>
      </c>
      <c r="AG702">
        <v>3854.18</v>
      </c>
      <c r="AH702">
        <f t="shared" si="20"/>
        <v>-6.680000000000291</v>
      </c>
    </row>
    <row r="703" spans="32:34" x14ac:dyDescent="0.25">
      <c r="AF703">
        <v>70</v>
      </c>
      <c r="AG703">
        <v>3854.22</v>
      </c>
      <c r="AH703">
        <f t="shared" si="20"/>
        <v>-6.6400000000003274</v>
      </c>
    </row>
    <row r="704" spans="32:34" x14ac:dyDescent="0.25">
      <c r="AF704">
        <v>70.099999999999994</v>
      </c>
      <c r="AG704">
        <v>3854.2395999999999</v>
      </c>
      <c r="AH704">
        <f t="shared" si="20"/>
        <v>-6.6204000000002452</v>
      </c>
    </row>
    <row r="705" spans="32:34" x14ac:dyDescent="0.25">
      <c r="AF705">
        <v>70.2</v>
      </c>
      <c r="AG705">
        <v>3854.2592</v>
      </c>
      <c r="AH705">
        <f t="shared" si="20"/>
        <v>-6.600800000000163</v>
      </c>
    </row>
    <row r="706" spans="32:34" x14ac:dyDescent="0.25">
      <c r="AF706">
        <v>70.3</v>
      </c>
      <c r="AG706">
        <v>3854.27879999999</v>
      </c>
      <c r="AH706">
        <f t="shared" si="20"/>
        <v>-6.5812000000100852</v>
      </c>
    </row>
    <row r="707" spans="32:34" x14ac:dyDescent="0.25">
      <c r="AF707">
        <v>70.400000000000006</v>
      </c>
      <c r="AG707">
        <v>3854.2983999999901</v>
      </c>
      <c r="AH707">
        <f t="shared" si="20"/>
        <v>-6.561600000010003</v>
      </c>
    </row>
    <row r="708" spans="32:34" x14ac:dyDescent="0.25">
      <c r="AF708">
        <v>70.5</v>
      </c>
      <c r="AG708">
        <v>3854.3179999999902</v>
      </c>
      <c r="AH708">
        <f t="shared" ref="AH708:AH771" si="21">AG708-MAX($AG$3:$AG$2353)</f>
        <v>-6.5420000000099208</v>
      </c>
    </row>
    <row r="709" spans="32:34" x14ac:dyDescent="0.25">
      <c r="AF709">
        <v>70.599999999999994</v>
      </c>
      <c r="AG709">
        <v>3854.3375999999998</v>
      </c>
      <c r="AH709">
        <f t="shared" si="21"/>
        <v>-6.5224000000002889</v>
      </c>
    </row>
    <row r="710" spans="32:34" x14ac:dyDescent="0.25">
      <c r="AF710">
        <v>70.7</v>
      </c>
      <c r="AG710">
        <v>3854.3571999999999</v>
      </c>
      <c r="AH710">
        <f t="shared" si="21"/>
        <v>-6.5028000000002066</v>
      </c>
    </row>
    <row r="711" spans="32:34" x14ac:dyDescent="0.25">
      <c r="AF711">
        <v>70.8</v>
      </c>
      <c r="AG711">
        <v>3854.3768</v>
      </c>
      <c r="AH711">
        <f t="shared" si="21"/>
        <v>-6.4832000000001244</v>
      </c>
    </row>
    <row r="712" spans="32:34" x14ac:dyDescent="0.25">
      <c r="AF712">
        <v>70.900000000000006</v>
      </c>
      <c r="AG712">
        <v>3854.3963999999901</v>
      </c>
      <c r="AH712">
        <f t="shared" si="21"/>
        <v>-6.4636000000100466</v>
      </c>
    </row>
    <row r="713" spans="32:34" x14ac:dyDescent="0.25">
      <c r="AF713">
        <v>71</v>
      </c>
      <c r="AG713">
        <v>3854.4159999999902</v>
      </c>
      <c r="AH713">
        <f t="shared" si="21"/>
        <v>-6.4440000000099644</v>
      </c>
    </row>
    <row r="714" spans="32:34" x14ac:dyDescent="0.25">
      <c r="AF714">
        <v>71.099999999999994</v>
      </c>
      <c r="AG714">
        <v>3854.4355999999998</v>
      </c>
      <c r="AH714">
        <f t="shared" si="21"/>
        <v>-6.4244000000003325</v>
      </c>
    </row>
    <row r="715" spans="32:34" x14ac:dyDescent="0.25">
      <c r="AF715">
        <v>71.2</v>
      </c>
      <c r="AG715">
        <v>3854.4551999999999</v>
      </c>
      <c r="AH715">
        <f t="shared" si="21"/>
        <v>-6.4048000000002503</v>
      </c>
    </row>
    <row r="716" spans="32:34" x14ac:dyDescent="0.25">
      <c r="AF716">
        <v>71.3</v>
      </c>
      <c r="AG716">
        <v>3854.4748</v>
      </c>
      <c r="AH716">
        <f t="shared" si="21"/>
        <v>-6.3852000000001681</v>
      </c>
    </row>
    <row r="717" spans="32:34" x14ac:dyDescent="0.25">
      <c r="AF717">
        <v>71.400000000000006</v>
      </c>
      <c r="AG717">
        <v>3854.49439999999</v>
      </c>
      <c r="AH717">
        <f t="shared" si="21"/>
        <v>-6.3656000000100903</v>
      </c>
    </row>
    <row r="718" spans="32:34" x14ac:dyDescent="0.25">
      <c r="AF718">
        <v>71.5</v>
      </c>
      <c r="AG718">
        <v>3854.5139999999901</v>
      </c>
      <c r="AH718">
        <f t="shared" si="21"/>
        <v>-6.3460000000100081</v>
      </c>
    </row>
    <row r="719" spans="32:34" x14ac:dyDescent="0.25">
      <c r="AF719">
        <v>71.599999999999994</v>
      </c>
      <c r="AG719">
        <v>3854.5335999999902</v>
      </c>
      <c r="AH719">
        <f t="shared" si="21"/>
        <v>-6.3264000000099259</v>
      </c>
    </row>
    <row r="720" spans="32:34" x14ac:dyDescent="0.25">
      <c r="AF720">
        <v>71.7</v>
      </c>
      <c r="AG720">
        <v>3854.5531999999998</v>
      </c>
      <c r="AH720">
        <f t="shared" si="21"/>
        <v>-6.3068000000002939</v>
      </c>
    </row>
    <row r="721" spans="32:34" x14ac:dyDescent="0.25">
      <c r="AF721">
        <v>71.8</v>
      </c>
      <c r="AG721">
        <v>3854.5727999999999</v>
      </c>
      <c r="AH721">
        <f t="shared" si="21"/>
        <v>-6.2872000000002117</v>
      </c>
    </row>
    <row r="722" spans="32:34" x14ac:dyDescent="0.25">
      <c r="AF722">
        <v>71.900000000000006</v>
      </c>
      <c r="AG722">
        <v>3854.5924</v>
      </c>
      <c r="AH722">
        <f t="shared" si="21"/>
        <v>-6.2676000000001295</v>
      </c>
    </row>
    <row r="723" spans="32:34" x14ac:dyDescent="0.25">
      <c r="AF723">
        <v>72</v>
      </c>
      <c r="AG723">
        <v>3854.6119999999901</v>
      </c>
      <c r="AH723">
        <f t="shared" si="21"/>
        <v>-6.2480000000100517</v>
      </c>
    </row>
    <row r="724" spans="32:34" x14ac:dyDescent="0.25">
      <c r="AF724">
        <v>72.099999999999994</v>
      </c>
      <c r="AG724">
        <v>3854.6315999999902</v>
      </c>
      <c r="AH724">
        <f t="shared" si="21"/>
        <v>-6.2284000000099695</v>
      </c>
    </row>
    <row r="725" spans="32:34" x14ac:dyDescent="0.25">
      <c r="AF725">
        <v>72.2</v>
      </c>
      <c r="AG725">
        <v>3854.6511999999998</v>
      </c>
      <c r="AH725">
        <f t="shared" si="21"/>
        <v>-6.2088000000003376</v>
      </c>
    </row>
    <row r="726" spans="32:34" x14ac:dyDescent="0.25">
      <c r="AF726">
        <v>72.3</v>
      </c>
      <c r="AG726">
        <v>3854.6707999999999</v>
      </c>
      <c r="AH726">
        <f t="shared" si="21"/>
        <v>-6.1892000000002554</v>
      </c>
    </row>
    <row r="727" spans="32:34" x14ac:dyDescent="0.25">
      <c r="AF727">
        <v>72.400000000000006</v>
      </c>
      <c r="AG727">
        <v>3854.6904</v>
      </c>
      <c r="AH727">
        <f t="shared" si="21"/>
        <v>-6.1696000000001732</v>
      </c>
    </row>
    <row r="728" spans="32:34" x14ac:dyDescent="0.25">
      <c r="AF728">
        <v>72.5</v>
      </c>
      <c r="AG728">
        <v>3854.71</v>
      </c>
      <c r="AH728">
        <f t="shared" si="21"/>
        <v>-6.1500000000000909</v>
      </c>
    </row>
    <row r="729" spans="32:34" x14ac:dyDescent="0.25">
      <c r="AF729">
        <v>72.599999999999994</v>
      </c>
      <c r="AG729">
        <v>3854.7295999999901</v>
      </c>
      <c r="AH729">
        <f t="shared" si="21"/>
        <v>-6.1304000000100132</v>
      </c>
    </row>
    <row r="730" spans="32:34" x14ac:dyDescent="0.25">
      <c r="AF730">
        <v>72.7</v>
      </c>
      <c r="AG730">
        <v>3854.7491999999902</v>
      </c>
      <c r="AH730">
        <f t="shared" si="21"/>
        <v>-6.110800000009931</v>
      </c>
    </row>
    <row r="731" spans="32:34" x14ac:dyDescent="0.25">
      <c r="AF731">
        <v>72.8</v>
      </c>
      <c r="AG731">
        <v>3854.7687999999998</v>
      </c>
      <c r="AH731">
        <f t="shared" si="21"/>
        <v>-6.091200000000299</v>
      </c>
    </row>
    <row r="732" spans="32:34" x14ac:dyDescent="0.25">
      <c r="AF732">
        <v>72.900000000000006</v>
      </c>
      <c r="AG732">
        <v>3854.7883999999999</v>
      </c>
      <c r="AH732">
        <f t="shared" si="21"/>
        <v>-6.0716000000002168</v>
      </c>
    </row>
    <row r="733" spans="32:34" x14ac:dyDescent="0.25">
      <c r="AF733">
        <v>73</v>
      </c>
      <c r="AG733">
        <v>3854.808</v>
      </c>
      <c r="AH733">
        <f t="shared" si="21"/>
        <v>-6.0520000000001346</v>
      </c>
    </row>
    <row r="734" spans="32:34" x14ac:dyDescent="0.25">
      <c r="AF734">
        <v>73.099999999999994</v>
      </c>
      <c r="AG734">
        <v>3854.8275999999901</v>
      </c>
      <c r="AH734">
        <f t="shared" si="21"/>
        <v>-6.0324000000100568</v>
      </c>
    </row>
    <row r="735" spans="32:34" x14ac:dyDescent="0.25">
      <c r="AF735">
        <v>73.2</v>
      </c>
      <c r="AG735">
        <v>3854.8471999999902</v>
      </c>
      <c r="AH735">
        <f t="shared" si="21"/>
        <v>-6.0128000000099746</v>
      </c>
    </row>
    <row r="736" spans="32:34" x14ac:dyDescent="0.25">
      <c r="AF736">
        <v>73.3</v>
      </c>
      <c r="AG736">
        <v>3854.8667999999998</v>
      </c>
      <c r="AH736">
        <f t="shared" si="21"/>
        <v>-5.9932000000003427</v>
      </c>
    </row>
    <row r="737" spans="32:34" x14ac:dyDescent="0.25">
      <c r="AF737">
        <v>73.400000000000006</v>
      </c>
      <c r="AG737">
        <v>3854.8863999999999</v>
      </c>
      <c r="AH737">
        <f t="shared" si="21"/>
        <v>-5.9736000000002605</v>
      </c>
    </row>
    <row r="738" spans="32:34" x14ac:dyDescent="0.25">
      <c r="AF738">
        <v>73.5</v>
      </c>
      <c r="AG738">
        <v>3854.9059999999999</v>
      </c>
      <c r="AH738">
        <f t="shared" si="21"/>
        <v>-5.9540000000001783</v>
      </c>
    </row>
    <row r="739" spans="32:34" x14ac:dyDescent="0.25">
      <c r="AF739">
        <v>73.599999999999994</v>
      </c>
      <c r="AG739">
        <v>3854.9256</v>
      </c>
      <c r="AH739">
        <f t="shared" si="21"/>
        <v>-5.934400000000096</v>
      </c>
    </row>
    <row r="740" spans="32:34" x14ac:dyDescent="0.25">
      <c r="AF740">
        <v>73.7</v>
      </c>
      <c r="AG740">
        <v>3854.9451999999901</v>
      </c>
      <c r="AH740">
        <f t="shared" si="21"/>
        <v>-5.9148000000100183</v>
      </c>
    </row>
    <row r="741" spans="32:34" x14ac:dyDescent="0.25">
      <c r="AF741">
        <v>73.8</v>
      </c>
      <c r="AG741">
        <v>3854.9647999999902</v>
      </c>
      <c r="AH741">
        <f t="shared" si="21"/>
        <v>-5.895200000009936</v>
      </c>
    </row>
    <row r="742" spans="32:34" x14ac:dyDescent="0.25">
      <c r="AF742">
        <v>73.900000000000006</v>
      </c>
      <c r="AG742">
        <v>3854.9843999999998</v>
      </c>
      <c r="AH742">
        <f t="shared" si="21"/>
        <v>-5.8756000000003041</v>
      </c>
    </row>
    <row r="743" spans="32:34" x14ac:dyDescent="0.25">
      <c r="AF743">
        <v>74</v>
      </c>
      <c r="AG743">
        <v>3855.0039999999999</v>
      </c>
      <c r="AH743">
        <f t="shared" si="21"/>
        <v>-5.8560000000002219</v>
      </c>
    </row>
    <row r="744" spans="32:34" x14ac:dyDescent="0.25">
      <c r="AF744">
        <v>74.099999999999994</v>
      </c>
      <c r="AG744">
        <v>3855.0236</v>
      </c>
      <c r="AH744">
        <f t="shared" si="21"/>
        <v>-5.8364000000001397</v>
      </c>
    </row>
    <row r="745" spans="32:34" x14ac:dyDescent="0.25">
      <c r="AF745">
        <v>74.2</v>
      </c>
      <c r="AG745">
        <v>3855.0431999999901</v>
      </c>
      <c r="AH745">
        <f t="shared" si="21"/>
        <v>-5.8168000000100619</v>
      </c>
    </row>
    <row r="746" spans="32:34" x14ac:dyDescent="0.25">
      <c r="AF746">
        <v>74.3</v>
      </c>
      <c r="AG746">
        <v>3855.0627999999901</v>
      </c>
      <c r="AH746">
        <f t="shared" si="21"/>
        <v>-5.7972000000099797</v>
      </c>
    </row>
    <row r="747" spans="32:34" x14ac:dyDescent="0.25">
      <c r="AF747">
        <v>74.400000000000006</v>
      </c>
      <c r="AG747">
        <v>3855.0823999999998</v>
      </c>
      <c r="AH747">
        <f t="shared" si="21"/>
        <v>-5.7776000000003478</v>
      </c>
    </row>
    <row r="748" spans="32:34" x14ac:dyDescent="0.25">
      <c r="AF748">
        <v>74.5</v>
      </c>
      <c r="AG748">
        <v>3855.1019999999999</v>
      </c>
      <c r="AH748">
        <f t="shared" si="21"/>
        <v>-5.7580000000002656</v>
      </c>
    </row>
    <row r="749" spans="32:34" x14ac:dyDescent="0.25">
      <c r="AF749">
        <v>74.599999999999994</v>
      </c>
      <c r="AG749">
        <v>3855.1215999999999</v>
      </c>
      <c r="AH749">
        <f t="shared" si="21"/>
        <v>-5.7384000000001834</v>
      </c>
    </row>
    <row r="750" spans="32:34" x14ac:dyDescent="0.25">
      <c r="AF750">
        <v>74.7</v>
      </c>
      <c r="AG750">
        <v>3855.1412</v>
      </c>
      <c r="AH750">
        <f t="shared" si="21"/>
        <v>-5.7188000000001011</v>
      </c>
    </row>
    <row r="751" spans="32:34" x14ac:dyDescent="0.25">
      <c r="AF751">
        <v>74.8</v>
      </c>
      <c r="AG751">
        <v>3855.1607999999901</v>
      </c>
      <c r="AH751">
        <f t="shared" si="21"/>
        <v>-5.6992000000100234</v>
      </c>
    </row>
    <row r="752" spans="32:34" x14ac:dyDescent="0.25">
      <c r="AF752">
        <v>74.900000000000006</v>
      </c>
      <c r="AG752">
        <v>3855.1803999999902</v>
      </c>
      <c r="AH752">
        <f t="shared" si="21"/>
        <v>-5.6796000000099411</v>
      </c>
    </row>
    <row r="753" spans="32:34" x14ac:dyDescent="0.25">
      <c r="AF753">
        <v>75</v>
      </c>
      <c r="AG753">
        <v>3855.2</v>
      </c>
      <c r="AH753">
        <f t="shared" si="21"/>
        <v>-5.6600000000003092</v>
      </c>
    </row>
    <row r="754" spans="32:34" x14ac:dyDescent="0.25">
      <c r="AF754">
        <v>75.099999999999994</v>
      </c>
      <c r="AG754">
        <v>3855.2431999999999</v>
      </c>
      <c r="AH754">
        <f t="shared" si="21"/>
        <v>-5.6168000000002394</v>
      </c>
    </row>
    <row r="755" spans="32:34" x14ac:dyDescent="0.25">
      <c r="AF755">
        <v>75.2</v>
      </c>
      <c r="AG755">
        <v>3855.2864</v>
      </c>
      <c r="AH755">
        <f t="shared" si="21"/>
        <v>-5.5736000000001695</v>
      </c>
    </row>
    <row r="756" spans="32:34" x14ac:dyDescent="0.25">
      <c r="AF756">
        <v>75.3</v>
      </c>
      <c r="AG756">
        <v>3855.3296</v>
      </c>
      <c r="AH756">
        <f t="shared" si="21"/>
        <v>-5.5304000000000997</v>
      </c>
    </row>
    <row r="757" spans="32:34" x14ac:dyDescent="0.25">
      <c r="AF757">
        <v>75.400000000000006</v>
      </c>
      <c r="AG757">
        <v>3855.3727999999901</v>
      </c>
      <c r="AH757">
        <f t="shared" si="21"/>
        <v>-5.4872000000100343</v>
      </c>
    </row>
    <row r="758" spans="32:34" x14ac:dyDescent="0.25">
      <c r="AF758">
        <v>75.5</v>
      </c>
      <c r="AG758">
        <v>3855.4159999999902</v>
      </c>
      <c r="AH758">
        <f t="shared" si="21"/>
        <v>-5.4440000000099644</v>
      </c>
    </row>
    <row r="759" spans="32:34" x14ac:dyDescent="0.25">
      <c r="AF759">
        <v>75.599999999999994</v>
      </c>
      <c r="AG759">
        <v>3855.4591999999998</v>
      </c>
      <c r="AH759">
        <f t="shared" si="21"/>
        <v>-5.4008000000003449</v>
      </c>
    </row>
    <row r="760" spans="32:34" x14ac:dyDescent="0.25">
      <c r="AF760">
        <v>75.7</v>
      </c>
      <c r="AG760">
        <v>3855.5023999999999</v>
      </c>
      <c r="AH760">
        <f t="shared" si="21"/>
        <v>-5.357600000000275</v>
      </c>
    </row>
    <row r="761" spans="32:34" x14ac:dyDescent="0.25">
      <c r="AF761">
        <v>75.8</v>
      </c>
      <c r="AG761">
        <v>3855.5455999999999</v>
      </c>
      <c r="AH761">
        <f t="shared" si="21"/>
        <v>-5.3144000000002052</v>
      </c>
    </row>
    <row r="762" spans="32:34" x14ac:dyDescent="0.25">
      <c r="AF762">
        <v>75.900000000000006</v>
      </c>
      <c r="AG762">
        <v>3855.5888</v>
      </c>
      <c r="AH762">
        <f t="shared" si="21"/>
        <v>-5.2712000000001353</v>
      </c>
    </row>
    <row r="763" spans="32:34" x14ac:dyDescent="0.25">
      <c r="AF763">
        <v>76</v>
      </c>
      <c r="AG763">
        <v>3855.6320000000001</v>
      </c>
      <c r="AH763">
        <f t="shared" si="21"/>
        <v>-5.2280000000000655</v>
      </c>
    </row>
    <row r="764" spans="32:34" x14ac:dyDescent="0.25">
      <c r="AF764">
        <v>76.099999999999994</v>
      </c>
      <c r="AG764">
        <v>3855.6751999999901</v>
      </c>
      <c r="AH764">
        <f t="shared" si="21"/>
        <v>-5.1848000000100001</v>
      </c>
    </row>
    <row r="765" spans="32:34" x14ac:dyDescent="0.25">
      <c r="AF765">
        <v>76.2</v>
      </c>
      <c r="AG765">
        <v>3855.7183999999902</v>
      </c>
      <c r="AH765">
        <f t="shared" si="21"/>
        <v>-5.1416000000099302</v>
      </c>
    </row>
    <row r="766" spans="32:34" x14ac:dyDescent="0.25">
      <c r="AF766">
        <v>76.3</v>
      </c>
      <c r="AG766">
        <v>3855.7615999999998</v>
      </c>
      <c r="AH766">
        <f t="shared" si="21"/>
        <v>-5.0984000000003107</v>
      </c>
    </row>
    <row r="767" spans="32:34" x14ac:dyDescent="0.25">
      <c r="AF767">
        <v>76.400000000000006</v>
      </c>
      <c r="AG767">
        <v>3855.8047999999999</v>
      </c>
      <c r="AH767">
        <f t="shared" si="21"/>
        <v>-5.0552000000002408</v>
      </c>
    </row>
    <row r="768" spans="32:34" x14ac:dyDescent="0.25">
      <c r="AF768">
        <v>76.5</v>
      </c>
      <c r="AG768">
        <v>3855.848</v>
      </c>
      <c r="AH768">
        <f t="shared" si="21"/>
        <v>-5.012000000000171</v>
      </c>
    </row>
    <row r="769" spans="32:34" x14ac:dyDescent="0.25">
      <c r="AF769">
        <v>76.599999999999994</v>
      </c>
      <c r="AG769">
        <v>3855.8912</v>
      </c>
      <c r="AH769">
        <f t="shared" si="21"/>
        <v>-4.9688000000001011</v>
      </c>
    </row>
    <row r="770" spans="32:34" x14ac:dyDescent="0.25">
      <c r="AF770">
        <v>76.7</v>
      </c>
      <c r="AG770">
        <v>3855.9344000000001</v>
      </c>
      <c r="AH770">
        <f t="shared" si="21"/>
        <v>-4.9256000000000313</v>
      </c>
    </row>
    <row r="771" spans="32:34" x14ac:dyDescent="0.25">
      <c r="AF771">
        <v>76.8</v>
      </c>
      <c r="AG771">
        <v>3855.9775999999902</v>
      </c>
      <c r="AH771">
        <f t="shared" si="21"/>
        <v>-4.8824000000099659</v>
      </c>
    </row>
    <row r="772" spans="32:34" x14ac:dyDescent="0.25">
      <c r="AF772">
        <v>76.900000000000006</v>
      </c>
      <c r="AG772">
        <v>3856.0207999999998</v>
      </c>
      <c r="AH772">
        <f t="shared" ref="AH772:AH835" si="22">AG772-MAX($AG$3:$AG$2353)</f>
        <v>-4.8392000000003463</v>
      </c>
    </row>
    <row r="773" spans="32:34" x14ac:dyDescent="0.25">
      <c r="AF773">
        <v>77</v>
      </c>
      <c r="AG773">
        <v>3856.0639999999999</v>
      </c>
      <c r="AH773">
        <f t="shared" si="22"/>
        <v>-4.7960000000002765</v>
      </c>
    </row>
    <row r="774" spans="32:34" x14ac:dyDescent="0.25">
      <c r="AF774">
        <v>77.099999999999994</v>
      </c>
      <c r="AG774">
        <v>3856.1071999999999</v>
      </c>
      <c r="AH774">
        <f t="shared" si="22"/>
        <v>-4.7528000000002066</v>
      </c>
    </row>
    <row r="775" spans="32:34" x14ac:dyDescent="0.25">
      <c r="AF775">
        <v>77.2</v>
      </c>
      <c r="AG775">
        <v>3856.1504</v>
      </c>
      <c r="AH775">
        <f t="shared" si="22"/>
        <v>-4.7096000000001368</v>
      </c>
    </row>
    <row r="776" spans="32:34" x14ac:dyDescent="0.25">
      <c r="AF776">
        <v>77.3</v>
      </c>
      <c r="AG776">
        <v>3856.1936000000001</v>
      </c>
      <c r="AH776">
        <f t="shared" si="22"/>
        <v>-4.6664000000000669</v>
      </c>
    </row>
    <row r="777" spans="32:34" x14ac:dyDescent="0.25">
      <c r="AF777">
        <v>77.400000000000006</v>
      </c>
      <c r="AG777">
        <v>3856.2368000000001</v>
      </c>
      <c r="AH777">
        <f t="shared" si="22"/>
        <v>-4.6231999999999971</v>
      </c>
    </row>
    <row r="778" spans="32:34" x14ac:dyDescent="0.25">
      <c r="AF778">
        <v>77.5</v>
      </c>
      <c r="AG778">
        <v>3856.2799999999902</v>
      </c>
      <c r="AH778">
        <f t="shared" si="22"/>
        <v>-4.5800000000099317</v>
      </c>
    </row>
    <row r="779" spans="32:34" x14ac:dyDescent="0.25">
      <c r="AF779">
        <v>77.599999999999994</v>
      </c>
      <c r="AG779">
        <v>3856.3231999999998</v>
      </c>
      <c r="AH779">
        <f t="shared" si="22"/>
        <v>-4.5368000000003121</v>
      </c>
    </row>
    <row r="780" spans="32:34" x14ac:dyDescent="0.25">
      <c r="AF780">
        <v>77.7</v>
      </c>
      <c r="AG780">
        <v>3856.3663999999999</v>
      </c>
      <c r="AH780">
        <f t="shared" si="22"/>
        <v>-4.4936000000002423</v>
      </c>
    </row>
    <row r="781" spans="32:34" x14ac:dyDescent="0.25">
      <c r="AF781">
        <v>77.8</v>
      </c>
      <c r="AG781">
        <v>3856.4096</v>
      </c>
      <c r="AH781">
        <f t="shared" si="22"/>
        <v>-4.4504000000001724</v>
      </c>
    </row>
    <row r="782" spans="32:34" x14ac:dyDescent="0.25">
      <c r="AF782">
        <v>77.900000000000006</v>
      </c>
      <c r="AG782">
        <v>3856.4528</v>
      </c>
      <c r="AH782">
        <f t="shared" si="22"/>
        <v>-4.4072000000001026</v>
      </c>
    </row>
    <row r="783" spans="32:34" x14ac:dyDescent="0.25">
      <c r="AF783">
        <v>78</v>
      </c>
      <c r="AG783">
        <v>3856.4960000000001</v>
      </c>
      <c r="AH783">
        <f t="shared" si="22"/>
        <v>-4.3640000000000327</v>
      </c>
    </row>
    <row r="784" spans="32:34" x14ac:dyDescent="0.25">
      <c r="AF784">
        <v>78.099999999999994</v>
      </c>
      <c r="AG784">
        <v>3856.5392000000002</v>
      </c>
      <c r="AH784">
        <f t="shared" si="22"/>
        <v>-4.3207999999999629</v>
      </c>
    </row>
    <row r="785" spans="32:34" x14ac:dyDescent="0.25">
      <c r="AF785">
        <v>78.2</v>
      </c>
      <c r="AG785">
        <v>3856.5823999999998</v>
      </c>
      <c r="AH785">
        <f t="shared" si="22"/>
        <v>-4.2776000000003478</v>
      </c>
    </row>
    <row r="786" spans="32:34" x14ac:dyDescent="0.25">
      <c r="AF786">
        <v>78.3</v>
      </c>
      <c r="AG786">
        <v>3856.6255999999998</v>
      </c>
      <c r="AH786">
        <f t="shared" si="22"/>
        <v>-4.2344000000002779</v>
      </c>
    </row>
    <row r="787" spans="32:34" x14ac:dyDescent="0.25">
      <c r="AF787">
        <v>78.400000000000006</v>
      </c>
      <c r="AG787">
        <v>3856.6687999999999</v>
      </c>
      <c r="AH787">
        <f t="shared" si="22"/>
        <v>-4.1912000000002081</v>
      </c>
    </row>
    <row r="788" spans="32:34" x14ac:dyDescent="0.25">
      <c r="AF788">
        <v>78.5</v>
      </c>
      <c r="AG788">
        <v>3856.712</v>
      </c>
      <c r="AH788">
        <f t="shared" si="22"/>
        <v>-4.1480000000001382</v>
      </c>
    </row>
    <row r="789" spans="32:34" x14ac:dyDescent="0.25">
      <c r="AF789">
        <v>78.599999999999994</v>
      </c>
      <c r="AG789">
        <v>3856.7552000000001</v>
      </c>
      <c r="AH789">
        <f t="shared" si="22"/>
        <v>-4.1048000000000684</v>
      </c>
    </row>
    <row r="790" spans="32:34" x14ac:dyDescent="0.25">
      <c r="AF790">
        <v>78.7</v>
      </c>
      <c r="AG790">
        <v>3856.7984000000001</v>
      </c>
      <c r="AH790">
        <f t="shared" si="22"/>
        <v>-4.0615999999999985</v>
      </c>
    </row>
    <row r="791" spans="32:34" x14ac:dyDescent="0.25">
      <c r="AF791">
        <v>78.8</v>
      </c>
      <c r="AG791">
        <v>3856.8416000000002</v>
      </c>
      <c r="AH791">
        <f t="shared" si="22"/>
        <v>-4.0183999999999287</v>
      </c>
    </row>
    <row r="792" spans="32:34" x14ac:dyDescent="0.25">
      <c r="AF792">
        <v>78.900000000000006</v>
      </c>
      <c r="AG792">
        <v>3856.8847999999998</v>
      </c>
      <c r="AH792">
        <f t="shared" si="22"/>
        <v>-3.9752000000003136</v>
      </c>
    </row>
    <row r="793" spans="32:34" x14ac:dyDescent="0.25">
      <c r="AF793">
        <v>79</v>
      </c>
      <c r="AG793">
        <v>3856.9279999999999</v>
      </c>
      <c r="AH793">
        <f t="shared" si="22"/>
        <v>-3.9320000000002437</v>
      </c>
    </row>
    <row r="794" spans="32:34" x14ac:dyDescent="0.25">
      <c r="AF794">
        <v>79.099999999999994</v>
      </c>
      <c r="AG794">
        <v>3856.9712</v>
      </c>
      <c r="AH794">
        <f t="shared" si="22"/>
        <v>-3.8888000000001739</v>
      </c>
    </row>
    <row r="795" spans="32:34" x14ac:dyDescent="0.25">
      <c r="AF795">
        <v>79.2</v>
      </c>
      <c r="AG795">
        <v>3857.0144</v>
      </c>
      <c r="AH795">
        <f t="shared" si="22"/>
        <v>-3.845600000000104</v>
      </c>
    </row>
    <row r="796" spans="32:34" x14ac:dyDescent="0.25">
      <c r="AF796">
        <v>79.3</v>
      </c>
      <c r="AG796">
        <v>3857.0576000000001</v>
      </c>
      <c r="AH796">
        <f t="shared" si="22"/>
        <v>-3.8024000000000342</v>
      </c>
    </row>
    <row r="797" spans="32:34" x14ac:dyDescent="0.25">
      <c r="AF797">
        <v>79.400000000000006</v>
      </c>
      <c r="AG797">
        <v>3857.1008000000002</v>
      </c>
      <c r="AH797">
        <f t="shared" si="22"/>
        <v>-3.7591999999999643</v>
      </c>
    </row>
    <row r="798" spans="32:34" x14ac:dyDescent="0.25">
      <c r="AF798">
        <v>79.5</v>
      </c>
      <c r="AG798">
        <v>3857.1439999999998</v>
      </c>
      <c r="AH798">
        <f t="shared" si="22"/>
        <v>-3.7160000000003492</v>
      </c>
    </row>
    <row r="799" spans="32:34" x14ac:dyDescent="0.25">
      <c r="AF799">
        <v>79.599999999999994</v>
      </c>
      <c r="AG799">
        <v>3857.1871999999998</v>
      </c>
      <c r="AH799">
        <f t="shared" si="22"/>
        <v>-3.6728000000002794</v>
      </c>
    </row>
    <row r="800" spans="32:34" x14ac:dyDescent="0.25">
      <c r="AF800">
        <v>79.7</v>
      </c>
      <c r="AG800">
        <v>3857.2303999999999</v>
      </c>
      <c r="AH800">
        <f t="shared" si="22"/>
        <v>-3.6296000000002095</v>
      </c>
    </row>
    <row r="801" spans="32:34" x14ac:dyDescent="0.25">
      <c r="AF801">
        <v>79.8</v>
      </c>
      <c r="AG801">
        <v>3857.2736</v>
      </c>
      <c r="AH801">
        <f t="shared" si="22"/>
        <v>-3.5864000000001397</v>
      </c>
    </row>
    <row r="802" spans="32:34" x14ac:dyDescent="0.25">
      <c r="AF802">
        <v>79.900000000000006</v>
      </c>
      <c r="AG802">
        <v>3857.3168000000001</v>
      </c>
      <c r="AH802">
        <f t="shared" si="22"/>
        <v>-3.5432000000000698</v>
      </c>
    </row>
    <row r="803" spans="32:34" x14ac:dyDescent="0.25">
      <c r="AF803">
        <v>80</v>
      </c>
      <c r="AG803">
        <v>3857.36</v>
      </c>
      <c r="AH803">
        <f t="shared" si="22"/>
        <v>-3.5</v>
      </c>
    </row>
    <row r="804" spans="32:34" x14ac:dyDescent="0.25">
      <c r="AF804">
        <v>80.099999999999994</v>
      </c>
      <c r="AG804">
        <v>3857.3665999999998</v>
      </c>
      <c r="AH804">
        <f t="shared" si="22"/>
        <v>-3.4934000000002925</v>
      </c>
    </row>
    <row r="805" spans="32:34" x14ac:dyDescent="0.25">
      <c r="AF805">
        <v>80.2</v>
      </c>
      <c r="AG805">
        <v>3857.3732</v>
      </c>
      <c r="AH805">
        <f t="shared" si="22"/>
        <v>-3.4868000000001302</v>
      </c>
    </row>
    <row r="806" spans="32:34" x14ac:dyDescent="0.25">
      <c r="AF806">
        <v>80.3</v>
      </c>
      <c r="AG806">
        <v>3857.3798000000002</v>
      </c>
      <c r="AH806">
        <f t="shared" si="22"/>
        <v>-3.480199999999968</v>
      </c>
    </row>
    <row r="807" spans="32:34" x14ac:dyDescent="0.25">
      <c r="AF807">
        <v>80.400000000000006</v>
      </c>
      <c r="AG807">
        <v>3857.3863999999999</v>
      </c>
      <c r="AH807">
        <f t="shared" si="22"/>
        <v>-3.4736000000002605</v>
      </c>
    </row>
    <row r="808" spans="32:34" x14ac:dyDescent="0.25">
      <c r="AF808">
        <v>80.5</v>
      </c>
      <c r="AG808">
        <v>3857.393</v>
      </c>
      <c r="AH808">
        <f t="shared" si="22"/>
        <v>-3.4670000000000982</v>
      </c>
    </row>
    <row r="809" spans="32:34" x14ac:dyDescent="0.25">
      <c r="AF809">
        <v>80.599999999999994</v>
      </c>
      <c r="AG809">
        <v>3857.3996000000002</v>
      </c>
      <c r="AH809">
        <f t="shared" si="22"/>
        <v>-3.460399999999936</v>
      </c>
    </row>
    <row r="810" spans="32:34" x14ac:dyDescent="0.25">
      <c r="AF810">
        <v>80.7</v>
      </c>
      <c r="AG810">
        <v>3857.4061999999999</v>
      </c>
      <c r="AH810">
        <f t="shared" si="22"/>
        <v>-3.4538000000002285</v>
      </c>
    </row>
    <row r="811" spans="32:34" x14ac:dyDescent="0.25">
      <c r="AF811">
        <v>80.8</v>
      </c>
      <c r="AG811">
        <v>3857.4128000000001</v>
      </c>
      <c r="AH811">
        <f t="shared" si="22"/>
        <v>-3.4472000000000662</v>
      </c>
    </row>
    <row r="812" spans="32:34" x14ac:dyDescent="0.25">
      <c r="AF812">
        <v>80.900000000000006</v>
      </c>
      <c r="AG812">
        <v>3857.4194000000002</v>
      </c>
      <c r="AH812">
        <f t="shared" si="22"/>
        <v>-3.440599999999904</v>
      </c>
    </row>
    <row r="813" spans="32:34" x14ac:dyDescent="0.25">
      <c r="AF813">
        <v>81</v>
      </c>
      <c r="AG813">
        <v>3857.4259999999999</v>
      </c>
      <c r="AH813">
        <f t="shared" si="22"/>
        <v>-3.4340000000001965</v>
      </c>
    </row>
    <row r="814" spans="32:34" x14ac:dyDescent="0.25">
      <c r="AF814">
        <v>81.099999999999994</v>
      </c>
      <c r="AG814">
        <v>3857.4326000000001</v>
      </c>
      <c r="AH814">
        <f t="shared" si="22"/>
        <v>-3.4274000000000342</v>
      </c>
    </row>
    <row r="815" spans="32:34" x14ac:dyDescent="0.25">
      <c r="AF815">
        <v>81.2</v>
      </c>
      <c r="AG815">
        <v>3857.4391999999998</v>
      </c>
      <c r="AH815">
        <f t="shared" si="22"/>
        <v>-3.4208000000003267</v>
      </c>
    </row>
    <row r="816" spans="32:34" x14ac:dyDescent="0.25">
      <c r="AF816">
        <v>81.3</v>
      </c>
      <c r="AG816">
        <v>3857.4458</v>
      </c>
      <c r="AH816">
        <f t="shared" si="22"/>
        <v>-3.4142000000001644</v>
      </c>
    </row>
    <row r="817" spans="32:34" x14ac:dyDescent="0.25">
      <c r="AF817">
        <v>81.400000000000006</v>
      </c>
      <c r="AG817">
        <v>3857.4524000000001</v>
      </c>
      <c r="AH817">
        <f t="shared" si="22"/>
        <v>-3.4076000000000022</v>
      </c>
    </row>
    <row r="818" spans="32:34" x14ac:dyDescent="0.25">
      <c r="AF818">
        <v>81.5</v>
      </c>
      <c r="AG818">
        <v>3857.4589999999998</v>
      </c>
      <c r="AH818">
        <f t="shared" si="22"/>
        <v>-3.4010000000002947</v>
      </c>
    </row>
    <row r="819" spans="32:34" x14ac:dyDescent="0.25">
      <c r="AF819">
        <v>81.599999999999994</v>
      </c>
      <c r="AG819">
        <v>3857.4656</v>
      </c>
      <c r="AH819">
        <f t="shared" si="22"/>
        <v>-3.3944000000001324</v>
      </c>
    </row>
    <row r="820" spans="32:34" x14ac:dyDescent="0.25">
      <c r="AF820">
        <v>81.7</v>
      </c>
      <c r="AG820">
        <v>3857.4722000000002</v>
      </c>
      <c r="AH820">
        <f t="shared" si="22"/>
        <v>-3.3877999999999702</v>
      </c>
    </row>
    <row r="821" spans="32:34" x14ac:dyDescent="0.25">
      <c r="AF821">
        <v>81.8</v>
      </c>
      <c r="AG821">
        <v>3857.4787999999999</v>
      </c>
      <c r="AH821">
        <f t="shared" si="22"/>
        <v>-3.3812000000002627</v>
      </c>
    </row>
    <row r="822" spans="32:34" x14ac:dyDescent="0.25">
      <c r="AF822">
        <v>81.900000000000006</v>
      </c>
      <c r="AG822">
        <v>3857.4854</v>
      </c>
      <c r="AH822">
        <f t="shared" si="22"/>
        <v>-3.3746000000001004</v>
      </c>
    </row>
    <row r="823" spans="32:34" x14ac:dyDescent="0.25">
      <c r="AF823">
        <v>82</v>
      </c>
      <c r="AG823">
        <v>3857.4920000000002</v>
      </c>
      <c r="AH823">
        <f t="shared" si="22"/>
        <v>-3.3679999999999382</v>
      </c>
    </row>
    <row r="824" spans="32:34" x14ac:dyDescent="0.25">
      <c r="AF824">
        <v>82.1</v>
      </c>
      <c r="AG824">
        <v>3857.4985999999999</v>
      </c>
      <c r="AH824">
        <f t="shared" si="22"/>
        <v>-3.3614000000002306</v>
      </c>
    </row>
    <row r="825" spans="32:34" x14ac:dyDescent="0.25">
      <c r="AF825">
        <v>82.2</v>
      </c>
      <c r="AG825">
        <v>3857.5052000000001</v>
      </c>
      <c r="AH825">
        <f t="shared" si="22"/>
        <v>-3.3548000000000684</v>
      </c>
    </row>
    <row r="826" spans="32:34" x14ac:dyDescent="0.25">
      <c r="AF826">
        <v>82.3</v>
      </c>
      <c r="AG826">
        <v>3857.5118000000002</v>
      </c>
      <c r="AH826">
        <f t="shared" si="22"/>
        <v>-3.3481999999999061</v>
      </c>
    </row>
    <row r="827" spans="32:34" x14ac:dyDescent="0.25">
      <c r="AF827">
        <v>82.4</v>
      </c>
      <c r="AG827">
        <v>3857.5183999999999</v>
      </c>
      <c r="AH827">
        <f t="shared" si="22"/>
        <v>-3.3416000000001986</v>
      </c>
    </row>
    <row r="828" spans="32:34" x14ac:dyDescent="0.25">
      <c r="AF828">
        <v>82.5</v>
      </c>
      <c r="AG828">
        <v>3857.5250000000001</v>
      </c>
      <c r="AH828">
        <f t="shared" si="22"/>
        <v>-3.3350000000000364</v>
      </c>
    </row>
    <row r="829" spans="32:34" x14ac:dyDescent="0.25">
      <c r="AF829">
        <v>82.6</v>
      </c>
      <c r="AG829">
        <v>3857.5315999999998</v>
      </c>
      <c r="AH829">
        <f t="shared" si="22"/>
        <v>-3.3284000000003289</v>
      </c>
    </row>
    <row r="830" spans="32:34" x14ac:dyDescent="0.25">
      <c r="AF830">
        <v>82.7</v>
      </c>
      <c r="AG830">
        <v>3857.5382</v>
      </c>
      <c r="AH830">
        <f t="shared" si="22"/>
        <v>-3.3218000000001666</v>
      </c>
    </row>
    <row r="831" spans="32:34" x14ac:dyDescent="0.25">
      <c r="AF831">
        <v>82.8</v>
      </c>
      <c r="AG831">
        <v>3857.5448000000001</v>
      </c>
      <c r="AH831">
        <f t="shared" si="22"/>
        <v>-3.3152000000000044</v>
      </c>
    </row>
    <row r="832" spans="32:34" x14ac:dyDescent="0.25">
      <c r="AF832">
        <v>82.9</v>
      </c>
      <c r="AG832">
        <v>3857.5513999999998</v>
      </c>
      <c r="AH832">
        <f t="shared" si="22"/>
        <v>-3.3086000000002969</v>
      </c>
    </row>
    <row r="833" spans="32:34" x14ac:dyDescent="0.25">
      <c r="AF833">
        <v>83</v>
      </c>
      <c r="AG833">
        <v>3857.558</v>
      </c>
      <c r="AH833">
        <f t="shared" si="22"/>
        <v>-3.3020000000001346</v>
      </c>
    </row>
    <row r="834" spans="32:34" x14ac:dyDescent="0.25">
      <c r="AF834">
        <v>83.1</v>
      </c>
      <c r="AG834">
        <v>3857.5646000000002</v>
      </c>
      <c r="AH834">
        <f t="shared" si="22"/>
        <v>-3.2953999999999724</v>
      </c>
    </row>
    <row r="835" spans="32:34" x14ac:dyDescent="0.25">
      <c r="AF835">
        <v>83.2</v>
      </c>
      <c r="AG835">
        <v>3857.5711999999999</v>
      </c>
      <c r="AH835">
        <f t="shared" si="22"/>
        <v>-3.2888000000002648</v>
      </c>
    </row>
    <row r="836" spans="32:34" x14ac:dyDescent="0.25">
      <c r="AF836">
        <v>83.3</v>
      </c>
      <c r="AG836">
        <v>3857.5778</v>
      </c>
      <c r="AH836">
        <f t="shared" ref="AH836:AH899" si="23">AG836-MAX($AG$3:$AG$2353)</f>
        <v>-3.2822000000001026</v>
      </c>
    </row>
    <row r="837" spans="32:34" x14ac:dyDescent="0.25">
      <c r="AF837">
        <v>83.4</v>
      </c>
      <c r="AG837">
        <v>3857.5844000000002</v>
      </c>
      <c r="AH837">
        <f t="shared" si="23"/>
        <v>-3.2755999999999403</v>
      </c>
    </row>
    <row r="838" spans="32:34" x14ac:dyDescent="0.25">
      <c r="AF838">
        <v>83.5</v>
      </c>
      <c r="AG838">
        <v>3857.5909999999999</v>
      </c>
      <c r="AH838">
        <f t="shared" si="23"/>
        <v>-3.2690000000002328</v>
      </c>
    </row>
    <row r="839" spans="32:34" x14ac:dyDescent="0.25">
      <c r="AF839">
        <v>83.6</v>
      </c>
      <c r="AG839">
        <v>3857.5976000000001</v>
      </c>
      <c r="AH839">
        <f t="shared" si="23"/>
        <v>-3.2624000000000706</v>
      </c>
    </row>
    <row r="840" spans="32:34" x14ac:dyDescent="0.25">
      <c r="AF840">
        <v>83.7</v>
      </c>
      <c r="AG840">
        <v>3857.6042000000002</v>
      </c>
      <c r="AH840">
        <f t="shared" si="23"/>
        <v>-3.2557999999999083</v>
      </c>
    </row>
    <row r="841" spans="32:34" x14ac:dyDescent="0.25">
      <c r="AF841">
        <v>83.8</v>
      </c>
      <c r="AG841">
        <v>3857.6107999999999</v>
      </c>
      <c r="AH841">
        <f t="shared" si="23"/>
        <v>-3.2492000000002008</v>
      </c>
    </row>
    <row r="842" spans="32:34" x14ac:dyDescent="0.25">
      <c r="AF842">
        <v>83.9</v>
      </c>
      <c r="AG842">
        <v>3857.6174000000001</v>
      </c>
      <c r="AH842">
        <f t="shared" si="23"/>
        <v>-3.2426000000000386</v>
      </c>
    </row>
    <row r="843" spans="32:34" x14ac:dyDescent="0.25">
      <c r="AF843">
        <v>84</v>
      </c>
      <c r="AG843">
        <v>3857.6239999999998</v>
      </c>
      <c r="AH843">
        <f t="shared" si="23"/>
        <v>-3.2360000000003311</v>
      </c>
    </row>
    <row r="844" spans="32:34" x14ac:dyDescent="0.25">
      <c r="AF844">
        <v>84.1</v>
      </c>
      <c r="AG844">
        <v>3857.6306</v>
      </c>
      <c r="AH844">
        <f t="shared" si="23"/>
        <v>-3.2294000000001688</v>
      </c>
    </row>
    <row r="845" spans="32:34" x14ac:dyDescent="0.25">
      <c r="AF845">
        <v>84.2</v>
      </c>
      <c r="AG845">
        <v>3857.6372000000001</v>
      </c>
      <c r="AH845">
        <f t="shared" si="23"/>
        <v>-3.2228000000000065</v>
      </c>
    </row>
    <row r="846" spans="32:34" x14ac:dyDescent="0.25">
      <c r="AF846">
        <v>84.3</v>
      </c>
      <c r="AG846">
        <v>3857.6437999999998</v>
      </c>
      <c r="AH846">
        <f t="shared" si="23"/>
        <v>-3.216200000000299</v>
      </c>
    </row>
    <row r="847" spans="32:34" x14ac:dyDescent="0.25">
      <c r="AF847">
        <v>84.4</v>
      </c>
      <c r="AG847">
        <v>3857.6504</v>
      </c>
      <c r="AH847">
        <f t="shared" si="23"/>
        <v>-3.2096000000001368</v>
      </c>
    </row>
    <row r="848" spans="32:34" x14ac:dyDescent="0.25">
      <c r="AF848">
        <v>84.5</v>
      </c>
      <c r="AG848">
        <v>3857.6570000000002</v>
      </c>
      <c r="AH848">
        <f t="shared" si="23"/>
        <v>-3.2029999999999745</v>
      </c>
    </row>
    <row r="849" spans="32:34" x14ac:dyDescent="0.25">
      <c r="AF849">
        <v>84.6</v>
      </c>
      <c r="AG849">
        <v>3857.6635999999999</v>
      </c>
      <c r="AH849">
        <f t="shared" si="23"/>
        <v>-3.196400000000267</v>
      </c>
    </row>
    <row r="850" spans="32:34" x14ac:dyDescent="0.25">
      <c r="AF850">
        <v>84.7</v>
      </c>
      <c r="AG850">
        <v>3857.6702</v>
      </c>
      <c r="AH850">
        <f t="shared" si="23"/>
        <v>-3.1898000000001048</v>
      </c>
    </row>
    <row r="851" spans="32:34" x14ac:dyDescent="0.25">
      <c r="AF851">
        <v>84.8</v>
      </c>
      <c r="AG851">
        <v>3857.6768000000002</v>
      </c>
      <c r="AH851">
        <f t="shared" si="23"/>
        <v>-3.1831999999999425</v>
      </c>
    </row>
    <row r="852" spans="32:34" x14ac:dyDescent="0.25">
      <c r="AF852">
        <v>84.9</v>
      </c>
      <c r="AG852">
        <v>3857.6833999999999</v>
      </c>
      <c r="AH852">
        <f t="shared" si="23"/>
        <v>-3.176600000000235</v>
      </c>
    </row>
    <row r="853" spans="32:34" x14ac:dyDescent="0.25">
      <c r="AF853">
        <v>85</v>
      </c>
      <c r="AG853">
        <v>3857.69</v>
      </c>
      <c r="AH853">
        <f t="shared" si="23"/>
        <v>-3.1700000000000728</v>
      </c>
    </row>
    <row r="854" spans="32:34" x14ac:dyDescent="0.25">
      <c r="AF854">
        <v>85.1</v>
      </c>
      <c r="AG854">
        <v>3857.6912000000002</v>
      </c>
      <c r="AH854">
        <f t="shared" si="23"/>
        <v>-3.1687999999999192</v>
      </c>
    </row>
    <row r="855" spans="32:34" x14ac:dyDescent="0.25">
      <c r="AF855">
        <v>85.2</v>
      </c>
      <c r="AG855">
        <v>3857.6923999999999</v>
      </c>
      <c r="AH855">
        <f t="shared" si="23"/>
        <v>-3.1676000000002205</v>
      </c>
    </row>
    <row r="856" spans="32:34" x14ac:dyDescent="0.25">
      <c r="AF856">
        <v>85.3</v>
      </c>
      <c r="AG856">
        <v>3857.6936000000001</v>
      </c>
      <c r="AH856">
        <f t="shared" si="23"/>
        <v>-3.1664000000000669</v>
      </c>
    </row>
    <row r="857" spans="32:34" x14ac:dyDescent="0.25">
      <c r="AF857">
        <v>85.4</v>
      </c>
      <c r="AG857">
        <v>3857.6948000000002</v>
      </c>
      <c r="AH857">
        <f t="shared" si="23"/>
        <v>-3.1651999999999134</v>
      </c>
    </row>
    <row r="858" spans="32:34" x14ac:dyDescent="0.25">
      <c r="AF858">
        <v>85.5</v>
      </c>
      <c r="AG858">
        <v>3857.6959999999999</v>
      </c>
      <c r="AH858">
        <f t="shared" si="23"/>
        <v>-3.1640000000002146</v>
      </c>
    </row>
    <row r="859" spans="32:34" x14ac:dyDescent="0.25">
      <c r="AF859">
        <v>85.6</v>
      </c>
      <c r="AG859">
        <v>3857.6972000000001</v>
      </c>
      <c r="AH859">
        <f t="shared" si="23"/>
        <v>-3.1628000000000611</v>
      </c>
    </row>
    <row r="860" spans="32:34" x14ac:dyDescent="0.25">
      <c r="AF860">
        <v>85.7</v>
      </c>
      <c r="AG860">
        <v>3857.6984000000002</v>
      </c>
      <c r="AH860">
        <f t="shared" si="23"/>
        <v>-3.1615999999999076</v>
      </c>
    </row>
    <row r="861" spans="32:34" x14ac:dyDescent="0.25">
      <c r="AF861">
        <v>85.8</v>
      </c>
      <c r="AG861">
        <v>3857.6995999999999</v>
      </c>
      <c r="AH861">
        <f t="shared" si="23"/>
        <v>-3.1604000000002088</v>
      </c>
    </row>
    <row r="862" spans="32:34" x14ac:dyDescent="0.25">
      <c r="AF862">
        <v>85.9</v>
      </c>
      <c r="AG862">
        <v>3857.7008000000001</v>
      </c>
      <c r="AH862">
        <f t="shared" si="23"/>
        <v>-3.1592000000000553</v>
      </c>
    </row>
    <row r="863" spans="32:34" x14ac:dyDescent="0.25">
      <c r="AF863">
        <v>86</v>
      </c>
      <c r="AG863">
        <v>3857.7020000000002</v>
      </c>
      <c r="AH863">
        <f t="shared" si="23"/>
        <v>-3.1579999999999018</v>
      </c>
    </row>
    <row r="864" spans="32:34" x14ac:dyDescent="0.25">
      <c r="AF864">
        <v>86.1</v>
      </c>
      <c r="AG864">
        <v>3857.7031999999999</v>
      </c>
      <c r="AH864">
        <f t="shared" si="23"/>
        <v>-3.156800000000203</v>
      </c>
    </row>
    <row r="865" spans="32:34" x14ac:dyDescent="0.25">
      <c r="AF865">
        <v>86.2</v>
      </c>
      <c r="AG865">
        <v>3857.7044000000001</v>
      </c>
      <c r="AH865">
        <f t="shared" si="23"/>
        <v>-3.1556000000000495</v>
      </c>
    </row>
    <row r="866" spans="32:34" x14ac:dyDescent="0.25">
      <c r="AF866">
        <v>86.3</v>
      </c>
      <c r="AG866">
        <v>3857.7055999999998</v>
      </c>
      <c r="AH866">
        <f t="shared" si="23"/>
        <v>-3.1544000000003507</v>
      </c>
    </row>
    <row r="867" spans="32:34" x14ac:dyDescent="0.25">
      <c r="AF867">
        <v>86.4</v>
      </c>
      <c r="AG867">
        <v>3857.7067999999999</v>
      </c>
      <c r="AH867">
        <f t="shared" si="23"/>
        <v>-3.1532000000001972</v>
      </c>
    </row>
    <row r="868" spans="32:34" x14ac:dyDescent="0.25">
      <c r="AF868">
        <v>86.5</v>
      </c>
      <c r="AG868">
        <v>3857.7080000000001</v>
      </c>
      <c r="AH868">
        <f t="shared" si="23"/>
        <v>-3.1520000000000437</v>
      </c>
    </row>
    <row r="869" spans="32:34" x14ac:dyDescent="0.25">
      <c r="AF869">
        <v>86.6</v>
      </c>
      <c r="AG869">
        <v>3857.7091999999998</v>
      </c>
      <c r="AH869">
        <f t="shared" si="23"/>
        <v>-3.1508000000003449</v>
      </c>
    </row>
    <row r="870" spans="32:34" x14ac:dyDescent="0.25">
      <c r="AF870">
        <v>86.7</v>
      </c>
      <c r="AG870">
        <v>3857.7103999999999</v>
      </c>
      <c r="AH870">
        <f t="shared" si="23"/>
        <v>-3.1496000000001914</v>
      </c>
    </row>
    <row r="871" spans="32:34" x14ac:dyDescent="0.25">
      <c r="AF871">
        <v>86.8</v>
      </c>
      <c r="AG871">
        <v>3857.7116000000001</v>
      </c>
      <c r="AH871">
        <f t="shared" si="23"/>
        <v>-3.1484000000000378</v>
      </c>
    </row>
    <row r="872" spans="32:34" x14ac:dyDescent="0.25">
      <c r="AF872">
        <v>86.9</v>
      </c>
      <c r="AG872">
        <v>3857.7127999999998</v>
      </c>
      <c r="AH872">
        <f t="shared" si="23"/>
        <v>-3.1472000000003391</v>
      </c>
    </row>
    <row r="873" spans="32:34" x14ac:dyDescent="0.25">
      <c r="AF873">
        <v>87</v>
      </c>
      <c r="AG873">
        <v>3857.7139999999999</v>
      </c>
      <c r="AH873">
        <f t="shared" si="23"/>
        <v>-3.1460000000001855</v>
      </c>
    </row>
    <row r="874" spans="32:34" x14ac:dyDescent="0.25">
      <c r="AF874">
        <v>87.1</v>
      </c>
      <c r="AG874">
        <v>3857.7152000000001</v>
      </c>
      <c r="AH874">
        <f t="shared" si="23"/>
        <v>-3.144800000000032</v>
      </c>
    </row>
    <row r="875" spans="32:34" x14ac:dyDescent="0.25">
      <c r="AF875">
        <v>87.2</v>
      </c>
      <c r="AG875">
        <v>3857.7163999999998</v>
      </c>
      <c r="AH875">
        <f t="shared" si="23"/>
        <v>-3.1436000000003332</v>
      </c>
    </row>
    <row r="876" spans="32:34" x14ac:dyDescent="0.25">
      <c r="AF876">
        <v>87.3</v>
      </c>
      <c r="AG876">
        <v>3857.7175999999999</v>
      </c>
      <c r="AH876">
        <f t="shared" si="23"/>
        <v>-3.1424000000001797</v>
      </c>
    </row>
    <row r="877" spans="32:34" x14ac:dyDescent="0.25">
      <c r="AF877">
        <v>87.4</v>
      </c>
      <c r="AG877">
        <v>3857.7188000000001</v>
      </c>
      <c r="AH877">
        <f t="shared" si="23"/>
        <v>-3.1412000000000262</v>
      </c>
    </row>
    <row r="878" spans="32:34" x14ac:dyDescent="0.25">
      <c r="AF878">
        <v>87.5</v>
      </c>
      <c r="AG878">
        <v>3857.72</v>
      </c>
      <c r="AH878">
        <f t="shared" si="23"/>
        <v>-3.1400000000003274</v>
      </c>
    </row>
    <row r="879" spans="32:34" x14ac:dyDescent="0.25">
      <c r="AF879">
        <v>87.6</v>
      </c>
      <c r="AG879">
        <v>3857.7212</v>
      </c>
      <c r="AH879">
        <f t="shared" si="23"/>
        <v>-3.1388000000001739</v>
      </c>
    </row>
    <row r="880" spans="32:34" x14ac:dyDescent="0.25">
      <c r="AF880">
        <v>87.7</v>
      </c>
      <c r="AG880">
        <v>3857.7224000000001</v>
      </c>
      <c r="AH880">
        <f t="shared" si="23"/>
        <v>-3.1376000000000204</v>
      </c>
    </row>
    <row r="881" spans="32:34" x14ac:dyDescent="0.25">
      <c r="AF881">
        <v>87.8</v>
      </c>
      <c r="AG881">
        <v>3857.7235999999998</v>
      </c>
      <c r="AH881">
        <f t="shared" si="23"/>
        <v>-3.1364000000003216</v>
      </c>
    </row>
    <row r="882" spans="32:34" x14ac:dyDescent="0.25">
      <c r="AF882">
        <v>87.9</v>
      </c>
      <c r="AG882">
        <v>3857.7248</v>
      </c>
      <c r="AH882">
        <f t="shared" si="23"/>
        <v>-3.1352000000001681</v>
      </c>
    </row>
    <row r="883" spans="32:34" x14ac:dyDescent="0.25">
      <c r="AF883">
        <v>88</v>
      </c>
      <c r="AG883">
        <v>3857.7260000000001</v>
      </c>
      <c r="AH883">
        <f t="shared" si="23"/>
        <v>-3.1340000000000146</v>
      </c>
    </row>
    <row r="884" spans="32:34" x14ac:dyDescent="0.25">
      <c r="AF884">
        <v>88.1</v>
      </c>
      <c r="AG884">
        <v>3857.7271999999998</v>
      </c>
      <c r="AH884">
        <f t="shared" si="23"/>
        <v>-3.1328000000003158</v>
      </c>
    </row>
    <row r="885" spans="32:34" x14ac:dyDescent="0.25">
      <c r="AF885">
        <v>88.2</v>
      </c>
      <c r="AG885">
        <v>3857.7284</v>
      </c>
      <c r="AH885">
        <f t="shared" si="23"/>
        <v>-3.1316000000001623</v>
      </c>
    </row>
    <row r="886" spans="32:34" x14ac:dyDescent="0.25">
      <c r="AF886">
        <v>88.3</v>
      </c>
      <c r="AG886">
        <v>3857.7296000000001</v>
      </c>
      <c r="AH886">
        <f t="shared" si="23"/>
        <v>-3.1304000000000087</v>
      </c>
    </row>
    <row r="887" spans="32:34" x14ac:dyDescent="0.25">
      <c r="AF887">
        <v>88.4</v>
      </c>
      <c r="AG887">
        <v>3857.7307999999998</v>
      </c>
      <c r="AH887">
        <f t="shared" si="23"/>
        <v>-3.12920000000031</v>
      </c>
    </row>
    <row r="888" spans="32:34" x14ac:dyDescent="0.25">
      <c r="AF888">
        <v>88.5</v>
      </c>
      <c r="AG888">
        <v>3857.732</v>
      </c>
      <c r="AH888">
        <f t="shared" si="23"/>
        <v>-3.1280000000001564</v>
      </c>
    </row>
    <row r="889" spans="32:34" x14ac:dyDescent="0.25">
      <c r="AF889">
        <v>88.6</v>
      </c>
      <c r="AG889">
        <v>3857.7332000000001</v>
      </c>
      <c r="AH889">
        <f t="shared" si="23"/>
        <v>-3.1268000000000029</v>
      </c>
    </row>
    <row r="890" spans="32:34" x14ac:dyDescent="0.25">
      <c r="AF890">
        <v>88.7</v>
      </c>
      <c r="AG890">
        <v>3857.7343999999998</v>
      </c>
      <c r="AH890">
        <f t="shared" si="23"/>
        <v>-3.1256000000003041</v>
      </c>
    </row>
    <row r="891" spans="32:34" x14ac:dyDescent="0.25">
      <c r="AF891">
        <v>88.8</v>
      </c>
      <c r="AG891">
        <v>3857.7356</v>
      </c>
      <c r="AH891">
        <f t="shared" si="23"/>
        <v>-3.1244000000001506</v>
      </c>
    </row>
    <row r="892" spans="32:34" x14ac:dyDescent="0.25">
      <c r="AF892">
        <v>88.9</v>
      </c>
      <c r="AG892">
        <v>3857.7368000000001</v>
      </c>
      <c r="AH892">
        <f t="shared" si="23"/>
        <v>-3.1231999999999971</v>
      </c>
    </row>
    <row r="893" spans="32:34" x14ac:dyDescent="0.25">
      <c r="AF893">
        <v>89</v>
      </c>
      <c r="AG893">
        <v>3857.7379999999998</v>
      </c>
      <c r="AH893">
        <f t="shared" si="23"/>
        <v>-3.1220000000002983</v>
      </c>
    </row>
    <row r="894" spans="32:34" x14ac:dyDescent="0.25">
      <c r="AF894">
        <v>89.1</v>
      </c>
      <c r="AG894">
        <v>3857.7392</v>
      </c>
      <c r="AH894">
        <f t="shared" si="23"/>
        <v>-3.1208000000001448</v>
      </c>
    </row>
    <row r="895" spans="32:34" x14ac:dyDescent="0.25">
      <c r="AF895">
        <v>89.2</v>
      </c>
      <c r="AG895">
        <v>3857.7404000000001</v>
      </c>
      <c r="AH895">
        <f t="shared" si="23"/>
        <v>-3.1195999999999913</v>
      </c>
    </row>
    <row r="896" spans="32:34" x14ac:dyDescent="0.25">
      <c r="AF896">
        <v>89.3</v>
      </c>
      <c r="AG896">
        <v>3857.7415999999998</v>
      </c>
      <c r="AH896">
        <f t="shared" si="23"/>
        <v>-3.1184000000002925</v>
      </c>
    </row>
    <row r="897" spans="32:34" x14ac:dyDescent="0.25">
      <c r="AF897">
        <v>89.4</v>
      </c>
      <c r="AG897">
        <v>3857.7428</v>
      </c>
      <c r="AH897">
        <f t="shared" si="23"/>
        <v>-3.117200000000139</v>
      </c>
    </row>
    <row r="898" spans="32:34" x14ac:dyDescent="0.25">
      <c r="AF898">
        <v>89.5</v>
      </c>
      <c r="AG898">
        <v>3857.7440000000001</v>
      </c>
      <c r="AH898">
        <f t="shared" si="23"/>
        <v>-3.1159999999999854</v>
      </c>
    </row>
    <row r="899" spans="32:34" x14ac:dyDescent="0.25">
      <c r="AF899">
        <v>89.6</v>
      </c>
      <c r="AG899">
        <v>3857.7451999999998</v>
      </c>
      <c r="AH899">
        <f t="shared" si="23"/>
        <v>-3.1148000000002867</v>
      </c>
    </row>
    <row r="900" spans="32:34" x14ac:dyDescent="0.25">
      <c r="AF900">
        <v>89.7</v>
      </c>
      <c r="AG900">
        <v>3857.7464</v>
      </c>
      <c r="AH900">
        <f t="shared" ref="AH900:AH963" si="24">AG900-MAX($AG$3:$AG$2353)</f>
        <v>-3.1136000000001332</v>
      </c>
    </row>
    <row r="901" spans="32:34" x14ac:dyDescent="0.25">
      <c r="AF901">
        <v>89.8</v>
      </c>
      <c r="AG901">
        <v>3857.7476000000001</v>
      </c>
      <c r="AH901">
        <f t="shared" si="24"/>
        <v>-3.1123999999999796</v>
      </c>
    </row>
    <row r="902" spans="32:34" x14ac:dyDescent="0.25">
      <c r="AF902">
        <v>89.9</v>
      </c>
      <c r="AG902">
        <v>3857.7487999999998</v>
      </c>
      <c r="AH902">
        <f t="shared" si="24"/>
        <v>-3.1112000000002809</v>
      </c>
    </row>
    <row r="903" spans="32:34" x14ac:dyDescent="0.25">
      <c r="AF903">
        <v>90</v>
      </c>
      <c r="AG903">
        <v>3857.75</v>
      </c>
      <c r="AH903">
        <f t="shared" si="24"/>
        <v>-3.1100000000001273</v>
      </c>
    </row>
    <row r="904" spans="32:34" x14ac:dyDescent="0.25">
      <c r="AF904">
        <v>90.1</v>
      </c>
      <c r="AG904">
        <v>3857.7566000000002</v>
      </c>
      <c r="AH904">
        <f t="shared" si="24"/>
        <v>-3.1033999999999651</v>
      </c>
    </row>
    <row r="905" spans="32:34" x14ac:dyDescent="0.25">
      <c r="AF905">
        <v>90.2</v>
      </c>
      <c r="AG905">
        <v>3857.7631999999999</v>
      </c>
      <c r="AH905">
        <f t="shared" si="24"/>
        <v>-3.0968000000002576</v>
      </c>
    </row>
    <row r="906" spans="32:34" x14ac:dyDescent="0.25">
      <c r="AF906">
        <v>90.3</v>
      </c>
      <c r="AG906">
        <v>3857.7698</v>
      </c>
      <c r="AH906">
        <f t="shared" si="24"/>
        <v>-3.0902000000000953</v>
      </c>
    </row>
    <row r="907" spans="32:34" x14ac:dyDescent="0.25">
      <c r="AF907">
        <v>90.4</v>
      </c>
      <c r="AG907">
        <v>3857.7764000000002</v>
      </c>
      <c r="AH907">
        <f t="shared" si="24"/>
        <v>-3.0835999999999331</v>
      </c>
    </row>
    <row r="908" spans="32:34" x14ac:dyDescent="0.25">
      <c r="AF908">
        <v>90.5</v>
      </c>
      <c r="AG908">
        <v>3857.7829999999999</v>
      </c>
      <c r="AH908">
        <f t="shared" si="24"/>
        <v>-3.0770000000002256</v>
      </c>
    </row>
    <row r="909" spans="32:34" x14ac:dyDescent="0.25">
      <c r="AF909">
        <v>90.6</v>
      </c>
      <c r="AG909">
        <v>3857.7896000000001</v>
      </c>
      <c r="AH909">
        <f t="shared" si="24"/>
        <v>-3.0704000000000633</v>
      </c>
    </row>
    <row r="910" spans="32:34" x14ac:dyDescent="0.25">
      <c r="AF910">
        <v>90.7</v>
      </c>
      <c r="AG910">
        <v>3857.7961999999902</v>
      </c>
      <c r="AH910">
        <f t="shared" si="24"/>
        <v>-3.0638000000099055</v>
      </c>
    </row>
    <row r="911" spans="32:34" x14ac:dyDescent="0.25">
      <c r="AF911">
        <v>90.8</v>
      </c>
      <c r="AG911">
        <v>3857.8027999999999</v>
      </c>
      <c r="AH911">
        <f t="shared" si="24"/>
        <v>-3.0572000000001935</v>
      </c>
    </row>
    <row r="912" spans="32:34" x14ac:dyDescent="0.25">
      <c r="AF912">
        <v>90.9</v>
      </c>
      <c r="AG912">
        <v>3857.8094000000001</v>
      </c>
      <c r="AH912">
        <f t="shared" si="24"/>
        <v>-3.0506000000000313</v>
      </c>
    </row>
    <row r="913" spans="32:34" x14ac:dyDescent="0.25">
      <c r="AF913">
        <v>91</v>
      </c>
      <c r="AG913">
        <v>3857.8159999999998</v>
      </c>
      <c r="AH913">
        <f t="shared" si="24"/>
        <v>-3.0440000000003238</v>
      </c>
    </row>
    <row r="914" spans="32:34" x14ac:dyDescent="0.25">
      <c r="AF914">
        <v>91.1</v>
      </c>
      <c r="AG914">
        <v>3857.8226</v>
      </c>
      <c r="AH914">
        <f t="shared" si="24"/>
        <v>-3.0374000000001615</v>
      </c>
    </row>
    <row r="915" spans="32:34" x14ac:dyDescent="0.25">
      <c r="AF915">
        <v>91.2</v>
      </c>
      <c r="AG915">
        <v>3857.8292000000001</v>
      </c>
      <c r="AH915">
        <f t="shared" si="24"/>
        <v>-3.0307999999999993</v>
      </c>
    </row>
    <row r="916" spans="32:34" x14ac:dyDescent="0.25">
      <c r="AF916">
        <v>91.3</v>
      </c>
      <c r="AG916">
        <v>3857.8357999999998</v>
      </c>
      <c r="AH916">
        <f t="shared" si="24"/>
        <v>-3.0242000000002918</v>
      </c>
    </row>
    <row r="917" spans="32:34" x14ac:dyDescent="0.25">
      <c r="AF917">
        <v>91.4</v>
      </c>
      <c r="AG917">
        <v>3857.8424</v>
      </c>
      <c r="AH917">
        <f t="shared" si="24"/>
        <v>-3.0176000000001295</v>
      </c>
    </row>
    <row r="918" spans="32:34" x14ac:dyDescent="0.25">
      <c r="AF918">
        <v>91.5</v>
      </c>
      <c r="AG918">
        <v>3857.8490000000002</v>
      </c>
      <c r="AH918">
        <f t="shared" si="24"/>
        <v>-3.0109999999999673</v>
      </c>
    </row>
    <row r="919" spans="32:34" x14ac:dyDescent="0.25">
      <c r="AF919">
        <v>91.6</v>
      </c>
      <c r="AG919">
        <v>3857.8555999999999</v>
      </c>
      <c r="AH919">
        <f t="shared" si="24"/>
        <v>-3.0044000000002598</v>
      </c>
    </row>
    <row r="920" spans="32:34" x14ac:dyDescent="0.25">
      <c r="AF920">
        <v>91.7</v>
      </c>
      <c r="AG920">
        <v>3857.8622</v>
      </c>
      <c r="AH920">
        <f t="shared" si="24"/>
        <v>-2.9978000000000975</v>
      </c>
    </row>
    <row r="921" spans="32:34" x14ac:dyDescent="0.25">
      <c r="AF921">
        <v>91.8</v>
      </c>
      <c r="AG921">
        <v>3857.8688000000002</v>
      </c>
      <c r="AH921">
        <f t="shared" si="24"/>
        <v>-2.9911999999999352</v>
      </c>
    </row>
    <row r="922" spans="32:34" x14ac:dyDescent="0.25">
      <c r="AF922">
        <v>91.9</v>
      </c>
      <c r="AG922">
        <v>3857.8753999999999</v>
      </c>
      <c r="AH922">
        <f t="shared" si="24"/>
        <v>-2.9846000000002277</v>
      </c>
    </row>
    <row r="923" spans="32:34" x14ac:dyDescent="0.25">
      <c r="AF923">
        <v>92</v>
      </c>
      <c r="AG923">
        <v>3857.8820000000001</v>
      </c>
      <c r="AH923">
        <f t="shared" si="24"/>
        <v>-2.9780000000000655</v>
      </c>
    </row>
    <row r="924" spans="32:34" x14ac:dyDescent="0.25">
      <c r="AF924">
        <v>92.1</v>
      </c>
      <c r="AG924">
        <v>3857.8885999999902</v>
      </c>
      <c r="AH924">
        <f t="shared" si="24"/>
        <v>-2.9714000000099077</v>
      </c>
    </row>
    <row r="925" spans="32:34" x14ac:dyDescent="0.25">
      <c r="AF925">
        <v>92.2</v>
      </c>
      <c r="AG925">
        <v>3857.8951999999999</v>
      </c>
      <c r="AH925">
        <f t="shared" si="24"/>
        <v>-2.9648000000001957</v>
      </c>
    </row>
    <row r="926" spans="32:34" x14ac:dyDescent="0.25">
      <c r="AF926">
        <v>92.3</v>
      </c>
      <c r="AG926">
        <v>3857.9018000000001</v>
      </c>
      <c r="AH926">
        <f t="shared" si="24"/>
        <v>-2.9582000000000335</v>
      </c>
    </row>
    <row r="927" spans="32:34" x14ac:dyDescent="0.25">
      <c r="AF927">
        <v>92.4</v>
      </c>
      <c r="AG927">
        <v>3857.9083999999998</v>
      </c>
      <c r="AH927">
        <f t="shared" si="24"/>
        <v>-2.951600000000326</v>
      </c>
    </row>
    <row r="928" spans="32:34" x14ac:dyDescent="0.25">
      <c r="AF928">
        <v>92.5</v>
      </c>
      <c r="AG928">
        <v>3857.915</v>
      </c>
      <c r="AH928">
        <f t="shared" si="24"/>
        <v>-2.9450000000001637</v>
      </c>
    </row>
    <row r="929" spans="32:34" x14ac:dyDescent="0.25">
      <c r="AF929">
        <v>92.6</v>
      </c>
      <c r="AG929">
        <v>3857.9216000000001</v>
      </c>
      <c r="AH929">
        <f t="shared" si="24"/>
        <v>-2.9384000000000015</v>
      </c>
    </row>
    <row r="930" spans="32:34" x14ac:dyDescent="0.25">
      <c r="AF930">
        <v>92.7</v>
      </c>
      <c r="AG930">
        <v>3857.9281999999998</v>
      </c>
      <c r="AH930">
        <f t="shared" si="24"/>
        <v>-2.9318000000002939</v>
      </c>
    </row>
    <row r="931" spans="32:34" x14ac:dyDescent="0.25">
      <c r="AF931">
        <v>92.8</v>
      </c>
      <c r="AG931">
        <v>3857.9348</v>
      </c>
      <c r="AH931">
        <f t="shared" si="24"/>
        <v>-2.9252000000001317</v>
      </c>
    </row>
    <row r="932" spans="32:34" x14ac:dyDescent="0.25">
      <c r="AF932">
        <v>92.9</v>
      </c>
      <c r="AG932">
        <v>3857.9414000000002</v>
      </c>
      <c r="AH932">
        <f t="shared" si="24"/>
        <v>-2.9185999999999694</v>
      </c>
    </row>
    <row r="933" spans="32:34" x14ac:dyDescent="0.25">
      <c r="AF933">
        <v>93</v>
      </c>
      <c r="AG933">
        <v>3857.9479999999999</v>
      </c>
      <c r="AH933">
        <f t="shared" si="24"/>
        <v>-2.9120000000002619</v>
      </c>
    </row>
    <row r="934" spans="32:34" x14ac:dyDescent="0.25">
      <c r="AF934">
        <v>93.1</v>
      </c>
      <c r="AG934">
        <v>3857.9546</v>
      </c>
      <c r="AH934">
        <f t="shared" si="24"/>
        <v>-2.9054000000000997</v>
      </c>
    </row>
    <row r="935" spans="32:34" x14ac:dyDescent="0.25">
      <c r="AF935">
        <v>93.2</v>
      </c>
      <c r="AG935">
        <v>3857.9611999999902</v>
      </c>
      <c r="AH935">
        <f t="shared" si="24"/>
        <v>-2.8988000000099419</v>
      </c>
    </row>
    <row r="936" spans="32:34" x14ac:dyDescent="0.25">
      <c r="AF936">
        <v>93.3</v>
      </c>
      <c r="AG936">
        <v>3857.9677999999999</v>
      </c>
      <c r="AH936">
        <f t="shared" si="24"/>
        <v>-2.8922000000002299</v>
      </c>
    </row>
    <row r="937" spans="32:34" x14ac:dyDescent="0.25">
      <c r="AF937">
        <v>93.4</v>
      </c>
      <c r="AG937">
        <v>3857.9744000000001</v>
      </c>
      <c r="AH937">
        <f t="shared" si="24"/>
        <v>-2.8856000000000677</v>
      </c>
    </row>
    <row r="938" spans="32:34" x14ac:dyDescent="0.25">
      <c r="AF938">
        <v>93.5</v>
      </c>
      <c r="AG938">
        <v>3857.9809999999902</v>
      </c>
      <c r="AH938">
        <f t="shared" si="24"/>
        <v>-2.8790000000099099</v>
      </c>
    </row>
    <row r="939" spans="32:34" x14ac:dyDescent="0.25">
      <c r="AF939">
        <v>93.6</v>
      </c>
      <c r="AG939">
        <v>3857.9875999999999</v>
      </c>
      <c r="AH939">
        <f t="shared" si="24"/>
        <v>-2.8724000000001979</v>
      </c>
    </row>
    <row r="940" spans="32:34" x14ac:dyDescent="0.25">
      <c r="AF940">
        <v>93.7</v>
      </c>
      <c r="AG940">
        <v>3857.9942000000001</v>
      </c>
      <c r="AH940">
        <f t="shared" si="24"/>
        <v>-2.8658000000000357</v>
      </c>
    </row>
    <row r="941" spans="32:34" x14ac:dyDescent="0.25">
      <c r="AF941">
        <v>93.8</v>
      </c>
      <c r="AG941">
        <v>3858.0007999999998</v>
      </c>
      <c r="AH941">
        <f t="shared" si="24"/>
        <v>-2.8592000000003281</v>
      </c>
    </row>
    <row r="942" spans="32:34" x14ac:dyDescent="0.25">
      <c r="AF942">
        <v>93.9</v>
      </c>
      <c r="AG942">
        <v>3858.0074</v>
      </c>
      <c r="AH942">
        <f t="shared" si="24"/>
        <v>-2.8526000000001659</v>
      </c>
    </row>
    <row r="943" spans="32:34" x14ac:dyDescent="0.25">
      <c r="AF943">
        <v>94</v>
      </c>
      <c r="AG943">
        <v>3858.0140000000001</v>
      </c>
      <c r="AH943">
        <f t="shared" si="24"/>
        <v>-2.8460000000000036</v>
      </c>
    </row>
    <row r="944" spans="32:34" x14ac:dyDescent="0.25">
      <c r="AF944">
        <v>94.1</v>
      </c>
      <c r="AG944">
        <v>3858.0205999999998</v>
      </c>
      <c r="AH944">
        <f t="shared" si="24"/>
        <v>-2.8394000000002961</v>
      </c>
    </row>
    <row r="945" spans="32:34" x14ac:dyDescent="0.25">
      <c r="AF945">
        <v>94.2</v>
      </c>
      <c r="AG945">
        <v>3858.0272</v>
      </c>
      <c r="AH945">
        <f t="shared" si="24"/>
        <v>-2.8328000000001339</v>
      </c>
    </row>
    <row r="946" spans="32:34" x14ac:dyDescent="0.25">
      <c r="AF946">
        <v>94.3</v>
      </c>
      <c r="AG946">
        <v>3858.0338000000002</v>
      </c>
      <c r="AH946">
        <f t="shared" si="24"/>
        <v>-2.8261999999999716</v>
      </c>
    </row>
    <row r="947" spans="32:34" x14ac:dyDescent="0.25">
      <c r="AF947">
        <v>94.4</v>
      </c>
      <c r="AG947">
        <v>3858.0403999999999</v>
      </c>
      <c r="AH947">
        <f t="shared" si="24"/>
        <v>-2.8196000000002641</v>
      </c>
    </row>
    <row r="948" spans="32:34" x14ac:dyDescent="0.25">
      <c r="AF948">
        <v>94.5</v>
      </c>
      <c r="AG948">
        <v>3858.047</v>
      </c>
      <c r="AH948">
        <f t="shared" si="24"/>
        <v>-2.8130000000001019</v>
      </c>
    </row>
    <row r="949" spans="32:34" x14ac:dyDescent="0.25">
      <c r="AF949">
        <v>94.6</v>
      </c>
      <c r="AG949">
        <v>3858.0535999999902</v>
      </c>
      <c r="AH949">
        <f t="shared" si="24"/>
        <v>-2.8064000000099441</v>
      </c>
    </row>
    <row r="950" spans="32:34" x14ac:dyDescent="0.25">
      <c r="AF950">
        <v>94.7</v>
      </c>
      <c r="AG950">
        <v>3858.0601999999999</v>
      </c>
      <c r="AH950">
        <f t="shared" si="24"/>
        <v>-2.7998000000002321</v>
      </c>
    </row>
    <row r="951" spans="32:34" x14ac:dyDescent="0.25">
      <c r="AF951">
        <v>94.8</v>
      </c>
      <c r="AG951">
        <v>3858.0668000000001</v>
      </c>
      <c r="AH951">
        <f t="shared" si="24"/>
        <v>-2.7932000000000698</v>
      </c>
    </row>
    <row r="952" spans="32:34" x14ac:dyDescent="0.25">
      <c r="AF952">
        <v>94.9</v>
      </c>
      <c r="AG952">
        <v>3858.0733999999902</v>
      </c>
      <c r="AH952">
        <f t="shared" si="24"/>
        <v>-2.786600000009912</v>
      </c>
    </row>
    <row r="953" spans="32:34" x14ac:dyDescent="0.25">
      <c r="AF953">
        <v>95</v>
      </c>
      <c r="AG953">
        <v>3858.08</v>
      </c>
      <c r="AH953">
        <f t="shared" si="24"/>
        <v>-2.7800000000002001</v>
      </c>
    </row>
    <row r="954" spans="32:34" x14ac:dyDescent="0.25">
      <c r="AF954">
        <v>95.1</v>
      </c>
      <c r="AG954">
        <v>3858.0879999999902</v>
      </c>
      <c r="AH954">
        <f t="shared" si="24"/>
        <v>-2.772000000009939</v>
      </c>
    </row>
    <row r="955" spans="32:34" x14ac:dyDescent="0.25">
      <c r="AF955">
        <v>95.2</v>
      </c>
      <c r="AG955">
        <v>3858.096</v>
      </c>
      <c r="AH955">
        <f t="shared" si="24"/>
        <v>-2.7640000000001237</v>
      </c>
    </row>
    <row r="956" spans="32:34" x14ac:dyDescent="0.25">
      <c r="AF956">
        <v>95.3</v>
      </c>
      <c r="AG956">
        <v>3858.1039999999998</v>
      </c>
      <c r="AH956">
        <f t="shared" si="24"/>
        <v>-2.7560000000003129</v>
      </c>
    </row>
    <row r="957" spans="32:34" x14ac:dyDescent="0.25">
      <c r="AF957">
        <v>95.4</v>
      </c>
      <c r="AG957">
        <v>3858.1120000000001</v>
      </c>
      <c r="AH957">
        <f t="shared" si="24"/>
        <v>-2.7480000000000473</v>
      </c>
    </row>
    <row r="958" spans="32:34" x14ac:dyDescent="0.25">
      <c r="AF958">
        <v>95.5</v>
      </c>
      <c r="AG958">
        <v>3858.12</v>
      </c>
      <c r="AH958">
        <f t="shared" si="24"/>
        <v>-2.7400000000002365</v>
      </c>
    </row>
    <row r="959" spans="32:34" x14ac:dyDescent="0.25">
      <c r="AF959">
        <v>95.6</v>
      </c>
      <c r="AG959">
        <v>3858.1280000000002</v>
      </c>
      <c r="AH959">
        <f t="shared" si="24"/>
        <v>-2.7319999999999709</v>
      </c>
    </row>
    <row r="960" spans="32:34" x14ac:dyDescent="0.25">
      <c r="AF960">
        <v>95.7</v>
      </c>
      <c r="AG960">
        <v>3858.136</v>
      </c>
      <c r="AH960">
        <f t="shared" si="24"/>
        <v>-2.7240000000001601</v>
      </c>
    </row>
    <row r="961" spans="32:34" x14ac:dyDescent="0.25">
      <c r="AF961">
        <v>95.8</v>
      </c>
      <c r="AG961">
        <v>3858.1439999999998</v>
      </c>
      <c r="AH961">
        <f t="shared" si="24"/>
        <v>-2.7160000000003492</v>
      </c>
    </row>
    <row r="962" spans="32:34" x14ac:dyDescent="0.25">
      <c r="AF962">
        <v>95.9</v>
      </c>
      <c r="AG962">
        <v>3858.152</v>
      </c>
      <c r="AH962">
        <f t="shared" si="24"/>
        <v>-2.7080000000000837</v>
      </c>
    </row>
    <row r="963" spans="32:34" x14ac:dyDescent="0.25">
      <c r="AF963">
        <v>96</v>
      </c>
      <c r="AG963">
        <v>3858.16</v>
      </c>
      <c r="AH963">
        <f t="shared" si="24"/>
        <v>-2.7000000000002728</v>
      </c>
    </row>
    <row r="964" spans="32:34" x14ac:dyDescent="0.25">
      <c r="AF964">
        <v>96.1</v>
      </c>
      <c r="AG964">
        <v>3858.1680000000001</v>
      </c>
      <c r="AH964">
        <f t="shared" ref="AH964:AH1027" si="25">AG964-MAX($AG$3:$AG$2353)</f>
        <v>-2.6920000000000073</v>
      </c>
    </row>
    <row r="965" spans="32:34" x14ac:dyDescent="0.25">
      <c r="AF965">
        <v>96.2</v>
      </c>
      <c r="AG965">
        <v>3858.1759999999999</v>
      </c>
      <c r="AH965">
        <f t="shared" si="25"/>
        <v>-2.6840000000001965</v>
      </c>
    </row>
    <row r="966" spans="32:34" x14ac:dyDescent="0.25">
      <c r="AF966">
        <v>96.3</v>
      </c>
      <c r="AG966">
        <v>3858.1839999999902</v>
      </c>
      <c r="AH966">
        <f t="shared" si="25"/>
        <v>-2.6760000000099353</v>
      </c>
    </row>
    <row r="967" spans="32:34" x14ac:dyDescent="0.25">
      <c r="AF967">
        <v>96.4</v>
      </c>
      <c r="AG967">
        <v>3858.192</v>
      </c>
      <c r="AH967">
        <f t="shared" si="25"/>
        <v>-2.6680000000001201</v>
      </c>
    </row>
    <row r="968" spans="32:34" x14ac:dyDescent="0.25">
      <c r="AF968">
        <v>96.5</v>
      </c>
      <c r="AG968">
        <v>3858.2</v>
      </c>
      <c r="AH968">
        <f t="shared" si="25"/>
        <v>-2.6600000000003092</v>
      </c>
    </row>
    <row r="969" spans="32:34" x14ac:dyDescent="0.25">
      <c r="AF969">
        <v>96.6</v>
      </c>
      <c r="AG969">
        <v>3858.2080000000001</v>
      </c>
      <c r="AH969">
        <f t="shared" si="25"/>
        <v>-2.6520000000000437</v>
      </c>
    </row>
    <row r="970" spans="32:34" x14ac:dyDescent="0.25">
      <c r="AF970">
        <v>96.7</v>
      </c>
      <c r="AG970">
        <v>3858.2159999999999</v>
      </c>
      <c r="AH970">
        <f t="shared" si="25"/>
        <v>-2.6440000000002328</v>
      </c>
    </row>
    <row r="971" spans="32:34" x14ac:dyDescent="0.25">
      <c r="AF971">
        <v>96.8</v>
      </c>
      <c r="AG971">
        <v>3858.2240000000002</v>
      </c>
      <c r="AH971">
        <f t="shared" si="25"/>
        <v>-2.6359999999999673</v>
      </c>
    </row>
    <row r="972" spans="32:34" x14ac:dyDescent="0.25">
      <c r="AF972">
        <v>96.9</v>
      </c>
      <c r="AG972">
        <v>3858.232</v>
      </c>
      <c r="AH972">
        <f t="shared" si="25"/>
        <v>-2.6280000000001564</v>
      </c>
    </row>
    <row r="973" spans="32:34" x14ac:dyDescent="0.25">
      <c r="AF973">
        <v>97</v>
      </c>
      <c r="AG973">
        <v>3858.24</v>
      </c>
      <c r="AH973">
        <f t="shared" si="25"/>
        <v>-2.6200000000003456</v>
      </c>
    </row>
    <row r="974" spans="32:34" x14ac:dyDescent="0.25">
      <c r="AF974">
        <v>97.1</v>
      </c>
      <c r="AG974">
        <v>3858.248</v>
      </c>
      <c r="AH974">
        <f t="shared" si="25"/>
        <v>-2.61200000000008</v>
      </c>
    </row>
    <row r="975" spans="32:34" x14ac:dyDescent="0.25">
      <c r="AF975">
        <v>97.2</v>
      </c>
      <c r="AG975">
        <v>3858.2559999999999</v>
      </c>
      <c r="AH975">
        <f t="shared" si="25"/>
        <v>-2.6040000000002692</v>
      </c>
    </row>
    <row r="976" spans="32:34" x14ac:dyDescent="0.25">
      <c r="AF976">
        <v>97.3</v>
      </c>
      <c r="AG976">
        <v>3858.2640000000001</v>
      </c>
      <c r="AH976">
        <f t="shared" si="25"/>
        <v>-2.5960000000000036</v>
      </c>
    </row>
    <row r="977" spans="32:34" x14ac:dyDescent="0.25">
      <c r="AF977">
        <v>97.4</v>
      </c>
      <c r="AG977">
        <v>3858.2719999999999</v>
      </c>
      <c r="AH977">
        <f t="shared" si="25"/>
        <v>-2.5880000000001928</v>
      </c>
    </row>
    <row r="978" spans="32:34" x14ac:dyDescent="0.25">
      <c r="AF978">
        <v>97.5</v>
      </c>
      <c r="AG978">
        <v>3858.2799999999902</v>
      </c>
      <c r="AH978">
        <f t="shared" si="25"/>
        <v>-2.5800000000099317</v>
      </c>
    </row>
    <row r="979" spans="32:34" x14ac:dyDescent="0.25">
      <c r="AF979">
        <v>97.6</v>
      </c>
      <c r="AG979">
        <v>3858.288</v>
      </c>
      <c r="AH979">
        <f t="shared" si="25"/>
        <v>-2.5720000000001164</v>
      </c>
    </row>
    <row r="980" spans="32:34" x14ac:dyDescent="0.25">
      <c r="AF980">
        <v>97.7</v>
      </c>
      <c r="AG980">
        <v>3858.2959999999998</v>
      </c>
      <c r="AH980">
        <f t="shared" si="25"/>
        <v>-2.5640000000003056</v>
      </c>
    </row>
    <row r="981" spans="32:34" x14ac:dyDescent="0.25">
      <c r="AF981">
        <v>97.8</v>
      </c>
      <c r="AG981">
        <v>3858.3040000000001</v>
      </c>
      <c r="AH981">
        <f t="shared" si="25"/>
        <v>-2.55600000000004</v>
      </c>
    </row>
    <row r="982" spans="32:34" x14ac:dyDescent="0.25">
      <c r="AF982">
        <v>97.9</v>
      </c>
      <c r="AG982">
        <v>3858.3119999999999</v>
      </c>
      <c r="AH982">
        <f t="shared" si="25"/>
        <v>-2.5480000000002292</v>
      </c>
    </row>
    <row r="983" spans="32:34" x14ac:dyDescent="0.25">
      <c r="AF983">
        <v>98</v>
      </c>
      <c r="AG983">
        <v>3858.32</v>
      </c>
      <c r="AH983">
        <f t="shared" si="25"/>
        <v>-2.5399999999999636</v>
      </c>
    </row>
    <row r="984" spans="32:34" x14ac:dyDescent="0.25">
      <c r="AF984">
        <v>98.1</v>
      </c>
      <c r="AG984">
        <v>3858.328</v>
      </c>
      <c r="AH984">
        <f t="shared" si="25"/>
        <v>-2.5320000000001528</v>
      </c>
    </row>
    <row r="985" spans="32:34" x14ac:dyDescent="0.25">
      <c r="AF985">
        <v>98.2</v>
      </c>
      <c r="AG985">
        <v>3858.3359999999998</v>
      </c>
      <c r="AH985">
        <f t="shared" si="25"/>
        <v>-2.524000000000342</v>
      </c>
    </row>
    <row r="986" spans="32:34" x14ac:dyDescent="0.25">
      <c r="AF986">
        <v>98.3</v>
      </c>
      <c r="AG986">
        <v>3858.3440000000001</v>
      </c>
      <c r="AH986">
        <f t="shared" si="25"/>
        <v>-2.5160000000000764</v>
      </c>
    </row>
    <row r="987" spans="32:34" x14ac:dyDescent="0.25">
      <c r="AF987">
        <v>98.4</v>
      </c>
      <c r="AG987">
        <v>3858.3519999999999</v>
      </c>
      <c r="AH987">
        <f t="shared" si="25"/>
        <v>-2.5080000000002656</v>
      </c>
    </row>
    <row r="988" spans="32:34" x14ac:dyDescent="0.25">
      <c r="AF988">
        <v>98.5</v>
      </c>
      <c r="AG988">
        <v>3858.36</v>
      </c>
      <c r="AH988">
        <f t="shared" si="25"/>
        <v>-2.5</v>
      </c>
    </row>
    <row r="989" spans="32:34" x14ac:dyDescent="0.25">
      <c r="AF989">
        <v>98.6</v>
      </c>
      <c r="AG989">
        <v>3858.3679999999999</v>
      </c>
      <c r="AH989">
        <f t="shared" si="25"/>
        <v>-2.4920000000001892</v>
      </c>
    </row>
    <row r="990" spans="32:34" x14ac:dyDescent="0.25">
      <c r="AF990">
        <v>98.7</v>
      </c>
      <c r="AG990">
        <v>3858.3760000000002</v>
      </c>
      <c r="AH990">
        <f t="shared" si="25"/>
        <v>-2.4839999999999236</v>
      </c>
    </row>
    <row r="991" spans="32:34" x14ac:dyDescent="0.25">
      <c r="AF991">
        <v>98.8</v>
      </c>
      <c r="AG991">
        <v>3858.384</v>
      </c>
      <c r="AH991">
        <f t="shared" si="25"/>
        <v>-2.4760000000001128</v>
      </c>
    </row>
    <row r="992" spans="32:34" x14ac:dyDescent="0.25">
      <c r="AF992">
        <v>98.9</v>
      </c>
      <c r="AG992">
        <v>3858.3919999999998</v>
      </c>
      <c r="AH992">
        <f t="shared" si="25"/>
        <v>-2.468000000000302</v>
      </c>
    </row>
    <row r="993" spans="32:34" x14ac:dyDescent="0.25">
      <c r="AF993">
        <v>99</v>
      </c>
      <c r="AG993">
        <v>3858.4</v>
      </c>
      <c r="AH993">
        <f t="shared" si="25"/>
        <v>-2.4600000000000364</v>
      </c>
    </row>
    <row r="994" spans="32:34" x14ac:dyDescent="0.25">
      <c r="AF994">
        <v>99.1</v>
      </c>
      <c r="AG994">
        <v>3858.4079999999999</v>
      </c>
      <c r="AH994">
        <f t="shared" si="25"/>
        <v>-2.4520000000002256</v>
      </c>
    </row>
    <row r="995" spans="32:34" x14ac:dyDescent="0.25">
      <c r="AF995">
        <v>99.2</v>
      </c>
      <c r="AG995">
        <v>3858.4160000000002</v>
      </c>
      <c r="AH995">
        <f t="shared" si="25"/>
        <v>-2.44399999999996</v>
      </c>
    </row>
    <row r="996" spans="32:34" x14ac:dyDescent="0.25">
      <c r="AF996">
        <v>99.3</v>
      </c>
      <c r="AG996">
        <v>3858.424</v>
      </c>
      <c r="AH996">
        <f t="shared" si="25"/>
        <v>-2.4360000000001492</v>
      </c>
    </row>
    <row r="997" spans="32:34" x14ac:dyDescent="0.25">
      <c r="AF997">
        <v>99.4</v>
      </c>
      <c r="AG997">
        <v>3858.4319999999998</v>
      </c>
      <c r="AH997">
        <f t="shared" si="25"/>
        <v>-2.4280000000003383</v>
      </c>
    </row>
    <row r="998" spans="32:34" x14ac:dyDescent="0.25">
      <c r="AF998">
        <v>99.5</v>
      </c>
      <c r="AG998">
        <v>3858.44</v>
      </c>
      <c r="AH998">
        <f t="shared" si="25"/>
        <v>-2.4200000000000728</v>
      </c>
    </row>
    <row r="999" spans="32:34" x14ac:dyDescent="0.25">
      <c r="AF999">
        <v>99.6</v>
      </c>
      <c r="AG999">
        <v>3858.4479999999999</v>
      </c>
      <c r="AH999">
        <f t="shared" si="25"/>
        <v>-2.4120000000002619</v>
      </c>
    </row>
    <row r="1000" spans="32:34" x14ac:dyDescent="0.25">
      <c r="AF1000">
        <v>99.7</v>
      </c>
      <c r="AG1000">
        <v>3858.4560000000001</v>
      </c>
      <c r="AH1000">
        <f t="shared" si="25"/>
        <v>-2.4039999999999964</v>
      </c>
    </row>
    <row r="1001" spans="32:34" x14ac:dyDescent="0.25">
      <c r="AF1001">
        <v>99.8</v>
      </c>
      <c r="AG1001">
        <v>3858.4639999999999</v>
      </c>
      <c r="AH1001">
        <f t="shared" si="25"/>
        <v>-2.3960000000001855</v>
      </c>
    </row>
    <row r="1002" spans="32:34" x14ac:dyDescent="0.25">
      <c r="AF1002">
        <v>99.9</v>
      </c>
      <c r="AG1002">
        <v>3858.4720000000002</v>
      </c>
      <c r="AH1002">
        <f t="shared" si="25"/>
        <v>-2.38799999999992</v>
      </c>
    </row>
    <row r="1003" spans="32:34" x14ac:dyDescent="0.25">
      <c r="AF1003">
        <v>100</v>
      </c>
      <c r="AG1003">
        <v>3858.48</v>
      </c>
      <c r="AH1003">
        <f t="shared" si="25"/>
        <v>-2.3800000000001091</v>
      </c>
    </row>
    <row r="1004" spans="32:34" x14ac:dyDescent="0.25">
      <c r="AF1004">
        <v>100.1</v>
      </c>
      <c r="AG1004">
        <v>3858.4940000000001</v>
      </c>
      <c r="AH1004">
        <f t="shared" si="25"/>
        <v>-2.3659999999999854</v>
      </c>
    </row>
    <row r="1005" spans="32:34" x14ac:dyDescent="0.25">
      <c r="AF1005">
        <v>100.2</v>
      </c>
      <c r="AG1005">
        <v>3858.5079999999998</v>
      </c>
      <c r="AH1005">
        <f t="shared" si="25"/>
        <v>-2.3520000000003165</v>
      </c>
    </row>
    <row r="1006" spans="32:34" x14ac:dyDescent="0.25">
      <c r="AF1006">
        <v>100.3</v>
      </c>
      <c r="AG1006">
        <v>3858.5219999999999</v>
      </c>
      <c r="AH1006">
        <f t="shared" si="25"/>
        <v>-2.3380000000001928</v>
      </c>
    </row>
    <row r="1007" spans="32:34" x14ac:dyDescent="0.25">
      <c r="AF1007">
        <v>100.4</v>
      </c>
      <c r="AG1007">
        <v>3858.5360000000001</v>
      </c>
      <c r="AH1007">
        <f t="shared" si="25"/>
        <v>-2.3240000000000691</v>
      </c>
    </row>
    <row r="1008" spans="32:34" x14ac:dyDescent="0.25">
      <c r="AF1008">
        <v>100.5</v>
      </c>
      <c r="AG1008">
        <v>3858.55</v>
      </c>
      <c r="AH1008">
        <f t="shared" si="25"/>
        <v>-2.3099999999999454</v>
      </c>
    </row>
    <row r="1009" spans="32:34" x14ac:dyDescent="0.25">
      <c r="AF1009">
        <v>100.6</v>
      </c>
      <c r="AG1009">
        <v>3858.5639999999999</v>
      </c>
      <c r="AH1009">
        <f t="shared" si="25"/>
        <v>-2.2960000000002765</v>
      </c>
    </row>
    <row r="1010" spans="32:34" x14ac:dyDescent="0.25">
      <c r="AF1010">
        <v>100.7</v>
      </c>
      <c r="AG1010">
        <v>3858.578</v>
      </c>
      <c r="AH1010">
        <f t="shared" si="25"/>
        <v>-2.2820000000001528</v>
      </c>
    </row>
    <row r="1011" spans="32:34" x14ac:dyDescent="0.25">
      <c r="AF1011">
        <v>100.8</v>
      </c>
      <c r="AG1011">
        <v>3858.5920000000001</v>
      </c>
      <c r="AH1011">
        <f t="shared" si="25"/>
        <v>-2.2680000000000291</v>
      </c>
    </row>
    <row r="1012" spans="32:34" x14ac:dyDescent="0.25">
      <c r="AF1012">
        <v>100.9</v>
      </c>
      <c r="AG1012">
        <v>3858.6059999999902</v>
      </c>
      <c r="AH1012">
        <f t="shared" si="25"/>
        <v>-2.2540000000099099</v>
      </c>
    </row>
    <row r="1013" spans="32:34" x14ac:dyDescent="0.25">
      <c r="AF1013">
        <v>101</v>
      </c>
      <c r="AG1013">
        <v>3858.62</v>
      </c>
      <c r="AH1013">
        <f t="shared" si="25"/>
        <v>-2.2400000000002365</v>
      </c>
    </row>
    <row r="1014" spans="32:34" x14ac:dyDescent="0.25">
      <c r="AF1014">
        <v>101.1</v>
      </c>
      <c r="AG1014">
        <v>3858.634</v>
      </c>
      <c r="AH1014">
        <f t="shared" si="25"/>
        <v>-2.2260000000001128</v>
      </c>
    </row>
    <row r="1015" spans="32:34" x14ac:dyDescent="0.25">
      <c r="AF1015">
        <v>101.2</v>
      </c>
      <c r="AG1015">
        <v>3858.6480000000001</v>
      </c>
      <c r="AH1015">
        <f t="shared" si="25"/>
        <v>-2.2119999999999891</v>
      </c>
    </row>
    <row r="1016" spans="32:34" x14ac:dyDescent="0.25">
      <c r="AF1016">
        <v>101.3</v>
      </c>
      <c r="AG1016">
        <v>3858.6619999999998</v>
      </c>
      <c r="AH1016">
        <f t="shared" si="25"/>
        <v>-2.1980000000003201</v>
      </c>
    </row>
    <row r="1017" spans="32:34" x14ac:dyDescent="0.25">
      <c r="AF1017">
        <v>101.4</v>
      </c>
      <c r="AG1017">
        <v>3858.6759999999999</v>
      </c>
      <c r="AH1017">
        <f t="shared" si="25"/>
        <v>-2.1840000000001965</v>
      </c>
    </row>
    <row r="1018" spans="32:34" x14ac:dyDescent="0.25">
      <c r="AF1018">
        <v>101.5</v>
      </c>
      <c r="AG1018">
        <v>3858.69</v>
      </c>
      <c r="AH1018">
        <f t="shared" si="25"/>
        <v>-2.1700000000000728</v>
      </c>
    </row>
    <row r="1019" spans="32:34" x14ac:dyDescent="0.25">
      <c r="AF1019">
        <v>101.6</v>
      </c>
      <c r="AG1019">
        <v>3858.7040000000002</v>
      </c>
      <c r="AH1019">
        <f t="shared" si="25"/>
        <v>-2.1559999999999491</v>
      </c>
    </row>
    <row r="1020" spans="32:34" x14ac:dyDescent="0.25">
      <c r="AF1020">
        <v>101.7</v>
      </c>
      <c r="AG1020">
        <v>3858.7179999999998</v>
      </c>
      <c r="AH1020">
        <f t="shared" si="25"/>
        <v>-2.1420000000002801</v>
      </c>
    </row>
    <row r="1021" spans="32:34" x14ac:dyDescent="0.25">
      <c r="AF1021">
        <v>101.8</v>
      </c>
      <c r="AG1021">
        <v>3858.732</v>
      </c>
      <c r="AH1021">
        <f t="shared" si="25"/>
        <v>-2.1280000000001564</v>
      </c>
    </row>
    <row r="1022" spans="32:34" x14ac:dyDescent="0.25">
      <c r="AF1022">
        <v>101.9</v>
      </c>
      <c r="AG1022">
        <v>3858.7460000000001</v>
      </c>
      <c r="AH1022">
        <f t="shared" si="25"/>
        <v>-2.1140000000000327</v>
      </c>
    </row>
    <row r="1023" spans="32:34" x14ac:dyDescent="0.25">
      <c r="AF1023">
        <v>102</v>
      </c>
      <c r="AG1023">
        <v>3858.7599999999902</v>
      </c>
      <c r="AH1023">
        <f t="shared" si="25"/>
        <v>-2.1000000000099135</v>
      </c>
    </row>
    <row r="1024" spans="32:34" x14ac:dyDescent="0.25">
      <c r="AF1024">
        <v>102.1</v>
      </c>
      <c r="AG1024">
        <v>3858.7739999999999</v>
      </c>
      <c r="AH1024">
        <f t="shared" si="25"/>
        <v>-2.0860000000002401</v>
      </c>
    </row>
    <row r="1025" spans="32:34" x14ac:dyDescent="0.25">
      <c r="AF1025">
        <v>102.2</v>
      </c>
      <c r="AG1025">
        <v>3858.788</v>
      </c>
      <c r="AH1025">
        <f t="shared" si="25"/>
        <v>-2.0720000000001164</v>
      </c>
    </row>
    <row r="1026" spans="32:34" x14ac:dyDescent="0.25">
      <c r="AF1026">
        <v>102.3</v>
      </c>
      <c r="AG1026">
        <v>3858.8020000000001</v>
      </c>
      <c r="AH1026">
        <f t="shared" si="25"/>
        <v>-2.0579999999999927</v>
      </c>
    </row>
    <row r="1027" spans="32:34" x14ac:dyDescent="0.25">
      <c r="AF1027">
        <v>102.4</v>
      </c>
      <c r="AG1027">
        <v>3858.8159999999998</v>
      </c>
      <c r="AH1027">
        <f t="shared" si="25"/>
        <v>-2.0440000000003238</v>
      </c>
    </row>
    <row r="1028" spans="32:34" x14ac:dyDescent="0.25">
      <c r="AF1028">
        <v>102.5</v>
      </c>
      <c r="AG1028">
        <v>3858.83</v>
      </c>
      <c r="AH1028">
        <f t="shared" ref="AH1028:AH1091" si="26">AG1028-MAX($AG$3:$AG$2353)</f>
        <v>-2.0300000000002001</v>
      </c>
    </row>
    <row r="1029" spans="32:34" x14ac:dyDescent="0.25">
      <c r="AF1029">
        <v>102.6</v>
      </c>
      <c r="AG1029">
        <v>3858.8440000000001</v>
      </c>
      <c r="AH1029">
        <f t="shared" si="26"/>
        <v>-2.0160000000000764</v>
      </c>
    </row>
    <row r="1030" spans="32:34" x14ac:dyDescent="0.25">
      <c r="AF1030">
        <v>102.7</v>
      </c>
      <c r="AG1030">
        <v>3858.8579999999902</v>
      </c>
      <c r="AH1030">
        <f t="shared" si="26"/>
        <v>-2.0020000000099571</v>
      </c>
    </row>
    <row r="1031" spans="32:34" x14ac:dyDescent="0.25">
      <c r="AF1031">
        <v>102.8</v>
      </c>
      <c r="AG1031">
        <v>3858.8719999999998</v>
      </c>
      <c r="AH1031">
        <f t="shared" si="26"/>
        <v>-1.9880000000002838</v>
      </c>
    </row>
    <row r="1032" spans="32:34" x14ac:dyDescent="0.25">
      <c r="AF1032">
        <v>102.9</v>
      </c>
      <c r="AG1032">
        <v>3858.886</v>
      </c>
      <c r="AH1032">
        <f t="shared" si="26"/>
        <v>-1.9740000000001601</v>
      </c>
    </row>
    <row r="1033" spans="32:34" x14ac:dyDescent="0.25">
      <c r="AF1033">
        <v>103</v>
      </c>
      <c r="AG1033">
        <v>3858.9</v>
      </c>
      <c r="AH1033">
        <f t="shared" si="26"/>
        <v>-1.9600000000000364</v>
      </c>
    </row>
    <row r="1034" spans="32:34" x14ac:dyDescent="0.25">
      <c r="AF1034">
        <v>103.1</v>
      </c>
      <c r="AG1034">
        <v>3858.9139999999902</v>
      </c>
      <c r="AH1034">
        <f t="shared" si="26"/>
        <v>-1.9460000000099171</v>
      </c>
    </row>
    <row r="1035" spans="32:34" x14ac:dyDescent="0.25">
      <c r="AF1035">
        <v>103.2</v>
      </c>
      <c r="AG1035">
        <v>3858.9279999999999</v>
      </c>
      <c r="AH1035">
        <f t="shared" si="26"/>
        <v>-1.9320000000002437</v>
      </c>
    </row>
    <row r="1036" spans="32:34" x14ac:dyDescent="0.25">
      <c r="AF1036">
        <v>103.3</v>
      </c>
      <c r="AG1036">
        <v>3858.942</v>
      </c>
      <c r="AH1036">
        <f t="shared" si="26"/>
        <v>-1.9180000000001201</v>
      </c>
    </row>
    <row r="1037" spans="32:34" x14ac:dyDescent="0.25">
      <c r="AF1037">
        <v>103.4</v>
      </c>
      <c r="AG1037">
        <v>3858.9559999999901</v>
      </c>
      <c r="AH1037">
        <f t="shared" si="26"/>
        <v>-1.9040000000100008</v>
      </c>
    </row>
    <row r="1038" spans="32:34" x14ac:dyDescent="0.25">
      <c r="AF1038">
        <v>103.5</v>
      </c>
      <c r="AG1038">
        <v>3858.97</v>
      </c>
      <c r="AH1038">
        <f t="shared" si="26"/>
        <v>-1.8900000000003274</v>
      </c>
    </row>
    <row r="1039" spans="32:34" x14ac:dyDescent="0.25">
      <c r="AF1039">
        <v>103.6</v>
      </c>
      <c r="AG1039">
        <v>3858.9839999999999</v>
      </c>
      <c r="AH1039">
        <f t="shared" si="26"/>
        <v>-1.8760000000002037</v>
      </c>
    </row>
    <row r="1040" spans="32:34" x14ac:dyDescent="0.25">
      <c r="AF1040">
        <v>103.7</v>
      </c>
      <c r="AG1040">
        <v>3858.998</v>
      </c>
      <c r="AH1040">
        <f t="shared" si="26"/>
        <v>-1.86200000000008</v>
      </c>
    </row>
    <row r="1041" spans="32:34" x14ac:dyDescent="0.25">
      <c r="AF1041">
        <v>103.8</v>
      </c>
      <c r="AG1041">
        <v>3859.0119999999902</v>
      </c>
      <c r="AH1041">
        <f t="shared" si="26"/>
        <v>-1.8480000000099608</v>
      </c>
    </row>
    <row r="1042" spans="32:34" x14ac:dyDescent="0.25">
      <c r="AF1042">
        <v>103.9</v>
      </c>
      <c r="AG1042">
        <v>3859.0259999999998</v>
      </c>
      <c r="AH1042">
        <f t="shared" si="26"/>
        <v>-1.8340000000002874</v>
      </c>
    </row>
    <row r="1043" spans="32:34" x14ac:dyDescent="0.25">
      <c r="AF1043">
        <v>104</v>
      </c>
      <c r="AG1043">
        <v>3859.04</v>
      </c>
      <c r="AH1043">
        <f t="shared" si="26"/>
        <v>-1.8200000000001637</v>
      </c>
    </row>
    <row r="1044" spans="32:34" x14ac:dyDescent="0.25">
      <c r="AF1044">
        <v>104.1</v>
      </c>
      <c r="AG1044">
        <v>3859.0540000000001</v>
      </c>
      <c r="AH1044">
        <f t="shared" si="26"/>
        <v>-1.80600000000004</v>
      </c>
    </row>
    <row r="1045" spans="32:34" x14ac:dyDescent="0.25">
      <c r="AF1045">
        <v>104.2</v>
      </c>
      <c r="AG1045">
        <v>3859.0679999999902</v>
      </c>
      <c r="AH1045">
        <f t="shared" si="26"/>
        <v>-1.7920000000099208</v>
      </c>
    </row>
    <row r="1046" spans="32:34" x14ac:dyDescent="0.25">
      <c r="AF1046">
        <v>104.3</v>
      </c>
      <c r="AG1046">
        <v>3859.0819999999999</v>
      </c>
      <c r="AH1046">
        <f t="shared" si="26"/>
        <v>-1.7780000000002474</v>
      </c>
    </row>
    <row r="1047" spans="32:34" x14ac:dyDescent="0.25">
      <c r="AF1047">
        <v>104.4</v>
      </c>
      <c r="AG1047">
        <v>3859.096</v>
      </c>
      <c r="AH1047">
        <f t="shared" si="26"/>
        <v>-1.7640000000001237</v>
      </c>
    </row>
    <row r="1048" spans="32:34" x14ac:dyDescent="0.25">
      <c r="AF1048">
        <v>104.5</v>
      </c>
      <c r="AG1048">
        <v>3859.1099999999901</v>
      </c>
      <c r="AH1048">
        <f t="shared" si="26"/>
        <v>-1.7500000000100044</v>
      </c>
    </row>
    <row r="1049" spans="32:34" x14ac:dyDescent="0.25">
      <c r="AF1049">
        <v>104.6</v>
      </c>
      <c r="AG1049">
        <v>3859.1239999999998</v>
      </c>
      <c r="AH1049">
        <f t="shared" si="26"/>
        <v>-1.7360000000003311</v>
      </c>
    </row>
    <row r="1050" spans="32:34" x14ac:dyDescent="0.25">
      <c r="AF1050">
        <v>104.7</v>
      </c>
      <c r="AG1050">
        <v>3859.1379999999999</v>
      </c>
      <c r="AH1050">
        <f t="shared" si="26"/>
        <v>-1.7220000000002074</v>
      </c>
    </row>
    <row r="1051" spans="32:34" x14ac:dyDescent="0.25">
      <c r="AF1051">
        <v>104.8</v>
      </c>
      <c r="AG1051">
        <v>3859.152</v>
      </c>
      <c r="AH1051">
        <f t="shared" si="26"/>
        <v>-1.7080000000000837</v>
      </c>
    </row>
    <row r="1052" spans="32:34" x14ac:dyDescent="0.25">
      <c r="AF1052">
        <v>104.9</v>
      </c>
      <c r="AG1052">
        <v>3859.1659999999902</v>
      </c>
      <c r="AH1052">
        <f t="shared" si="26"/>
        <v>-1.6940000000099644</v>
      </c>
    </row>
    <row r="1053" spans="32:34" x14ac:dyDescent="0.25">
      <c r="AF1053">
        <v>105</v>
      </c>
      <c r="AG1053">
        <v>3859.18</v>
      </c>
      <c r="AH1053">
        <f t="shared" si="26"/>
        <v>-1.680000000000291</v>
      </c>
    </row>
    <row r="1054" spans="32:34" x14ac:dyDescent="0.25">
      <c r="AF1054">
        <v>105.1</v>
      </c>
      <c r="AG1054">
        <v>3859.1877999999901</v>
      </c>
      <c r="AH1054">
        <f t="shared" si="26"/>
        <v>-1.6722000000099797</v>
      </c>
    </row>
    <row r="1055" spans="32:34" x14ac:dyDescent="0.25">
      <c r="AF1055">
        <v>105.2</v>
      </c>
      <c r="AG1055">
        <v>3859.1956</v>
      </c>
      <c r="AH1055">
        <f t="shared" si="26"/>
        <v>-1.6644000000001142</v>
      </c>
    </row>
    <row r="1056" spans="32:34" x14ac:dyDescent="0.25">
      <c r="AF1056">
        <v>105.3</v>
      </c>
      <c r="AG1056">
        <v>3859.2033999999999</v>
      </c>
      <c r="AH1056">
        <f t="shared" si="26"/>
        <v>-1.6566000000002532</v>
      </c>
    </row>
    <row r="1057" spans="32:34" x14ac:dyDescent="0.25">
      <c r="AF1057">
        <v>105.4</v>
      </c>
      <c r="AG1057">
        <v>3859.2111999999902</v>
      </c>
      <c r="AH1057">
        <f t="shared" si="26"/>
        <v>-1.6488000000099419</v>
      </c>
    </row>
    <row r="1058" spans="32:34" x14ac:dyDescent="0.25">
      <c r="AF1058">
        <v>105.5</v>
      </c>
      <c r="AG1058">
        <v>3859.2190000000001</v>
      </c>
      <c r="AH1058">
        <f t="shared" si="26"/>
        <v>-1.6410000000000764</v>
      </c>
    </row>
    <row r="1059" spans="32:34" x14ac:dyDescent="0.25">
      <c r="AF1059">
        <v>105.6</v>
      </c>
      <c r="AG1059">
        <v>3859.2267999999999</v>
      </c>
      <c r="AH1059">
        <f t="shared" si="26"/>
        <v>-1.6332000000002154</v>
      </c>
    </row>
    <row r="1060" spans="32:34" x14ac:dyDescent="0.25">
      <c r="AF1060">
        <v>105.7</v>
      </c>
      <c r="AG1060">
        <v>3859.2345999999998</v>
      </c>
      <c r="AH1060">
        <f t="shared" si="26"/>
        <v>-1.6254000000003543</v>
      </c>
    </row>
    <row r="1061" spans="32:34" x14ac:dyDescent="0.25">
      <c r="AF1061">
        <v>105.8</v>
      </c>
      <c r="AG1061">
        <v>3859.2424000000001</v>
      </c>
      <c r="AH1061">
        <f t="shared" si="26"/>
        <v>-1.6176000000000386</v>
      </c>
    </row>
    <row r="1062" spans="32:34" x14ac:dyDescent="0.25">
      <c r="AF1062">
        <v>105.9</v>
      </c>
      <c r="AG1062">
        <v>3859.2501999999999</v>
      </c>
      <c r="AH1062">
        <f t="shared" si="26"/>
        <v>-1.6098000000001775</v>
      </c>
    </row>
    <row r="1063" spans="32:34" x14ac:dyDescent="0.25">
      <c r="AF1063">
        <v>106</v>
      </c>
      <c r="AG1063">
        <v>3859.2579999999998</v>
      </c>
      <c r="AH1063">
        <f t="shared" si="26"/>
        <v>-1.6020000000003165</v>
      </c>
    </row>
    <row r="1064" spans="32:34" x14ac:dyDescent="0.25">
      <c r="AF1064">
        <v>106.1</v>
      </c>
      <c r="AG1064">
        <v>3859.2658000000001</v>
      </c>
      <c r="AH1064">
        <f t="shared" si="26"/>
        <v>-1.5942000000000007</v>
      </c>
    </row>
    <row r="1065" spans="32:34" x14ac:dyDescent="0.25">
      <c r="AF1065">
        <v>106.2</v>
      </c>
      <c r="AG1065">
        <v>3859.2736</v>
      </c>
      <c r="AH1065">
        <f t="shared" si="26"/>
        <v>-1.5864000000001397</v>
      </c>
    </row>
    <row r="1066" spans="32:34" x14ac:dyDescent="0.25">
      <c r="AF1066">
        <v>106.3</v>
      </c>
      <c r="AG1066">
        <v>3859.2813999999998</v>
      </c>
      <c r="AH1066">
        <f t="shared" si="26"/>
        <v>-1.5786000000002787</v>
      </c>
    </row>
    <row r="1067" spans="32:34" x14ac:dyDescent="0.25">
      <c r="AF1067">
        <v>106.4</v>
      </c>
      <c r="AG1067">
        <v>3859.2891999999902</v>
      </c>
      <c r="AH1067">
        <f t="shared" si="26"/>
        <v>-1.5708000000099673</v>
      </c>
    </row>
    <row r="1068" spans="32:34" x14ac:dyDescent="0.25">
      <c r="AF1068">
        <v>106.5</v>
      </c>
      <c r="AG1068">
        <v>3859.297</v>
      </c>
      <c r="AH1068">
        <f t="shared" si="26"/>
        <v>-1.5630000000001019</v>
      </c>
    </row>
    <row r="1069" spans="32:34" x14ac:dyDescent="0.25">
      <c r="AF1069">
        <v>106.6</v>
      </c>
      <c r="AG1069">
        <v>3859.3047999999999</v>
      </c>
      <c r="AH1069">
        <f t="shared" si="26"/>
        <v>-1.5552000000002408</v>
      </c>
    </row>
    <row r="1070" spans="32:34" x14ac:dyDescent="0.25">
      <c r="AF1070">
        <v>106.7</v>
      </c>
      <c r="AG1070">
        <v>3859.3125999999902</v>
      </c>
      <c r="AH1070">
        <f t="shared" si="26"/>
        <v>-1.5474000000099295</v>
      </c>
    </row>
    <row r="1071" spans="32:34" x14ac:dyDescent="0.25">
      <c r="AF1071">
        <v>106.8</v>
      </c>
      <c r="AG1071">
        <v>3859.3204000000001</v>
      </c>
      <c r="AH1071">
        <f t="shared" si="26"/>
        <v>-1.539600000000064</v>
      </c>
    </row>
    <row r="1072" spans="32:34" x14ac:dyDescent="0.25">
      <c r="AF1072">
        <v>106.9</v>
      </c>
      <c r="AG1072">
        <v>3859.3281999999999</v>
      </c>
      <c r="AH1072">
        <f t="shared" si="26"/>
        <v>-1.531800000000203</v>
      </c>
    </row>
    <row r="1073" spans="32:34" x14ac:dyDescent="0.25">
      <c r="AF1073">
        <v>107</v>
      </c>
      <c r="AG1073">
        <v>3859.3359999999998</v>
      </c>
      <c r="AH1073">
        <f t="shared" si="26"/>
        <v>-1.524000000000342</v>
      </c>
    </row>
    <row r="1074" spans="32:34" x14ac:dyDescent="0.25">
      <c r="AF1074">
        <v>107.1</v>
      </c>
      <c r="AG1074">
        <v>3859.3438000000001</v>
      </c>
      <c r="AH1074">
        <f t="shared" si="26"/>
        <v>-1.5162000000000262</v>
      </c>
    </row>
    <row r="1075" spans="32:34" x14ac:dyDescent="0.25">
      <c r="AF1075">
        <v>107.2</v>
      </c>
      <c r="AG1075">
        <v>3859.3516</v>
      </c>
      <c r="AH1075">
        <f t="shared" si="26"/>
        <v>-1.5084000000001652</v>
      </c>
    </row>
    <row r="1076" spans="32:34" x14ac:dyDescent="0.25">
      <c r="AF1076">
        <v>107.3</v>
      </c>
      <c r="AG1076">
        <v>3859.3593999999998</v>
      </c>
      <c r="AH1076">
        <f t="shared" si="26"/>
        <v>-1.5006000000003041</v>
      </c>
    </row>
    <row r="1077" spans="32:34" x14ac:dyDescent="0.25">
      <c r="AF1077">
        <v>107.4</v>
      </c>
      <c r="AG1077">
        <v>3859.3672000000001</v>
      </c>
      <c r="AH1077">
        <f t="shared" si="26"/>
        <v>-1.4927999999999884</v>
      </c>
    </row>
    <row r="1078" spans="32:34" x14ac:dyDescent="0.25">
      <c r="AF1078">
        <v>107.5</v>
      </c>
      <c r="AG1078">
        <v>3859.375</v>
      </c>
      <c r="AH1078">
        <f t="shared" si="26"/>
        <v>-1.4850000000001273</v>
      </c>
    </row>
    <row r="1079" spans="32:34" x14ac:dyDescent="0.25">
      <c r="AF1079">
        <v>107.6</v>
      </c>
      <c r="AG1079">
        <v>3859.3827999999999</v>
      </c>
      <c r="AH1079">
        <f t="shared" si="26"/>
        <v>-1.4772000000002663</v>
      </c>
    </row>
    <row r="1080" spans="32:34" x14ac:dyDescent="0.25">
      <c r="AF1080">
        <v>107.7</v>
      </c>
      <c r="AG1080">
        <v>3859.3906000000002</v>
      </c>
      <c r="AH1080">
        <f t="shared" si="26"/>
        <v>-1.4693999999999505</v>
      </c>
    </row>
    <row r="1081" spans="32:34" x14ac:dyDescent="0.25">
      <c r="AF1081">
        <v>107.8</v>
      </c>
      <c r="AG1081">
        <v>3859.3984</v>
      </c>
      <c r="AH1081">
        <f t="shared" si="26"/>
        <v>-1.4616000000000895</v>
      </c>
    </row>
    <row r="1082" spans="32:34" x14ac:dyDescent="0.25">
      <c r="AF1082">
        <v>107.9</v>
      </c>
      <c r="AG1082">
        <v>3859.4061999999999</v>
      </c>
      <c r="AH1082">
        <f t="shared" si="26"/>
        <v>-1.4538000000002285</v>
      </c>
    </row>
    <row r="1083" spans="32:34" x14ac:dyDescent="0.25">
      <c r="AF1083">
        <v>108</v>
      </c>
      <c r="AG1083">
        <v>3859.4140000000002</v>
      </c>
      <c r="AH1083">
        <f t="shared" si="26"/>
        <v>-1.4459999999999127</v>
      </c>
    </row>
    <row r="1084" spans="32:34" x14ac:dyDescent="0.25">
      <c r="AF1084">
        <v>108.1</v>
      </c>
      <c r="AG1084">
        <v>3859.4218000000001</v>
      </c>
      <c r="AH1084">
        <f t="shared" si="26"/>
        <v>-1.4382000000000517</v>
      </c>
    </row>
    <row r="1085" spans="32:34" x14ac:dyDescent="0.25">
      <c r="AF1085">
        <v>108.2</v>
      </c>
      <c r="AG1085">
        <v>3859.4295999999999</v>
      </c>
      <c r="AH1085">
        <f t="shared" si="26"/>
        <v>-1.4304000000001906</v>
      </c>
    </row>
    <row r="1086" spans="32:34" x14ac:dyDescent="0.25">
      <c r="AF1086">
        <v>108.3</v>
      </c>
      <c r="AG1086">
        <v>3859.4373999999998</v>
      </c>
      <c r="AH1086">
        <f t="shared" si="26"/>
        <v>-1.4226000000003296</v>
      </c>
    </row>
    <row r="1087" spans="32:34" x14ac:dyDescent="0.25">
      <c r="AF1087">
        <v>108.4</v>
      </c>
      <c r="AG1087">
        <v>3859.4452000000001</v>
      </c>
      <c r="AH1087">
        <f t="shared" si="26"/>
        <v>-1.4148000000000138</v>
      </c>
    </row>
    <row r="1088" spans="32:34" x14ac:dyDescent="0.25">
      <c r="AF1088">
        <v>108.5</v>
      </c>
      <c r="AG1088">
        <v>3859.453</v>
      </c>
      <c r="AH1088">
        <f t="shared" si="26"/>
        <v>-1.4070000000001528</v>
      </c>
    </row>
    <row r="1089" spans="32:34" x14ac:dyDescent="0.25">
      <c r="AF1089">
        <v>108.6</v>
      </c>
      <c r="AG1089">
        <v>3859.4607999999998</v>
      </c>
      <c r="AH1089">
        <f t="shared" si="26"/>
        <v>-1.3992000000002918</v>
      </c>
    </row>
    <row r="1090" spans="32:34" x14ac:dyDescent="0.25">
      <c r="AF1090">
        <v>108.7</v>
      </c>
      <c r="AG1090">
        <v>3859.4686000000002</v>
      </c>
      <c r="AH1090">
        <f t="shared" si="26"/>
        <v>-1.391399999999976</v>
      </c>
    </row>
    <row r="1091" spans="32:34" x14ac:dyDescent="0.25">
      <c r="AF1091">
        <v>108.8</v>
      </c>
      <c r="AG1091">
        <v>3859.4764</v>
      </c>
      <c r="AH1091">
        <f t="shared" si="26"/>
        <v>-1.383600000000115</v>
      </c>
    </row>
    <row r="1092" spans="32:34" x14ac:dyDescent="0.25">
      <c r="AF1092">
        <v>108.9</v>
      </c>
      <c r="AG1092">
        <v>3859.4841999999999</v>
      </c>
      <c r="AH1092">
        <f t="shared" ref="AH1092:AH1155" si="27">AG1092-MAX($AG$3:$AG$2353)</f>
        <v>-1.3758000000002539</v>
      </c>
    </row>
    <row r="1093" spans="32:34" x14ac:dyDescent="0.25">
      <c r="AF1093">
        <v>109</v>
      </c>
      <c r="AG1093">
        <v>3859.4920000000002</v>
      </c>
      <c r="AH1093">
        <f t="shared" si="27"/>
        <v>-1.3679999999999382</v>
      </c>
    </row>
    <row r="1094" spans="32:34" x14ac:dyDescent="0.25">
      <c r="AF1094">
        <v>109.1</v>
      </c>
      <c r="AG1094">
        <v>3859.4998000000001</v>
      </c>
      <c r="AH1094">
        <f t="shared" si="27"/>
        <v>-1.3602000000000771</v>
      </c>
    </row>
    <row r="1095" spans="32:34" x14ac:dyDescent="0.25">
      <c r="AF1095">
        <v>109.2</v>
      </c>
      <c r="AG1095">
        <v>3859.5075999999999</v>
      </c>
      <c r="AH1095">
        <f t="shared" si="27"/>
        <v>-1.3524000000002161</v>
      </c>
    </row>
    <row r="1096" spans="32:34" x14ac:dyDescent="0.25">
      <c r="AF1096">
        <v>109.3</v>
      </c>
      <c r="AG1096">
        <v>3859.5154000000002</v>
      </c>
      <c r="AH1096">
        <f t="shared" si="27"/>
        <v>-1.3445999999999003</v>
      </c>
    </row>
    <row r="1097" spans="32:34" x14ac:dyDescent="0.25">
      <c r="AF1097">
        <v>109.4</v>
      </c>
      <c r="AG1097">
        <v>3859.5232000000001</v>
      </c>
      <c r="AH1097">
        <f t="shared" si="27"/>
        <v>-1.3368000000000393</v>
      </c>
    </row>
    <row r="1098" spans="32:34" x14ac:dyDescent="0.25">
      <c r="AF1098">
        <v>109.5</v>
      </c>
      <c r="AG1098">
        <v>3859.5309999999999</v>
      </c>
      <c r="AH1098">
        <f t="shared" si="27"/>
        <v>-1.3290000000001783</v>
      </c>
    </row>
    <row r="1099" spans="32:34" x14ac:dyDescent="0.25">
      <c r="AF1099">
        <v>109.6</v>
      </c>
      <c r="AG1099">
        <v>3859.5387999999998</v>
      </c>
      <c r="AH1099">
        <f t="shared" si="27"/>
        <v>-1.3212000000003172</v>
      </c>
    </row>
    <row r="1100" spans="32:34" x14ac:dyDescent="0.25">
      <c r="AF1100">
        <v>109.7</v>
      </c>
      <c r="AG1100">
        <v>3859.5466000000001</v>
      </c>
      <c r="AH1100">
        <f t="shared" si="27"/>
        <v>-1.3134000000000015</v>
      </c>
    </row>
    <row r="1101" spans="32:34" x14ac:dyDescent="0.25">
      <c r="AF1101">
        <v>109.8</v>
      </c>
      <c r="AG1101">
        <v>3859.5544</v>
      </c>
      <c r="AH1101">
        <f t="shared" si="27"/>
        <v>-1.3056000000001404</v>
      </c>
    </row>
    <row r="1102" spans="32:34" x14ac:dyDescent="0.25">
      <c r="AF1102">
        <v>109.9</v>
      </c>
      <c r="AG1102">
        <v>3859.5621999999998</v>
      </c>
      <c r="AH1102">
        <f t="shared" si="27"/>
        <v>-1.2978000000002794</v>
      </c>
    </row>
    <row r="1103" spans="32:34" x14ac:dyDescent="0.25">
      <c r="AF1103">
        <v>110</v>
      </c>
      <c r="AG1103">
        <v>3859.57</v>
      </c>
      <c r="AH1103">
        <f t="shared" si="27"/>
        <v>-1.2899999999999636</v>
      </c>
    </row>
    <row r="1104" spans="32:34" x14ac:dyDescent="0.25">
      <c r="AF1104">
        <v>110.1</v>
      </c>
      <c r="AG1104">
        <v>3859.5916000000002</v>
      </c>
      <c r="AH1104">
        <f t="shared" si="27"/>
        <v>-1.2683999999999287</v>
      </c>
    </row>
    <row r="1105" spans="32:34" x14ac:dyDescent="0.25">
      <c r="AF1105">
        <v>110.2</v>
      </c>
      <c r="AG1105">
        <v>3859.6131999999998</v>
      </c>
      <c r="AH1105">
        <f t="shared" si="27"/>
        <v>-1.2468000000003485</v>
      </c>
    </row>
    <row r="1106" spans="32:34" x14ac:dyDescent="0.25">
      <c r="AF1106">
        <v>110.3</v>
      </c>
      <c r="AG1106">
        <v>3859.6347999999998</v>
      </c>
      <c r="AH1106">
        <f t="shared" si="27"/>
        <v>-1.2252000000003136</v>
      </c>
    </row>
    <row r="1107" spans="32:34" x14ac:dyDescent="0.25">
      <c r="AF1107">
        <v>110.4</v>
      </c>
      <c r="AG1107">
        <v>3859.6563999999998</v>
      </c>
      <c r="AH1107">
        <f t="shared" si="27"/>
        <v>-1.2036000000002787</v>
      </c>
    </row>
    <row r="1108" spans="32:34" x14ac:dyDescent="0.25">
      <c r="AF1108">
        <v>110.5</v>
      </c>
      <c r="AG1108">
        <v>3859.6779999999999</v>
      </c>
      <c r="AH1108">
        <f t="shared" si="27"/>
        <v>-1.1820000000002437</v>
      </c>
    </row>
    <row r="1109" spans="32:34" x14ac:dyDescent="0.25">
      <c r="AF1109">
        <v>110.6</v>
      </c>
      <c r="AG1109">
        <v>3859.6995999999999</v>
      </c>
      <c r="AH1109">
        <f t="shared" si="27"/>
        <v>-1.1604000000002088</v>
      </c>
    </row>
    <row r="1110" spans="32:34" x14ac:dyDescent="0.25">
      <c r="AF1110">
        <v>110.7</v>
      </c>
      <c r="AG1110">
        <v>3859.7212</v>
      </c>
      <c r="AH1110">
        <f t="shared" si="27"/>
        <v>-1.1388000000001739</v>
      </c>
    </row>
    <row r="1111" spans="32:34" x14ac:dyDescent="0.25">
      <c r="AF1111">
        <v>110.8</v>
      </c>
      <c r="AG1111">
        <v>3859.7428</v>
      </c>
      <c r="AH1111">
        <f t="shared" si="27"/>
        <v>-1.117200000000139</v>
      </c>
    </row>
    <row r="1112" spans="32:34" x14ac:dyDescent="0.25">
      <c r="AF1112">
        <v>110.9</v>
      </c>
      <c r="AG1112">
        <v>3859.7644</v>
      </c>
      <c r="AH1112">
        <f t="shared" si="27"/>
        <v>-1.095600000000104</v>
      </c>
    </row>
    <row r="1113" spans="32:34" x14ac:dyDescent="0.25">
      <c r="AF1113">
        <v>111</v>
      </c>
      <c r="AG1113">
        <v>3859.7860000000001</v>
      </c>
      <c r="AH1113">
        <f t="shared" si="27"/>
        <v>-1.0740000000000691</v>
      </c>
    </row>
    <row r="1114" spans="32:34" x14ac:dyDescent="0.25">
      <c r="AF1114">
        <v>111.1</v>
      </c>
      <c r="AG1114">
        <v>3859.8076000000001</v>
      </c>
      <c r="AH1114">
        <f t="shared" si="27"/>
        <v>-1.0524000000000342</v>
      </c>
    </row>
    <row r="1115" spans="32:34" x14ac:dyDescent="0.25">
      <c r="AF1115">
        <v>111.2</v>
      </c>
      <c r="AG1115">
        <v>3859.8292000000001</v>
      </c>
      <c r="AH1115">
        <f t="shared" si="27"/>
        <v>-1.0307999999999993</v>
      </c>
    </row>
    <row r="1116" spans="32:34" x14ac:dyDescent="0.25">
      <c r="AF1116">
        <v>111.3</v>
      </c>
      <c r="AG1116">
        <v>3859.8508000000002</v>
      </c>
      <c r="AH1116">
        <f t="shared" si="27"/>
        <v>-1.0091999999999643</v>
      </c>
    </row>
    <row r="1117" spans="32:34" x14ac:dyDescent="0.25">
      <c r="AF1117">
        <v>111.4</v>
      </c>
      <c r="AG1117">
        <v>3859.8724000000002</v>
      </c>
      <c r="AH1117">
        <f t="shared" si="27"/>
        <v>-0.98759999999992942</v>
      </c>
    </row>
    <row r="1118" spans="32:34" x14ac:dyDescent="0.25">
      <c r="AF1118">
        <v>111.5</v>
      </c>
      <c r="AG1118">
        <v>3859.8939999999998</v>
      </c>
      <c r="AH1118">
        <f t="shared" si="27"/>
        <v>-0.96600000000034925</v>
      </c>
    </row>
    <row r="1119" spans="32:34" x14ac:dyDescent="0.25">
      <c r="AF1119">
        <v>111.6</v>
      </c>
      <c r="AG1119">
        <v>3859.9155999999998</v>
      </c>
      <c r="AH1119">
        <f t="shared" si="27"/>
        <v>-0.94440000000031432</v>
      </c>
    </row>
    <row r="1120" spans="32:34" x14ac:dyDescent="0.25">
      <c r="AF1120">
        <v>111.7</v>
      </c>
      <c r="AG1120">
        <v>3859.9371999999998</v>
      </c>
      <c r="AH1120">
        <f t="shared" si="27"/>
        <v>-0.9228000000002794</v>
      </c>
    </row>
    <row r="1121" spans="32:34" x14ac:dyDescent="0.25">
      <c r="AF1121">
        <v>111.8</v>
      </c>
      <c r="AG1121">
        <v>3859.9587999999999</v>
      </c>
      <c r="AH1121">
        <f t="shared" si="27"/>
        <v>-0.90120000000024447</v>
      </c>
    </row>
    <row r="1122" spans="32:34" x14ac:dyDescent="0.25">
      <c r="AF1122">
        <v>111.9</v>
      </c>
      <c r="AG1122">
        <v>3859.9803999999999</v>
      </c>
      <c r="AH1122">
        <f t="shared" si="27"/>
        <v>-0.87960000000020955</v>
      </c>
    </row>
    <row r="1123" spans="32:34" x14ac:dyDescent="0.25">
      <c r="AF1123">
        <v>112</v>
      </c>
      <c r="AG1123">
        <v>3860.002</v>
      </c>
      <c r="AH1123">
        <f t="shared" si="27"/>
        <v>-0.85800000000017462</v>
      </c>
    </row>
    <row r="1124" spans="32:34" x14ac:dyDescent="0.25">
      <c r="AF1124">
        <v>112.1</v>
      </c>
      <c r="AG1124">
        <v>3860.0236</v>
      </c>
      <c r="AH1124">
        <f t="shared" si="27"/>
        <v>-0.8364000000001397</v>
      </c>
    </row>
    <row r="1125" spans="32:34" x14ac:dyDescent="0.25">
      <c r="AF1125">
        <v>112.2</v>
      </c>
      <c r="AG1125">
        <v>3860.0452</v>
      </c>
      <c r="AH1125">
        <f t="shared" si="27"/>
        <v>-0.81480000000010477</v>
      </c>
    </row>
    <row r="1126" spans="32:34" x14ac:dyDescent="0.25">
      <c r="AF1126">
        <v>112.3</v>
      </c>
      <c r="AG1126">
        <v>3860.0668000000001</v>
      </c>
      <c r="AH1126">
        <f t="shared" si="27"/>
        <v>-0.79320000000006985</v>
      </c>
    </row>
    <row r="1127" spans="32:34" x14ac:dyDescent="0.25">
      <c r="AF1127">
        <v>112.4</v>
      </c>
      <c r="AG1127">
        <v>3860.0884000000001</v>
      </c>
      <c r="AH1127">
        <f t="shared" si="27"/>
        <v>-0.77160000000003492</v>
      </c>
    </row>
    <row r="1128" spans="32:34" x14ac:dyDescent="0.25">
      <c r="AF1128">
        <v>112.5</v>
      </c>
      <c r="AG1128">
        <v>3860.11</v>
      </c>
      <c r="AH1128">
        <f t="shared" si="27"/>
        <v>-0.75</v>
      </c>
    </row>
    <row r="1129" spans="32:34" x14ac:dyDescent="0.25">
      <c r="AF1129">
        <v>112.6</v>
      </c>
      <c r="AG1129">
        <v>3860.1316000000002</v>
      </c>
      <c r="AH1129">
        <f t="shared" si="27"/>
        <v>-0.72839999999996508</v>
      </c>
    </row>
    <row r="1130" spans="32:34" x14ac:dyDescent="0.25">
      <c r="AF1130">
        <v>112.7</v>
      </c>
      <c r="AG1130">
        <v>3860.1532000000002</v>
      </c>
      <c r="AH1130">
        <f t="shared" si="27"/>
        <v>-0.70679999999993015</v>
      </c>
    </row>
    <row r="1131" spans="32:34" x14ac:dyDescent="0.25">
      <c r="AF1131">
        <v>112.8</v>
      </c>
      <c r="AG1131">
        <v>3860.1747999999998</v>
      </c>
      <c r="AH1131">
        <f t="shared" si="27"/>
        <v>-0.68520000000034997</v>
      </c>
    </row>
    <row r="1132" spans="32:34" x14ac:dyDescent="0.25">
      <c r="AF1132">
        <v>112.9</v>
      </c>
      <c r="AG1132">
        <v>3860.1963999999998</v>
      </c>
      <c r="AH1132">
        <f t="shared" si="27"/>
        <v>-0.66360000000031505</v>
      </c>
    </row>
    <row r="1133" spans="32:34" x14ac:dyDescent="0.25">
      <c r="AF1133">
        <v>113</v>
      </c>
      <c r="AG1133">
        <v>3860.2179999999998</v>
      </c>
      <c r="AH1133">
        <f t="shared" si="27"/>
        <v>-0.64200000000028012</v>
      </c>
    </row>
    <row r="1134" spans="32:34" x14ac:dyDescent="0.25">
      <c r="AF1134">
        <v>113.1</v>
      </c>
      <c r="AG1134">
        <v>3860.2395999999999</v>
      </c>
      <c r="AH1134">
        <f t="shared" si="27"/>
        <v>-0.6204000000002452</v>
      </c>
    </row>
    <row r="1135" spans="32:34" x14ac:dyDescent="0.25">
      <c r="AF1135">
        <v>113.2</v>
      </c>
      <c r="AG1135">
        <v>3860.2611999999999</v>
      </c>
      <c r="AH1135">
        <f t="shared" si="27"/>
        <v>-0.59880000000021028</v>
      </c>
    </row>
    <row r="1136" spans="32:34" x14ac:dyDescent="0.25">
      <c r="AF1136">
        <v>113.3</v>
      </c>
      <c r="AG1136">
        <v>3860.2828</v>
      </c>
      <c r="AH1136">
        <f t="shared" si="27"/>
        <v>-0.57720000000017535</v>
      </c>
    </row>
    <row r="1137" spans="32:34" x14ac:dyDescent="0.25">
      <c r="AF1137">
        <v>113.4</v>
      </c>
      <c r="AG1137">
        <v>3860.3044</v>
      </c>
      <c r="AH1137">
        <f t="shared" si="27"/>
        <v>-0.55560000000014043</v>
      </c>
    </row>
    <row r="1138" spans="32:34" x14ac:dyDescent="0.25">
      <c r="AF1138">
        <v>113.5</v>
      </c>
      <c r="AG1138">
        <v>3860.326</v>
      </c>
      <c r="AH1138">
        <f t="shared" si="27"/>
        <v>-0.5340000000001055</v>
      </c>
    </row>
    <row r="1139" spans="32:34" x14ac:dyDescent="0.25">
      <c r="AF1139">
        <v>113.6</v>
      </c>
      <c r="AG1139">
        <v>3860.3476000000001</v>
      </c>
      <c r="AH1139">
        <f t="shared" si="27"/>
        <v>-0.51240000000007058</v>
      </c>
    </row>
    <row r="1140" spans="32:34" x14ac:dyDescent="0.25">
      <c r="AF1140">
        <v>113.7</v>
      </c>
      <c r="AG1140">
        <v>3860.3692000000001</v>
      </c>
      <c r="AH1140">
        <f t="shared" si="27"/>
        <v>-0.49080000000003565</v>
      </c>
    </row>
    <row r="1141" spans="32:34" x14ac:dyDescent="0.25">
      <c r="AF1141">
        <v>113.8</v>
      </c>
      <c r="AG1141">
        <v>3860.3908000000001</v>
      </c>
      <c r="AH1141">
        <f t="shared" si="27"/>
        <v>-0.46920000000000073</v>
      </c>
    </row>
    <row r="1142" spans="32:34" x14ac:dyDescent="0.25">
      <c r="AF1142">
        <v>113.9</v>
      </c>
      <c r="AG1142">
        <v>3860.4124000000002</v>
      </c>
      <c r="AH1142">
        <f t="shared" si="27"/>
        <v>-0.4475999999999658</v>
      </c>
    </row>
    <row r="1143" spans="32:34" x14ac:dyDescent="0.25">
      <c r="AF1143">
        <v>114</v>
      </c>
      <c r="AG1143">
        <v>3860.4340000000002</v>
      </c>
      <c r="AH1143">
        <f t="shared" si="27"/>
        <v>-0.42599999999993088</v>
      </c>
    </row>
    <row r="1144" spans="32:34" x14ac:dyDescent="0.25">
      <c r="AF1144">
        <v>114.1</v>
      </c>
      <c r="AG1144">
        <v>3860.4555999999998</v>
      </c>
      <c r="AH1144">
        <f t="shared" si="27"/>
        <v>-0.4044000000003507</v>
      </c>
    </row>
    <row r="1145" spans="32:34" x14ac:dyDescent="0.25">
      <c r="AF1145">
        <v>114.2</v>
      </c>
      <c r="AG1145">
        <v>3860.4771999999998</v>
      </c>
      <c r="AH1145">
        <f t="shared" si="27"/>
        <v>-0.38280000000031578</v>
      </c>
    </row>
    <row r="1146" spans="32:34" x14ac:dyDescent="0.25">
      <c r="AF1146">
        <v>114.3</v>
      </c>
      <c r="AG1146">
        <v>3860.4987999999998</v>
      </c>
      <c r="AH1146">
        <f t="shared" si="27"/>
        <v>-0.36120000000028085</v>
      </c>
    </row>
    <row r="1147" spans="32:34" x14ac:dyDescent="0.25">
      <c r="AF1147">
        <v>114.4</v>
      </c>
      <c r="AG1147">
        <v>3860.5203999999999</v>
      </c>
      <c r="AH1147">
        <f t="shared" si="27"/>
        <v>-0.33960000000024593</v>
      </c>
    </row>
    <row r="1148" spans="32:34" x14ac:dyDescent="0.25">
      <c r="AF1148">
        <v>114.5</v>
      </c>
      <c r="AG1148">
        <v>3860.5419999999999</v>
      </c>
      <c r="AH1148">
        <f t="shared" si="27"/>
        <v>-0.318000000000211</v>
      </c>
    </row>
    <row r="1149" spans="32:34" x14ac:dyDescent="0.25">
      <c r="AF1149">
        <v>114.6</v>
      </c>
      <c r="AG1149">
        <v>3860.5636</v>
      </c>
      <c r="AH1149">
        <f t="shared" si="27"/>
        <v>-0.29640000000017608</v>
      </c>
    </row>
    <row r="1150" spans="32:34" x14ac:dyDescent="0.25">
      <c r="AF1150">
        <v>114.7</v>
      </c>
      <c r="AG1150">
        <v>3860.5852</v>
      </c>
      <c r="AH1150">
        <f t="shared" si="27"/>
        <v>-0.27480000000014115</v>
      </c>
    </row>
    <row r="1151" spans="32:34" x14ac:dyDescent="0.25">
      <c r="AF1151">
        <v>114.8</v>
      </c>
      <c r="AG1151">
        <v>3860.6068</v>
      </c>
      <c r="AH1151">
        <f t="shared" si="27"/>
        <v>-0.25320000000010623</v>
      </c>
    </row>
    <row r="1152" spans="32:34" x14ac:dyDescent="0.25">
      <c r="AF1152">
        <v>114.9</v>
      </c>
      <c r="AG1152">
        <v>3860.6284000000001</v>
      </c>
      <c r="AH1152">
        <f t="shared" si="27"/>
        <v>-0.2316000000000713</v>
      </c>
    </row>
    <row r="1153" spans="32:34" x14ac:dyDescent="0.25">
      <c r="AF1153">
        <v>115</v>
      </c>
      <c r="AG1153">
        <v>3860.65</v>
      </c>
      <c r="AH1153">
        <f t="shared" si="27"/>
        <v>-0.21000000000003638</v>
      </c>
    </row>
    <row r="1154" spans="32:34" x14ac:dyDescent="0.25">
      <c r="AF1154">
        <v>115.1</v>
      </c>
      <c r="AG1154">
        <v>3860.6282000000001</v>
      </c>
      <c r="AH1154">
        <f t="shared" si="27"/>
        <v>-0.2318000000000211</v>
      </c>
    </row>
    <row r="1155" spans="32:34" x14ac:dyDescent="0.25">
      <c r="AF1155">
        <v>115.2</v>
      </c>
      <c r="AG1155">
        <v>3860.6064000000001</v>
      </c>
      <c r="AH1155">
        <f t="shared" si="27"/>
        <v>-0.25360000000000582</v>
      </c>
    </row>
    <row r="1156" spans="32:34" x14ac:dyDescent="0.25">
      <c r="AF1156">
        <v>115.3</v>
      </c>
      <c r="AG1156">
        <v>3860.5846000000001</v>
      </c>
      <c r="AH1156">
        <f t="shared" ref="AH1156:AH1219" si="28">AG1156-MAX($AG$3:$AG$2353)</f>
        <v>-0.27539999999999054</v>
      </c>
    </row>
    <row r="1157" spans="32:34" x14ac:dyDescent="0.25">
      <c r="AF1157">
        <v>115.4</v>
      </c>
      <c r="AG1157">
        <v>3860.5628000000002</v>
      </c>
      <c r="AH1157">
        <f t="shared" si="28"/>
        <v>-0.29719999999997526</v>
      </c>
    </row>
    <row r="1158" spans="32:34" x14ac:dyDescent="0.25">
      <c r="AF1158">
        <v>115.5</v>
      </c>
      <c r="AG1158">
        <v>3860.5410000000002</v>
      </c>
      <c r="AH1158">
        <f t="shared" si="28"/>
        <v>-0.31899999999995998</v>
      </c>
    </row>
    <row r="1159" spans="32:34" x14ac:dyDescent="0.25">
      <c r="AF1159">
        <v>115.6</v>
      </c>
      <c r="AG1159">
        <v>3860.5192000000002</v>
      </c>
      <c r="AH1159">
        <f t="shared" si="28"/>
        <v>-0.3407999999999447</v>
      </c>
    </row>
    <row r="1160" spans="32:34" x14ac:dyDescent="0.25">
      <c r="AF1160">
        <v>115.7</v>
      </c>
      <c r="AG1160">
        <v>3860.4974000000002</v>
      </c>
      <c r="AH1160">
        <f t="shared" si="28"/>
        <v>-0.36259999999992942</v>
      </c>
    </row>
    <row r="1161" spans="32:34" x14ac:dyDescent="0.25">
      <c r="AF1161">
        <v>115.8</v>
      </c>
      <c r="AG1161">
        <v>3860.4756000000002</v>
      </c>
      <c r="AH1161">
        <f t="shared" si="28"/>
        <v>-0.38439999999991414</v>
      </c>
    </row>
    <row r="1162" spans="32:34" x14ac:dyDescent="0.25">
      <c r="AF1162">
        <v>115.9</v>
      </c>
      <c r="AG1162">
        <v>3860.4537999999998</v>
      </c>
      <c r="AH1162">
        <f t="shared" si="28"/>
        <v>-0.40620000000035361</v>
      </c>
    </row>
    <row r="1163" spans="32:34" x14ac:dyDescent="0.25">
      <c r="AF1163">
        <v>116</v>
      </c>
      <c r="AG1163">
        <v>3860.4319999999998</v>
      </c>
      <c r="AH1163">
        <f t="shared" si="28"/>
        <v>-0.42800000000033833</v>
      </c>
    </row>
    <row r="1164" spans="32:34" x14ac:dyDescent="0.25">
      <c r="AF1164">
        <v>116.1</v>
      </c>
      <c r="AG1164">
        <v>3860.4101999999998</v>
      </c>
      <c r="AH1164">
        <f t="shared" si="28"/>
        <v>-0.44980000000032305</v>
      </c>
    </row>
    <row r="1165" spans="32:34" x14ac:dyDescent="0.25">
      <c r="AF1165">
        <v>116.2</v>
      </c>
      <c r="AG1165">
        <v>3860.3883999999998</v>
      </c>
      <c r="AH1165">
        <f t="shared" si="28"/>
        <v>-0.47160000000030777</v>
      </c>
    </row>
    <row r="1166" spans="32:34" x14ac:dyDescent="0.25">
      <c r="AF1166">
        <v>116.3</v>
      </c>
      <c r="AG1166">
        <v>3860.3665999999998</v>
      </c>
      <c r="AH1166">
        <f t="shared" si="28"/>
        <v>-0.49340000000029249</v>
      </c>
    </row>
    <row r="1167" spans="32:34" x14ac:dyDescent="0.25">
      <c r="AF1167">
        <v>116.4</v>
      </c>
      <c r="AG1167">
        <v>3860.3447999999999</v>
      </c>
      <c r="AH1167">
        <f t="shared" si="28"/>
        <v>-0.51520000000027721</v>
      </c>
    </row>
    <row r="1168" spans="32:34" x14ac:dyDescent="0.25">
      <c r="AF1168">
        <v>116.5</v>
      </c>
      <c r="AG1168">
        <v>3860.3229999999999</v>
      </c>
      <c r="AH1168">
        <f t="shared" si="28"/>
        <v>-0.53700000000026193</v>
      </c>
    </row>
    <row r="1169" spans="32:34" x14ac:dyDescent="0.25">
      <c r="AF1169">
        <v>116.6</v>
      </c>
      <c r="AG1169">
        <v>3860.3011999999999</v>
      </c>
      <c r="AH1169">
        <f t="shared" si="28"/>
        <v>-0.55880000000024665</v>
      </c>
    </row>
    <row r="1170" spans="32:34" x14ac:dyDescent="0.25">
      <c r="AF1170">
        <v>116.7</v>
      </c>
      <c r="AG1170">
        <v>3860.2793999999999</v>
      </c>
      <c r="AH1170">
        <f t="shared" si="28"/>
        <v>-0.58060000000023138</v>
      </c>
    </row>
    <row r="1171" spans="32:34" x14ac:dyDescent="0.25">
      <c r="AF1171">
        <v>116.8</v>
      </c>
      <c r="AG1171">
        <v>3860.2575999999999</v>
      </c>
      <c r="AH1171">
        <f t="shared" si="28"/>
        <v>-0.6024000000002161</v>
      </c>
    </row>
    <row r="1172" spans="32:34" x14ac:dyDescent="0.25">
      <c r="AF1172">
        <v>116.9</v>
      </c>
      <c r="AG1172">
        <v>3860.2357999999999</v>
      </c>
      <c r="AH1172">
        <f t="shared" si="28"/>
        <v>-0.62420000000020082</v>
      </c>
    </row>
    <row r="1173" spans="32:34" x14ac:dyDescent="0.25">
      <c r="AF1173">
        <v>117</v>
      </c>
      <c r="AG1173">
        <v>3860.2139999999999</v>
      </c>
      <c r="AH1173">
        <f t="shared" si="28"/>
        <v>-0.64600000000018554</v>
      </c>
    </row>
    <row r="1174" spans="32:34" x14ac:dyDescent="0.25">
      <c r="AF1174">
        <v>117.1</v>
      </c>
      <c r="AG1174">
        <v>3860.1922</v>
      </c>
      <c r="AH1174">
        <f t="shared" si="28"/>
        <v>-0.66780000000017026</v>
      </c>
    </row>
    <row r="1175" spans="32:34" x14ac:dyDescent="0.25">
      <c r="AF1175">
        <v>117.2</v>
      </c>
      <c r="AG1175">
        <v>3860.1704</v>
      </c>
      <c r="AH1175">
        <f t="shared" si="28"/>
        <v>-0.68960000000015498</v>
      </c>
    </row>
    <row r="1176" spans="32:34" x14ac:dyDescent="0.25">
      <c r="AF1176">
        <v>117.3</v>
      </c>
      <c r="AG1176">
        <v>3860.1486</v>
      </c>
      <c r="AH1176">
        <f t="shared" si="28"/>
        <v>-0.7114000000001397</v>
      </c>
    </row>
    <row r="1177" spans="32:34" x14ac:dyDescent="0.25">
      <c r="AF1177">
        <v>117.4</v>
      </c>
      <c r="AG1177">
        <v>3860.1268</v>
      </c>
      <c r="AH1177">
        <f t="shared" si="28"/>
        <v>-0.73320000000012442</v>
      </c>
    </row>
    <row r="1178" spans="32:34" x14ac:dyDescent="0.25">
      <c r="AF1178">
        <v>117.5</v>
      </c>
      <c r="AG1178">
        <v>3860.105</v>
      </c>
      <c r="AH1178">
        <f t="shared" si="28"/>
        <v>-0.75500000000010914</v>
      </c>
    </row>
    <row r="1179" spans="32:34" x14ac:dyDescent="0.25">
      <c r="AF1179">
        <v>117.6</v>
      </c>
      <c r="AG1179">
        <v>3860.0832</v>
      </c>
      <c r="AH1179">
        <f t="shared" si="28"/>
        <v>-0.77680000000009386</v>
      </c>
    </row>
    <row r="1180" spans="32:34" x14ac:dyDescent="0.25">
      <c r="AF1180">
        <v>117.7</v>
      </c>
      <c r="AG1180">
        <v>3860.0614</v>
      </c>
      <c r="AH1180">
        <f t="shared" si="28"/>
        <v>-0.79860000000007858</v>
      </c>
    </row>
    <row r="1181" spans="32:34" x14ac:dyDescent="0.25">
      <c r="AF1181">
        <v>117.8</v>
      </c>
      <c r="AG1181">
        <v>3860.0396000000001</v>
      </c>
      <c r="AH1181">
        <f t="shared" si="28"/>
        <v>-0.8204000000000633</v>
      </c>
    </row>
    <row r="1182" spans="32:34" x14ac:dyDescent="0.25">
      <c r="AF1182">
        <v>117.9</v>
      </c>
      <c r="AG1182">
        <v>3860.0178000000001</v>
      </c>
      <c r="AH1182">
        <f t="shared" si="28"/>
        <v>-0.84220000000004802</v>
      </c>
    </row>
    <row r="1183" spans="32:34" x14ac:dyDescent="0.25">
      <c r="AF1183">
        <v>118</v>
      </c>
      <c r="AG1183">
        <v>3859.9960000000001</v>
      </c>
      <c r="AH1183">
        <f t="shared" si="28"/>
        <v>-0.86400000000003274</v>
      </c>
    </row>
    <row r="1184" spans="32:34" x14ac:dyDescent="0.25">
      <c r="AF1184">
        <v>118.1</v>
      </c>
      <c r="AG1184">
        <v>3859.9742000000001</v>
      </c>
      <c r="AH1184">
        <f t="shared" si="28"/>
        <v>-0.88580000000001746</v>
      </c>
    </row>
    <row r="1185" spans="32:34" x14ac:dyDescent="0.25">
      <c r="AF1185">
        <v>118.2</v>
      </c>
      <c r="AG1185">
        <v>3859.9524000000001</v>
      </c>
      <c r="AH1185">
        <f t="shared" si="28"/>
        <v>-0.90760000000000218</v>
      </c>
    </row>
    <row r="1186" spans="32:34" x14ac:dyDescent="0.25">
      <c r="AF1186">
        <v>118.3</v>
      </c>
      <c r="AG1186">
        <v>3859.9306000000001</v>
      </c>
      <c r="AH1186">
        <f t="shared" si="28"/>
        <v>-0.9293999999999869</v>
      </c>
    </row>
    <row r="1187" spans="32:34" x14ac:dyDescent="0.25">
      <c r="AF1187">
        <v>118.4</v>
      </c>
      <c r="AG1187">
        <v>3859.9088000000002</v>
      </c>
      <c r="AH1187">
        <f t="shared" si="28"/>
        <v>-0.95119999999997162</v>
      </c>
    </row>
    <row r="1188" spans="32:34" x14ac:dyDescent="0.25">
      <c r="AF1188">
        <v>118.5</v>
      </c>
      <c r="AG1188">
        <v>3859.8870000000002</v>
      </c>
      <c r="AH1188">
        <f t="shared" si="28"/>
        <v>-0.97299999999995634</v>
      </c>
    </row>
    <row r="1189" spans="32:34" x14ac:dyDescent="0.25">
      <c r="AF1189">
        <v>118.6</v>
      </c>
      <c r="AG1189">
        <v>3859.8652000000002</v>
      </c>
      <c r="AH1189">
        <f t="shared" si="28"/>
        <v>-0.99479999999994106</v>
      </c>
    </row>
    <row r="1190" spans="32:34" x14ac:dyDescent="0.25">
      <c r="AF1190">
        <v>118.7</v>
      </c>
      <c r="AG1190">
        <v>3859.8434000000002</v>
      </c>
      <c r="AH1190">
        <f t="shared" si="28"/>
        <v>-1.0165999999999258</v>
      </c>
    </row>
    <row r="1191" spans="32:34" x14ac:dyDescent="0.25">
      <c r="AF1191">
        <v>118.8</v>
      </c>
      <c r="AG1191">
        <v>3859.8215999999902</v>
      </c>
      <c r="AH1191">
        <f t="shared" si="28"/>
        <v>-1.0384000000099149</v>
      </c>
    </row>
    <row r="1192" spans="32:34" x14ac:dyDescent="0.25">
      <c r="AF1192">
        <v>118.9</v>
      </c>
      <c r="AG1192">
        <v>3859.7997999999998</v>
      </c>
      <c r="AH1192">
        <f t="shared" si="28"/>
        <v>-1.06020000000035</v>
      </c>
    </row>
    <row r="1193" spans="32:34" x14ac:dyDescent="0.25">
      <c r="AF1193">
        <v>119</v>
      </c>
      <c r="AG1193">
        <v>3859.7779999999998</v>
      </c>
      <c r="AH1193">
        <f t="shared" si="28"/>
        <v>-1.0820000000003347</v>
      </c>
    </row>
    <row r="1194" spans="32:34" x14ac:dyDescent="0.25">
      <c r="AF1194">
        <v>119.1</v>
      </c>
      <c r="AG1194">
        <v>3859.7561999999998</v>
      </c>
      <c r="AH1194">
        <f t="shared" si="28"/>
        <v>-1.1038000000003194</v>
      </c>
    </row>
    <row r="1195" spans="32:34" x14ac:dyDescent="0.25">
      <c r="AF1195">
        <v>119.2</v>
      </c>
      <c r="AG1195">
        <v>3859.7343999999998</v>
      </c>
      <c r="AH1195">
        <f t="shared" si="28"/>
        <v>-1.1256000000003041</v>
      </c>
    </row>
    <row r="1196" spans="32:34" x14ac:dyDescent="0.25">
      <c r="AF1196">
        <v>119.3</v>
      </c>
      <c r="AG1196">
        <v>3859.7125999999998</v>
      </c>
      <c r="AH1196">
        <f t="shared" si="28"/>
        <v>-1.1474000000002889</v>
      </c>
    </row>
    <row r="1197" spans="32:34" x14ac:dyDescent="0.25">
      <c r="AF1197">
        <v>119.4</v>
      </c>
      <c r="AG1197">
        <v>3859.6907999999999</v>
      </c>
      <c r="AH1197">
        <f t="shared" si="28"/>
        <v>-1.1692000000002736</v>
      </c>
    </row>
    <row r="1198" spans="32:34" x14ac:dyDescent="0.25">
      <c r="AF1198">
        <v>119.5</v>
      </c>
      <c r="AG1198">
        <v>3859.6689999999999</v>
      </c>
      <c r="AH1198">
        <f t="shared" si="28"/>
        <v>-1.1910000000002583</v>
      </c>
    </row>
    <row r="1199" spans="32:34" x14ac:dyDescent="0.25">
      <c r="AF1199">
        <v>119.6</v>
      </c>
      <c r="AG1199">
        <v>3859.6471999999999</v>
      </c>
      <c r="AH1199">
        <f t="shared" si="28"/>
        <v>-1.212800000000243</v>
      </c>
    </row>
    <row r="1200" spans="32:34" x14ac:dyDescent="0.25">
      <c r="AF1200">
        <v>119.7</v>
      </c>
      <c r="AG1200">
        <v>3859.6253999999999</v>
      </c>
      <c r="AH1200">
        <f t="shared" si="28"/>
        <v>-1.2346000000002277</v>
      </c>
    </row>
    <row r="1201" spans="32:34" x14ac:dyDescent="0.25">
      <c r="AF1201">
        <v>119.8</v>
      </c>
      <c r="AG1201">
        <v>3859.6035999999999</v>
      </c>
      <c r="AH1201">
        <f t="shared" si="28"/>
        <v>-1.2564000000002125</v>
      </c>
    </row>
    <row r="1202" spans="32:34" x14ac:dyDescent="0.25">
      <c r="AF1202">
        <v>119.9</v>
      </c>
      <c r="AG1202">
        <v>3859.5817999999999</v>
      </c>
      <c r="AH1202">
        <f t="shared" si="28"/>
        <v>-1.2782000000001972</v>
      </c>
    </row>
    <row r="1203" spans="32:34" x14ac:dyDescent="0.25">
      <c r="AF1203">
        <v>120</v>
      </c>
      <c r="AG1203">
        <v>3859.56</v>
      </c>
      <c r="AH1203">
        <f t="shared" si="28"/>
        <v>-1.3000000000001819</v>
      </c>
    </row>
    <row r="1204" spans="32:34" x14ac:dyDescent="0.25">
      <c r="AF1204">
        <v>120.1</v>
      </c>
      <c r="AG1204">
        <v>3859.5468000000001</v>
      </c>
      <c r="AH1204">
        <f t="shared" si="28"/>
        <v>-1.3132000000000517</v>
      </c>
    </row>
    <row r="1205" spans="32:34" x14ac:dyDescent="0.25">
      <c r="AF1205">
        <v>120.2</v>
      </c>
      <c r="AG1205">
        <v>3859.5335999999902</v>
      </c>
      <c r="AH1205">
        <f t="shared" si="28"/>
        <v>-1.3264000000099259</v>
      </c>
    </row>
    <row r="1206" spans="32:34" x14ac:dyDescent="0.25">
      <c r="AF1206">
        <v>120.3</v>
      </c>
      <c r="AG1206">
        <v>3859.5203999999999</v>
      </c>
      <c r="AH1206">
        <f t="shared" si="28"/>
        <v>-1.3396000000002459</v>
      </c>
    </row>
    <row r="1207" spans="32:34" x14ac:dyDescent="0.25">
      <c r="AF1207">
        <v>120.4</v>
      </c>
      <c r="AG1207">
        <v>3859.5072</v>
      </c>
      <c r="AH1207">
        <f t="shared" si="28"/>
        <v>-1.3528000000001157</v>
      </c>
    </row>
    <row r="1208" spans="32:34" x14ac:dyDescent="0.25">
      <c r="AF1208">
        <v>120.5</v>
      </c>
      <c r="AG1208">
        <v>3859.4940000000001</v>
      </c>
      <c r="AH1208">
        <f t="shared" si="28"/>
        <v>-1.3659999999999854</v>
      </c>
    </row>
    <row r="1209" spans="32:34" x14ac:dyDescent="0.25">
      <c r="AF1209">
        <v>120.6</v>
      </c>
      <c r="AG1209">
        <v>3859.4807999999998</v>
      </c>
      <c r="AH1209">
        <f t="shared" si="28"/>
        <v>-1.37920000000031</v>
      </c>
    </row>
    <row r="1210" spans="32:34" x14ac:dyDescent="0.25">
      <c r="AF1210">
        <v>120.7</v>
      </c>
      <c r="AG1210">
        <v>3859.4675999999999</v>
      </c>
      <c r="AH1210">
        <f t="shared" si="28"/>
        <v>-1.3924000000001797</v>
      </c>
    </row>
    <row r="1211" spans="32:34" x14ac:dyDescent="0.25">
      <c r="AF1211">
        <v>120.8</v>
      </c>
      <c r="AG1211">
        <v>3859.4544000000001</v>
      </c>
      <c r="AH1211">
        <f t="shared" si="28"/>
        <v>-1.4056000000000495</v>
      </c>
    </row>
    <row r="1212" spans="32:34" x14ac:dyDescent="0.25">
      <c r="AF1212">
        <v>120.9</v>
      </c>
      <c r="AG1212">
        <v>3859.4411999999902</v>
      </c>
      <c r="AH1212">
        <f t="shared" si="28"/>
        <v>-1.4188000000099237</v>
      </c>
    </row>
    <row r="1213" spans="32:34" x14ac:dyDescent="0.25">
      <c r="AF1213">
        <v>121</v>
      </c>
      <c r="AG1213">
        <v>3859.4279999999999</v>
      </c>
      <c r="AH1213">
        <f t="shared" si="28"/>
        <v>-1.4320000000002437</v>
      </c>
    </row>
    <row r="1214" spans="32:34" x14ac:dyDescent="0.25">
      <c r="AF1214">
        <v>121.1</v>
      </c>
      <c r="AG1214">
        <v>3859.4148</v>
      </c>
      <c r="AH1214">
        <f t="shared" si="28"/>
        <v>-1.4452000000001135</v>
      </c>
    </row>
    <row r="1215" spans="32:34" x14ac:dyDescent="0.25">
      <c r="AF1215">
        <v>121.2</v>
      </c>
      <c r="AG1215">
        <v>3859.4016000000001</v>
      </c>
      <c r="AH1215">
        <f t="shared" si="28"/>
        <v>-1.4583999999999833</v>
      </c>
    </row>
    <row r="1216" spans="32:34" x14ac:dyDescent="0.25">
      <c r="AF1216">
        <v>121.3</v>
      </c>
      <c r="AG1216">
        <v>3859.3883999999998</v>
      </c>
      <c r="AH1216">
        <f t="shared" si="28"/>
        <v>-1.4716000000003078</v>
      </c>
    </row>
    <row r="1217" spans="32:34" x14ac:dyDescent="0.25">
      <c r="AF1217">
        <v>121.4</v>
      </c>
      <c r="AG1217">
        <v>3859.3751999999999</v>
      </c>
      <c r="AH1217">
        <f t="shared" si="28"/>
        <v>-1.4848000000001775</v>
      </c>
    </row>
    <row r="1218" spans="32:34" x14ac:dyDescent="0.25">
      <c r="AF1218">
        <v>121.5</v>
      </c>
      <c r="AG1218">
        <v>3859.3620000000001</v>
      </c>
      <c r="AH1218">
        <f t="shared" si="28"/>
        <v>-1.4980000000000473</v>
      </c>
    </row>
    <row r="1219" spans="32:34" x14ac:dyDescent="0.25">
      <c r="AF1219">
        <v>121.6</v>
      </c>
      <c r="AG1219">
        <v>3859.3488000000002</v>
      </c>
      <c r="AH1219">
        <f t="shared" si="28"/>
        <v>-1.5111999999999171</v>
      </c>
    </row>
    <row r="1220" spans="32:34" x14ac:dyDescent="0.25">
      <c r="AF1220">
        <v>121.7</v>
      </c>
      <c r="AG1220">
        <v>3859.3355999999999</v>
      </c>
      <c r="AH1220">
        <f t="shared" ref="AH1220:AH1283" si="29">AG1220-MAX($AG$3:$AG$2353)</f>
        <v>-1.5244000000002416</v>
      </c>
    </row>
    <row r="1221" spans="32:34" x14ac:dyDescent="0.25">
      <c r="AF1221">
        <v>121.8</v>
      </c>
      <c r="AG1221">
        <v>3859.3224</v>
      </c>
      <c r="AH1221">
        <f t="shared" si="29"/>
        <v>-1.5376000000001113</v>
      </c>
    </row>
    <row r="1222" spans="32:34" x14ac:dyDescent="0.25">
      <c r="AF1222">
        <v>121.9</v>
      </c>
      <c r="AG1222">
        <v>3859.3092000000001</v>
      </c>
      <c r="AH1222">
        <f t="shared" si="29"/>
        <v>-1.5507999999999811</v>
      </c>
    </row>
    <row r="1223" spans="32:34" x14ac:dyDescent="0.25">
      <c r="AF1223">
        <v>122</v>
      </c>
      <c r="AG1223">
        <v>3859.2959999999998</v>
      </c>
      <c r="AH1223">
        <f t="shared" si="29"/>
        <v>-1.5640000000003056</v>
      </c>
    </row>
    <row r="1224" spans="32:34" x14ac:dyDescent="0.25">
      <c r="AF1224">
        <v>122.1</v>
      </c>
      <c r="AG1224">
        <v>3859.2828</v>
      </c>
      <c r="AH1224">
        <f t="shared" si="29"/>
        <v>-1.5772000000001754</v>
      </c>
    </row>
    <row r="1225" spans="32:34" x14ac:dyDescent="0.25">
      <c r="AF1225">
        <v>122.2</v>
      </c>
      <c r="AG1225">
        <v>3859.2696000000001</v>
      </c>
      <c r="AH1225">
        <f t="shared" si="29"/>
        <v>-1.5904000000000451</v>
      </c>
    </row>
    <row r="1226" spans="32:34" x14ac:dyDescent="0.25">
      <c r="AF1226">
        <v>122.3</v>
      </c>
      <c r="AG1226">
        <v>3859.2564000000002</v>
      </c>
      <c r="AH1226">
        <f t="shared" si="29"/>
        <v>-1.6035999999999149</v>
      </c>
    </row>
    <row r="1227" spans="32:34" x14ac:dyDescent="0.25">
      <c r="AF1227">
        <v>122.4</v>
      </c>
      <c r="AG1227">
        <v>3859.2431999999999</v>
      </c>
      <c r="AH1227">
        <f t="shared" si="29"/>
        <v>-1.6168000000002394</v>
      </c>
    </row>
    <row r="1228" spans="32:34" x14ac:dyDescent="0.25">
      <c r="AF1228">
        <v>122.5</v>
      </c>
      <c r="AG1228">
        <v>3859.23</v>
      </c>
      <c r="AH1228">
        <f t="shared" si="29"/>
        <v>-1.6300000000001091</v>
      </c>
    </row>
    <row r="1229" spans="32:34" x14ac:dyDescent="0.25">
      <c r="AF1229">
        <v>122.6</v>
      </c>
      <c r="AG1229">
        <v>3859.2168000000001</v>
      </c>
      <c r="AH1229">
        <f t="shared" si="29"/>
        <v>-1.6431999999999789</v>
      </c>
    </row>
    <row r="1230" spans="32:34" x14ac:dyDescent="0.25">
      <c r="AF1230">
        <v>122.7</v>
      </c>
      <c r="AG1230">
        <v>3859.2035999999998</v>
      </c>
      <c r="AH1230">
        <f t="shared" si="29"/>
        <v>-1.6564000000003034</v>
      </c>
    </row>
    <row r="1231" spans="32:34" x14ac:dyDescent="0.25">
      <c r="AF1231">
        <v>122.8</v>
      </c>
      <c r="AG1231">
        <v>3859.1904</v>
      </c>
      <c r="AH1231">
        <f t="shared" si="29"/>
        <v>-1.6696000000001732</v>
      </c>
    </row>
    <row r="1232" spans="32:34" x14ac:dyDescent="0.25">
      <c r="AF1232">
        <v>122.9</v>
      </c>
      <c r="AG1232">
        <v>3859.1772000000001</v>
      </c>
      <c r="AH1232">
        <f t="shared" si="29"/>
        <v>-1.6828000000000429</v>
      </c>
    </row>
    <row r="1233" spans="32:34" x14ac:dyDescent="0.25">
      <c r="AF1233">
        <v>123</v>
      </c>
      <c r="AG1233">
        <v>3859.1640000000002</v>
      </c>
      <c r="AH1233">
        <f t="shared" si="29"/>
        <v>-1.6959999999999127</v>
      </c>
    </row>
    <row r="1234" spans="32:34" x14ac:dyDescent="0.25">
      <c r="AF1234">
        <v>123.1</v>
      </c>
      <c r="AG1234">
        <v>3859.1507999999999</v>
      </c>
      <c r="AH1234">
        <f t="shared" si="29"/>
        <v>-1.7092000000002372</v>
      </c>
    </row>
    <row r="1235" spans="32:34" x14ac:dyDescent="0.25">
      <c r="AF1235">
        <v>123.2</v>
      </c>
      <c r="AG1235">
        <v>3859.1376</v>
      </c>
      <c r="AH1235">
        <f t="shared" si="29"/>
        <v>-1.722400000000107</v>
      </c>
    </row>
    <row r="1236" spans="32:34" x14ac:dyDescent="0.25">
      <c r="AF1236">
        <v>123.3</v>
      </c>
      <c r="AG1236">
        <v>3859.1244000000002</v>
      </c>
      <c r="AH1236">
        <f t="shared" si="29"/>
        <v>-1.7355999999999767</v>
      </c>
    </row>
    <row r="1237" spans="32:34" x14ac:dyDescent="0.25">
      <c r="AF1237">
        <v>123.4</v>
      </c>
      <c r="AG1237">
        <v>3859.1111999999998</v>
      </c>
      <c r="AH1237">
        <f t="shared" si="29"/>
        <v>-1.7488000000003012</v>
      </c>
    </row>
    <row r="1238" spans="32:34" x14ac:dyDescent="0.25">
      <c r="AF1238">
        <v>123.5</v>
      </c>
      <c r="AG1238">
        <v>3859.098</v>
      </c>
      <c r="AH1238">
        <f t="shared" si="29"/>
        <v>-1.762000000000171</v>
      </c>
    </row>
    <row r="1239" spans="32:34" x14ac:dyDescent="0.25">
      <c r="AF1239">
        <v>123.6</v>
      </c>
      <c r="AG1239">
        <v>3859.0848000000001</v>
      </c>
      <c r="AH1239">
        <f t="shared" si="29"/>
        <v>-1.7752000000000407</v>
      </c>
    </row>
    <row r="1240" spans="32:34" x14ac:dyDescent="0.25">
      <c r="AF1240">
        <v>123.7</v>
      </c>
      <c r="AG1240">
        <v>3859.0716000000002</v>
      </c>
      <c r="AH1240">
        <f t="shared" si="29"/>
        <v>-1.7883999999999105</v>
      </c>
    </row>
    <row r="1241" spans="32:34" x14ac:dyDescent="0.25">
      <c r="AF1241">
        <v>123.8</v>
      </c>
      <c r="AG1241">
        <v>3859.0583999999999</v>
      </c>
      <c r="AH1241">
        <f t="shared" si="29"/>
        <v>-1.801600000000235</v>
      </c>
    </row>
    <row r="1242" spans="32:34" x14ac:dyDescent="0.25">
      <c r="AF1242">
        <v>123.9</v>
      </c>
      <c r="AG1242">
        <v>3859.0452</v>
      </c>
      <c r="AH1242">
        <f t="shared" si="29"/>
        <v>-1.8148000000001048</v>
      </c>
    </row>
    <row r="1243" spans="32:34" x14ac:dyDescent="0.25">
      <c r="AF1243">
        <v>124</v>
      </c>
      <c r="AG1243">
        <v>3859.0320000000002</v>
      </c>
      <c r="AH1243">
        <f t="shared" si="29"/>
        <v>-1.8279999999999745</v>
      </c>
    </row>
    <row r="1244" spans="32:34" x14ac:dyDescent="0.25">
      <c r="AF1244">
        <v>124.1</v>
      </c>
      <c r="AG1244">
        <v>3859.0187999999998</v>
      </c>
      <c r="AH1244">
        <f t="shared" si="29"/>
        <v>-1.841200000000299</v>
      </c>
    </row>
    <row r="1245" spans="32:34" x14ac:dyDescent="0.25">
      <c r="AF1245">
        <v>124.2</v>
      </c>
      <c r="AG1245">
        <v>3859.0056</v>
      </c>
      <c r="AH1245">
        <f t="shared" si="29"/>
        <v>-1.8544000000001688</v>
      </c>
    </row>
    <row r="1246" spans="32:34" x14ac:dyDescent="0.25">
      <c r="AF1246">
        <v>124.3</v>
      </c>
      <c r="AG1246">
        <v>3858.9924000000001</v>
      </c>
      <c r="AH1246">
        <f t="shared" si="29"/>
        <v>-1.8676000000000386</v>
      </c>
    </row>
    <row r="1247" spans="32:34" x14ac:dyDescent="0.25">
      <c r="AF1247">
        <v>124.4</v>
      </c>
      <c r="AG1247">
        <v>3858.9792000000002</v>
      </c>
      <c r="AH1247">
        <f t="shared" si="29"/>
        <v>-1.8807999999999083</v>
      </c>
    </row>
    <row r="1248" spans="32:34" x14ac:dyDescent="0.25">
      <c r="AF1248">
        <v>124.5</v>
      </c>
      <c r="AG1248">
        <v>3858.9659999999999</v>
      </c>
      <c r="AH1248">
        <f t="shared" si="29"/>
        <v>-1.8940000000002328</v>
      </c>
    </row>
    <row r="1249" spans="32:34" x14ac:dyDescent="0.25">
      <c r="AF1249">
        <v>124.6</v>
      </c>
      <c r="AG1249">
        <v>3858.9528</v>
      </c>
      <c r="AH1249">
        <f t="shared" si="29"/>
        <v>-1.9072000000001026</v>
      </c>
    </row>
    <row r="1250" spans="32:34" x14ac:dyDescent="0.25">
      <c r="AF1250">
        <v>124.7</v>
      </c>
      <c r="AG1250">
        <v>3858.9396000000002</v>
      </c>
      <c r="AH1250">
        <f t="shared" si="29"/>
        <v>-1.9203999999999724</v>
      </c>
    </row>
    <row r="1251" spans="32:34" x14ac:dyDescent="0.25">
      <c r="AF1251">
        <v>124.8</v>
      </c>
      <c r="AG1251">
        <v>3858.9263999999998</v>
      </c>
      <c r="AH1251">
        <f t="shared" si="29"/>
        <v>-1.9336000000002969</v>
      </c>
    </row>
    <row r="1252" spans="32:34" x14ac:dyDescent="0.25">
      <c r="AF1252">
        <v>124.9</v>
      </c>
      <c r="AG1252">
        <v>3858.9132</v>
      </c>
      <c r="AH1252">
        <f t="shared" si="29"/>
        <v>-1.9468000000001666</v>
      </c>
    </row>
    <row r="1253" spans="32:34" x14ac:dyDescent="0.25">
      <c r="AF1253">
        <v>125</v>
      </c>
      <c r="AG1253">
        <v>3858.9</v>
      </c>
      <c r="AH1253">
        <f t="shared" si="29"/>
        <v>-1.9600000000000364</v>
      </c>
    </row>
    <row r="1254" spans="32:34" x14ac:dyDescent="0.25">
      <c r="AF1254">
        <v>125.1</v>
      </c>
      <c r="AG1254">
        <v>3858.92</v>
      </c>
      <c r="AH1254">
        <f t="shared" si="29"/>
        <v>-1.9400000000000546</v>
      </c>
    </row>
    <row r="1255" spans="32:34" x14ac:dyDescent="0.25">
      <c r="AF1255">
        <v>125.2</v>
      </c>
      <c r="AG1255">
        <v>3858.94</v>
      </c>
      <c r="AH1255">
        <f t="shared" si="29"/>
        <v>-1.9200000000000728</v>
      </c>
    </row>
    <row r="1256" spans="32:34" x14ac:dyDescent="0.25">
      <c r="AF1256">
        <v>125.3</v>
      </c>
      <c r="AG1256">
        <v>3858.96</v>
      </c>
      <c r="AH1256">
        <f t="shared" si="29"/>
        <v>-1.9000000000000909</v>
      </c>
    </row>
    <row r="1257" spans="32:34" x14ac:dyDescent="0.25">
      <c r="AF1257">
        <v>125.4</v>
      </c>
      <c r="AG1257">
        <v>3858.98</v>
      </c>
      <c r="AH1257">
        <f t="shared" si="29"/>
        <v>-1.8800000000001091</v>
      </c>
    </row>
    <row r="1258" spans="32:34" x14ac:dyDescent="0.25">
      <c r="AF1258">
        <v>125.5</v>
      </c>
      <c r="AG1258">
        <v>3859</v>
      </c>
      <c r="AH1258">
        <f t="shared" si="29"/>
        <v>-1.8600000000001273</v>
      </c>
    </row>
    <row r="1259" spans="32:34" x14ac:dyDescent="0.25">
      <c r="AF1259">
        <v>125.6</v>
      </c>
      <c r="AG1259">
        <v>3859.02</v>
      </c>
      <c r="AH1259">
        <f t="shared" si="29"/>
        <v>-1.8400000000001455</v>
      </c>
    </row>
    <row r="1260" spans="32:34" x14ac:dyDescent="0.25">
      <c r="AF1260">
        <v>125.7</v>
      </c>
      <c r="AG1260">
        <v>3859.04</v>
      </c>
      <c r="AH1260">
        <f t="shared" si="29"/>
        <v>-1.8200000000001637</v>
      </c>
    </row>
    <row r="1261" spans="32:34" x14ac:dyDescent="0.25">
      <c r="AF1261">
        <v>125.8</v>
      </c>
      <c r="AG1261">
        <v>3859.06</v>
      </c>
      <c r="AH1261">
        <f t="shared" si="29"/>
        <v>-1.8000000000001819</v>
      </c>
    </row>
    <row r="1262" spans="32:34" x14ac:dyDescent="0.25">
      <c r="AF1262">
        <v>125.9</v>
      </c>
      <c r="AG1262">
        <v>3859.08</v>
      </c>
      <c r="AH1262">
        <f t="shared" si="29"/>
        <v>-1.7800000000002001</v>
      </c>
    </row>
    <row r="1263" spans="32:34" x14ac:dyDescent="0.25">
      <c r="AF1263">
        <v>126</v>
      </c>
      <c r="AG1263">
        <v>3859.1</v>
      </c>
      <c r="AH1263">
        <f t="shared" si="29"/>
        <v>-1.7600000000002183</v>
      </c>
    </row>
    <row r="1264" spans="32:34" x14ac:dyDescent="0.25">
      <c r="AF1264">
        <v>126.1</v>
      </c>
      <c r="AG1264">
        <v>3859.12</v>
      </c>
      <c r="AH1264">
        <f t="shared" si="29"/>
        <v>-1.7400000000002365</v>
      </c>
    </row>
    <row r="1265" spans="32:34" x14ac:dyDescent="0.25">
      <c r="AF1265">
        <v>126.2</v>
      </c>
      <c r="AG1265">
        <v>3859.14</v>
      </c>
      <c r="AH1265">
        <f t="shared" si="29"/>
        <v>-1.7200000000002547</v>
      </c>
    </row>
    <row r="1266" spans="32:34" x14ac:dyDescent="0.25">
      <c r="AF1266">
        <v>126.3</v>
      </c>
      <c r="AG1266">
        <v>3859.16</v>
      </c>
      <c r="AH1266">
        <f t="shared" si="29"/>
        <v>-1.7000000000002728</v>
      </c>
    </row>
    <row r="1267" spans="32:34" x14ac:dyDescent="0.25">
      <c r="AF1267">
        <v>126.4</v>
      </c>
      <c r="AG1267">
        <v>3859.18</v>
      </c>
      <c r="AH1267">
        <f t="shared" si="29"/>
        <v>-1.680000000000291</v>
      </c>
    </row>
    <row r="1268" spans="32:34" x14ac:dyDescent="0.25">
      <c r="AF1268">
        <v>126.5</v>
      </c>
      <c r="AG1268">
        <v>3859.2</v>
      </c>
      <c r="AH1268">
        <f t="shared" si="29"/>
        <v>-1.6600000000003092</v>
      </c>
    </row>
    <row r="1269" spans="32:34" x14ac:dyDescent="0.25">
      <c r="AF1269">
        <v>126.6</v>
      </c>
      <c r="AG1269">
        <v>3859.22</v>
      </c>
      <c r="AH1269">
        <f t="shared" si="29"/>
        <v>-1.6400000000003274</v>
      </c>
    </row>
    <row r="1270" spans="32:34" x14ac:dyDescent="0.25">
      <c r="AF1270">
        <v>126.7</v>
      </c>
      <c r="AG1270">
        <v>3859.24</v>
      </c>
      <c r="AH1270">
        <f t="shared" si="29"/>
        <v>-1.6200000000003456</v>
      </c>
    </row>
    <row r="1271" spans="32:34" x14ac:dyDescent="0.25">
      <c r="AF1271">
        <v>126.8</v>
      </c>
      <c r="AG1271">
        <v>3859.26</v>
      </c>
      <c r="AH1271">
        <f t="shared" si="29"/>
        <v>-1.5999999999999091</v>
      </c>
    </row>
    <row r="1272" spans="32:34" x14ac:dyDescent="0.25">
      <c r="AF1272">
        <v>126.9</v>
      </c>
      <c r="AG1272">
        <v>3859.28</v>
      </c>
      <c r="AH1272">
        <f t="shared" si="29"/>
        <v>-1.5799999999999272</v>
      </c>
    </row>
    <row r="1273" spans="32:34" x14ac:dyDescent="0.25">
      <c r="AF1273">
        <v>127</v>
      </c>
      <c r="AG1273">
        <v>3859.3</v>
      </c>
      <c r="AH1273">
        <f t="shared" si="29"/>
        <v>-1.5599999999999454</v>
      </c>
    </row>
    <row r="1274" spans="32:34" x14ac:dyDescent="0.25">
      <c r="AF1274">
        <v>127.1</v>
      </c>
      <c r="AG1274">
        <v>3859.32</v>
      </c>
      <c r="AH1274">
        <f t="shared" si="29"/>
        <v>-1.5399999999999636</v>
      </c>
    </row>
    <row r="1275" spans="32:34" x14ac:dyDescent="0.25">
      <c r="AF1275">
        <v>127.2</v>
      </c>
      <c r="AG1275">
        <v>3859.34</v>
      </c>
      <c r="AH1275">
        <f t="shared" si="29"/>
        <v>-1.5199999999999818</v>
      </c>
    </row>
    <row r="1276" spans="32:34" x14ac:dyDescent="0.25">
      <c r="AF1276">
        <v>127.3</v>
      </c>
      <c r="AG1276">
        <v>3859.36</v>
      </c>
      <c r="AH1276">
        <f t="shared" si="29"/>
        <v>-1.5</v>
      </c>
    </row>
    <row r="1277" spans="32:34" x14ac:dyDescent="0.25">
      <c r="AF1277">
        <v>127.4</v>
      </c>
      <c r="AG1277">
        <v>3859.38</v>
      </c>
      <c r="AH1277">
        <f t="shared" si="29"/>
        <v>-1.4800000000000182</v>
      </c>
    </row>
    <row r="1278" spans="32:34" x14ac:dyDescent="0.25">
      <c r="AF1278">
        <v>127.5</v>
      </c>
      <c r="AG1278">
        <v>3859.4</v>
      </c>
      <c r="AH1278">
        <f t="shared" si="29"/>
        <v>-1.4600000000000364</v>
      </c>
    </row>
    <row r="1279" spans="32:34" x14ac:dyDescent="0.25">
      <c r="AF1279">
        <v>127.6</v>
      </c>
      <c r="AG1279">
        <v>3859.42</v>
      </c>
      <c r="AH1279">
        <f t="shared" si="29"/>
        <v>-1.4400000000000546</v>
      </c>
    </row>
    <row r="1280" spans="32:34" x14ac:dyDescent="0.25">
      <c r="AF1280">
        <v>127.7</v>
      </c>
      <c r="AG1280">
        <v>3859.44</v>
      </c>
      <c r="AH1280">
        <f t="shared" si="29"/>
        <v>-1.4200000000000728</v>
      </c>
    </row>
    <row r="1281" spans="32:34" x14ac:dyDescent="0.25">
      <c r="AF1281">
        <v>127.8</v>
      </c>
      <c r="AG1281">
        <v>3859.46</v>
      </c>
      <c r="AH1281">
        <f t="shared" si="29"/>
        <v>-1.4000000000000909</v>
      </c>
    </row>
    <row r="1282" spans="32:34" x14ac:dyDescent="0.25">
      <c r="AF1282">
        <v>127.9</v>
      </c>
      <c r="AG1282">
        <v>3859.48</v>
      </c>
      <c r="AH1282">
        <f t="shared" si="29"/>
        <v>-1.3800000000001091</v>
      </c>
    </row>
    <row r="1283" spans="32:34" x14ac:dyDescent="0.25">
      <c r="AF1283">
        <v>128</v>
      </c>
      <c r="AG1283">
        <v>3859.5</v>
      </c>
      <c r="AH1283">
        <f t="shared" si="29"/>
        <v>-1.3600000000001273</v>
      </c>
    </row>
    <row r="1284" spans="32:34" x14ac:dyDescent="0.25">
      <c r="AF1284">
        <v>128.1</v>
      </c>
      <c r="AG1284">
        <v>3859.52</v>
      </c>
      <c r="AH1284">
        <f t="shared" ref="AH1284:AH1347" si="30">AG1284-MAX($AG$3:$AG$2353)</f>
        <v>-1.3400000000001455</v>
      </c>
    </row>
    <row r="1285" spans="32:34" x14ac:dyDescent="0.25">
      <c r="AF1285">
        <v>128.19999999999999</v>
      </c>
      <c r="AG1285">
        <v>3859.54</v>
      </c>
      <c r="AH1285">
        <f t="shared" si="30"/>
        <v>-1.3200000000001637</v>
      </c>
    </row>
    <row r="1286" spans="32:34" x14ac:dyDescent="0.25">
      <c r="AF1286">
        <v>128.30000000000001</v>
      </c>
      <c r="AG1286">
        <v>3859.56</v>
      </c>
      <c r="AH1286">
        <f t="shared" si="30"/>
        <v>-1.3000000000001819</v>
      </c>
    </row>
    <row r="1287" spans="32:34" x14ac:dyDescent="0.25">
      <c r="AF1287">
        <v>128.4</v>
      </c>
      <c r="AG1287">
        <v>3859.58</v>
      </c>
      <c r="AH1287">
        <f t="shared" si="30"/>
        <v>-1.2800000000002001</v>
      </c>
    </row>
    <row r="1288" spans="32:34" x14ac:dyDescent="0.25">
      <c r="AF1288">
        <v>128.5</v>
      </c>
      <c r="AG1288">
        <v>3859.6</v>
      </c>
      <c r="AH1288">
        <f t="shared" si="30"/>
        <v>-1.2600000000002183</v>
      </c>
    </row>
    <row r="1289" spans="32:34" x14ac:dyDescent="0.25">
      <c r="AF1289">
        <v>128.6</v>
      </c>
      <c r="AG1289">
        <v>3859.62</v>
      </c>
      <c r="AH1289">
        <f t="shared" si="30"/>
        <v>-1.2400000000002365</v>
      </c>
    </row>
    <row r="1290" spans="32:34" x14ac:dyDescent="0.25">
      <c r="AF1290">
        <v>128.69999999999999</v>
      </c>
      <c r="AG1290">
        <v>3859.64</v>
      </c>
      <c r="AH1290">
        <f t="shared" si="30"/>
        <v>-1.2200000000002547</v>
      </c>
    </row>
    <row r="1291" spans="32:34" x14ac:dyDescent="0.25">
      <c r="AF1291">
        <v>128.80000000000001</v>
      </c>
      <c r="AG1291">
        <v>3859.66</v>
      </c>
      <c r="AH1291">
        <f t="shared" si="30"/>
        <v>-1.2000000000002728</v>
      </c>
    </row>
    <row r="1292" spans="32:34" x14ac:dyDescent="0.25">
      <c r="AF1292">
        <v>128.9</v>
      </c>
      <c r="AG1292">
        <v>3859.68</v>
      </c>
      <c r="AH1292">
        <f t="shared" si="30"/>
        <v>-1.180000000000291</v>
      </c>
    </row>
    <row r="1293" spans="32:34" x14ac:dyDescent="0.25">
      <c r="AF1293">
        <v>129</v>
      </c>
      <c r="AG1293">
        <v>3859.7</v>
      </c>
      <c r="AH1293">
        <f t="shared" si="30"/>
        <v>-1.1600000000003092</v>
      </c>
    </row>
    <row r="1294" spans="32:34" x14ac:dyDescent="0.25">
      <c r="AF1294">
        <v>129.1</v>
      </c>
      <c r="AG1294">
        <v>3859.72</v>
      </c>
      <c r="AH1294">
        <f t="shared" si="30"/>
        <v>-1.1400000000003274</v>
      </c>
    </row>
    <row r="1295" spans="32:34" x14ac:dyDescent="0.25">
      <c r="AF1295">
        <v>129.19999999999999</v>
      </c>
      <c r="AG1295">
        <v>3859.74</v>
      </c>
      <c r="AH1295">
        <f t="shared" si="30"/>
        <v>-1.1200000000003456</v>
      </c>
    </row>
    <row r="1296" spans="32:34" x14ac:dyDescent="0.25">
      <c r="AF1296">
        <v>129.30000000000001</v>
      </c>
      <c r="AG1296">
        <v>3859.76</v>
      </c>
      <c r="AH1296">
        <f t="shared" si="30"/>
        <v>-1.0999999999999091</v>
      </c>
    </row>
    <row r="1297" spans="32:34" x14ac:dyDescent="0.25">
      <c r="AF1297">
        <v>129.4</v>
      </c>
      <c r="AG1297">
        <v>3859.78</v>
      </c>
      <c r="AH1297">
        <f t="shared" si="30"/>
        <v>-1.0799999999999272</v>
      </c>
    </row>
    <row r="1298" spans="32:34" x14ac:dyDescent="0.25">
      <c r="AF1298">
        <v>129.5</v>
      </c>
      <c r="AG1298">
        <v>3859.8</v>
      </c>
      <c r="AH1298">
        <f t="shared" si="30"/>
        <v>-1.0599999999999454</v>
      </c>
    </row>
    <row r="1299" spans="32:34" x14ac:dyDescent="0.25">
      <c r="AF1299">
        <v>129.6</v>
      </c>
      <c r="AG1299">
        <v>3859.82</v>
      </c>
      <c r="AH1299">
        <f t="shared" si="30"/>
        <v>-1.0399999999999636</v>
      </c>
    </row>
    <row r="1300" spans="32:34" x14ac:dyDescent="0.25">
      <c r="AF1300">
        <v>129.69999999999999</v>
      </c>
      <c r="AG1300">
        <v>3859.84</v>
      </c>
      <c r="AH1300">
        <f t="shared" si="30"/>
        <v>-1.0199999999999818</v>
      </c>
    </row>
    <row r="1301" spans="32:34" x14ac:dyDescent="0.25">
      <c r="AF1301">
        <v>129.80000000000001</v>
      </c>
      <c r="AG1301">
        <v>3859.86</v>
      </c>
      <c r="AH1301">
        <f t="shared" si="30"/>
        <v>-1</v>
      </c>
    </row>
    <row r="1302" spans="32:34" x14ac:dyDescent="0.25">
      <c r="AF1302">
        <v>129.9</v>
      </c>
      <c r="AG1302">
        <v>3859.88</v>
      </c>
      <c r="AH1302">
        <f t="shared" si="30"/>
        <v>-0.98000000000001819</v>
      </c>
    </row>
    <row r="1303" spans="32:34" x14ac:dyDescent="0.25">
      <c r="AF1303">
        <v>130</v>
      </c>
      <c r="AG1303">
        <v>3859.9</v>
      </c>
      <c r="AH1303">
        <f t="shared" si="30"/>
        <v>-0.96000000000003638</v>
      </c>
    </row>
    <row r="1304" spans="32:34" x14ac:dyDescent="0.25">
      <c r="AF1304">
        <v>130.1</v>
      </c>
      <c r="AG1304">
        <v>3859.9191999999998</v>
      </c>
      <c r="AH1304">
        <f t="shared" si="30"/>
        <v>-0.9408000000003085</v>
      </c>
    </row>
    <row r="1305" spans="32:34" x14ac:dyDescent="0.25">
      <c r="AF1305">
        <v>130.19999999999999</v>
      </c>
      <c r="AG1305">
        <v>3859.9384</v>
      </c>
      <c r="AH1305">
        <f t="shared" si="30"/>
        <v>-0.92160000000012587</v>
      </c>
    </row>
    <row r="1306" spans="32:34" x14ac:dyDescent="0.25">
      <c r="AF1306">
        <v>130.30000000000001</v>
      </c>
      <c r="AG1306">
        <v>3859.9576000000002</v>
      </c>
      <c r="AH1306">
        <f t="shared" si="30"/>
        <v>-0.90239999999994325</v>
      </c>
    </row>
    <row r="1307" spans="32:34" x14ac:dyDescent="0.25">
      <c r="AF1307">
        <v>130.4</v>
      </c>
      <c r="AG1307">
        <v>3859.9767999999999</v>
      </c>
      <c r="AH1307">
        <f t="shared" si="30"/>
        <v>-0.88320000000021537</v>
      </c>
    </row>
    <row r="1308" spans="32:34" x14ac:dyDescent="0.25">
      <c r="AF1308">
        <v>130.5</v>
      </c>
      <c r="AG1308">
        <v>3859.9960000000001</v>
      </c>
      <c r="AH1308">
        <f t="shared" si="30"/>
        <v>-0.86400000000003274</v>
      </c>
    </row>
    <row r="1309" spans="32:34" x14ac:dyDescent="0.25">
      <c r="AF1309">
        <v>130.6</v>
      </c>
      <c r="AG1309">
        <v>3860.0151999999998</v>
      </c>
      <c r="AH1309">
        <f t="shared" si="30"/>
        <v>-0.84480000000030486</v>
      </c>
    </row>
    <row r="1310" spans="32:34" x14ac:dyDescent="0.25">
      <c r="AF1310">
        <v>130.69999999999999</v>
      </c>
      <c r="AG1310">
        <v>3860.0344</v>
      </c>
      <c r="AH1310">
        <f t="shared" si="30"/>
        <v>-0.82560000000012224</v>
      </c>
    </row>
    <row r="1311" spans="32:34" x14ac:dyDescent="0.25">
      <c r="AF1311">
        <v>130.80000000000001</v>
      </c>
      <c r="AG1311">
        <v>3860.0536000000002</v>
      </c>
      <c r="AH1311">
        <f t="shared" si="30"/>
        <v>-0.80639999999993961</v>
      </c>
    </row>
    <row r="1312" spans="32:34" x14ac:dyDescent="0.25">
      <c r="AF1312">
        <v>130.9</v>
      </c>
      <c r="AG1312">
        <v>3860.0727999999999</v>
      </c>
      <c r="AH1312">
        <f t="shared" si="30"/>
        <v>-0.78720000000021173</v>
      </c>
    </row>
    <row r="1313" spans="32:34" x14ac:dyDescent="0.25">
      <c r="AF1313">
        <v>131</v>
      </c>
      <c r="AG1313">
        <v>3860.0920000000001</v>
      </c>
      <c r="AH1313">
        <f t="shared" si="30"/>
        <v>-0.7680000000000291</v>
      </c>
    </row>
    <row r="1314" spans="32:34" x14ac:dyDescent="0.25">
      <c r="AF1314">
        <v>131.1</v>
      </c>
      <c r="AG1314">
        <v>3860.1111999999998</v>
      </c>
      <c r="AH1314">
        <f t="shared" si="30"/>
        <v>-0.74880000000030122</v>
      </c>
    </row>
    <row r="1315" spans="32:34" x14ac:dyDescent="0.25">
      <c r="AF1315">
        <v>131.19999999999999</v>
      </c>
      <c r="AG1315">
        <v>3860.1304</v>
      </c>
      <c r="AH1315">
        <f t="shared" si="30"/>
        <v>-0.7296000000001186</v>
      </c>
    </row>
    <row r="1316" spans="32:34" x14ac:dyDescent="0.25">
      <c r="AF1316">
        <v>131.30000000000001</v>
      </c>
      <c r="AG1316">
        <v>3860.1496000000002</v>
      </c>
      <c r="AH1316">
        <f t="shared" si="30"/>
        <v>-0.71039999999993597</v>
      </c>
    </row>
    <row r="1317" spans="32:34" x14ac:dyDescent="0.25">
      <c r="AF1317">
        <v>131.4</v>
      </c>
      <c r="AG1317">
        <v>3860.1687999999999</v>
      </c>
      <c r="AH1317">
        <f t="shared" si="30"/>
        <v>-0.69120000000020809</v>
      </c>
    </row>
    <row r="1318" spans="32:34" x14ac:dyDescent="0.25">
      <c r="AF1318">
        <v>131.5</v>
      </c>
      <c r="AG1318">
        <v>3860.1880000000001</v>
      </c>
      <c r="AH1318">
        <f t="shared" si="30"/>
        <v>-0.67200000000002547</v>
      </c>
    </row>
    <row r="1319" spans="32:34" x14ac:dyDescent="0.25">
      <c r="AF1319">
        <v>131.6</v>
      </c>
      <c r="AG1319">
        <v>3860.2071999999998</v>
      </c>
      <c r="AH1319">
        <f t="shared" si="30"/>
        <v>-0.65280000000029759</v>
      </c>
    </row>
    <row r="1320" spans="32:34" x14ac:dyDescent="0.25">
      <c r="AF1320">
        <v>131.69999999999999</v>
      </c>
      <c r="AG1320">
        <v>3860.2264</v>
      </c>
      <c r="AH1320">
        <f t="shared" si="30"/>
        <v>-0.63360000000011496</v>
      </c>
    </row>
    <row r="1321" spans="32:34" x14ac:dyDescent="0.25">
      <c r="AF1321">
        <v>131.80000000000001</v>
      </c>
      <c r="AG1321">
        <v>3860.2456000000002</v>
      </c>
      <c r="AH1321">
        <f t="shared" si="30"/>
        <v>-0.61439999999993233</v>
      </c>
    </row>
    <row r="1322" spans="32:34" x14ac:dyDescent="0.25">
      <c r="AF1322">
        <v>131.9</v>
      </c>
      <c r="AG1322">
        <v>3860.2647999999999</v>
      </c>
      <c r="AH1322">
        <f t="shared" si="30"/>
        <v>-0.59520000000020445</v>
      </c>
    </row>
    <row r="1323" spans="32:34" x14ac:dyDescent="0.25">
      <c r="AF1323">
        <v>132</v>
      </c>
      <c r="AG1323">
        <v>3860.2840000000001</v>
      </c>
      <c r="AH1323">
        <f t="shared" si="30"/>
        <v>-0.57600000000002183</v>
      </c>
    </row>
    <row r="1324" spans="32:34" x14ac:dyDescent="0.25">
      <c r="AF1324">
        <v>132.1</v>
      </c>
      <c r="AG1324">
        <v>3860.3031999999998</v>
      </c>
      <c r="AH1324">
        <f t="shared" si="30"/>
        <v>-0.55680000000029395</v>
      </c>
    </row>
    <row r="1325" spans="32:34" x14ac:dyDescent="0.25">
      <c r="AF1325">
        <v>132.19999999999999</v>
      </c>
      <c r="AG1325">
        <v>3860.3224</v>
      </c>
      <c r="AH1325">
        <f t="shared" si="30"/>
        <v>-0.53760000000011132</v>
      </c>
    </row>
    <row r="1326" spans="32:34" x14ac:dyDescent="0.25">
      <c r="AF1326">
        <v>132.30000000000001</v>
      </c>
      <c r="AG1326">
        <v>3860.3416000000002</v>
      </c>
      <c r="AH1326">
        <f t="shared" si="30"/>
        <v>-0.5183999999999287</v>
      </c>
    </row>
    <row r="1327" spans="32:34" x14ac:dyDescent="0.25">
      <c r="AF1327">
        <v>132.4</v>
      </c>
      <c r="AG1327">
        <v>3860.3607999999999</v>
      </c>
      <c r="AH1327">
        <f t="shared" si="30"/>
        <v>-0.49920000000020082</v>
      </c>
    </row>
    <row r="1328" spans="32:34" x14ac:dyDescent="0.25">
      <c r="AF1328">
        <v>132.5</v>
      </c>
      <c r="AG1328">
        <v>3860.38</v>
      </c>
      <c r="AH1328">
        <f t="shared" si="30"/>
        <v>-0.48000000000001819</v>
      </c>
    </row>
    <row r="1329" spans="32:34" x14ac:dyDescent="0.25">
      <c r="AF1329">
        <v>132.6</v>
      </c>
      <c r="AG1329">
        <v>3860.3991999999998</v>
      </c>
      <c r="AH1329">
        <f t="shared" si="30"/>
        <v>-0.46080000000029031</v>
      </c>
    </row>
    <row r="1330" spans="32:34" x14ac:dyDescent="0.25">
      <c r="AF1330">
        <v>132.69999999999999</v>
      </c>
      <c r="AG1330">
        <v>3860.4184</v>
      </c>
      <c r="AH1330">
        <f t="shared" si="30"/>
        <v>-0.44160000000010768</v>
      </c>
    </row>
    <row r="1331" spans="32:34" x14ac:dyDescent="0.25">
      <c r="AF1331">
        <v>132.80000000000001</v>
      </c>
      <c r="AG1331">
        <v>3860.4376000000002</v>
      </c>
      <c r="AH1331">
        <f t="shared" si="30"/>
        <v>-0.42239999999992506</v>
      </c>
    </row>
    <row r="1332" spans="32:34" x14ac:dyDescent="0.25">
      <c r="AF1332">
        <v>132.9</v>
      </c>
      <c r="AG1332">
        <v>3860.4567999999999</v>
      </c>
      <c r="AH1332">
        <f t="shared" si="30"/>
        <v>-0.40320000000019718</v>
      </c>
    </row>
    <row r="1333" spans="32:34" x14ac:dyDescent="0.25">
      <c r="AF1333">
        <v>133</v>
      </c>
      <c r="AG1333">
        <v>3860.4760000000001</v>
      </c>
      <c r="AH1333">
        <f t="shared" si="30"/>
        <v>-0.38400000000001455</v>
      </c>
    </row>
    <row r="1334" spans="32:34" x14ac:dyDescent="0.25">
      <c r="AF1334">
        <v>133.1</v>
      </c>
      <c r="AG1334">
        <v>3860.4951999999998</v>
      </c>
      <c r="AH1334">
        <f t="shared" si="30"/>
        <v>-0.36480000000028667</v>
      </c>
    </row>
    <row r="1335" spans="32:34" x14ac:dyDescent="0.25">
      <c r="AF1335">
        <v>133.19999999999999</v>
      </c>
      <c r="AG1335">
        <v>3860.5144</v>
      </c>
      <c r="AH1335">
        <f t="shared" si="30"/>
        <v>-0.34560000000010405</v>
      </c>
    </row>
    <row r="1336" spans="32:34" x14ac:dyDescent="0.25">
      <c r="AF1336">
        <v>133.30000000000001</v>
      </c>
      <c r="AG1336">
        <v>3860.5336000000002</v>
      </c>
      <c r="AH1336">
        <f t="shared" si="30"/>
        <v>-0.32639999999992142</v>
      </c>
    </row>
    <row r="1337" spans="32:34" x14ac:dyDescent="0.25">
      <c r="AF1337">
        <v>133.4</v>
      </c>
      <c r="AG1337">
        <v>3860.5527999999999</v>
      </c>
      <c r="AH1337">
        <f t="shared" si="30"/>
        <v>-0.30720000000019354</v>
      </c>
    </row>
    <row r="1338" spans="32:34" x14ac:dyDescent="0.25">
      <c r="AF1338">
        <v>133.5</v>
      </c>
      <c r="AG1338">
        <v>3860.5720000000001</v>
      </c>
      <c r="AH1338">
        <f t="shared" si="30"/>
        <v>-0.28800000000001091</v>
      </c>
    </row>
    <row r="1339" spans="32:34" x14ac:dyDescent="0.25">
      <c r="AF1339">
        <v>133.6</v>
      </c>
      <c r="AG1339">
        <v>3860.5911999999998</v>
      </c>
      <c r="AH1339">
        <f t="shared" si="30"/>
        <v>-0.26880000000028303</v>
      </c>
    </row>
    <row r="1340" spans="32:34" x14ac:dyDescent="0.25">
      <c r="AF1340">
        <v>133.69999999999999</v>
      </c>
      <c r="AG1340">
        <v>3860.6104</v>
      </c>
      <c r="AH1340">
        <f t="shared" si="30"/>
        <v>-0.24960000000010041</v>
      </c>
    </row>
    <row r="1341" spans="32:34" x14ac:dyDescent="0.25">
      <c r="AF1341">
        <v>133.80000000000001</v>
      </c>
      <c r="AG1341">
        <v>3860.6296000000002</v>
      </c>
      <c r="AH1341">
        <f t="shared" si="30"/>
        <v>-0.23039999999991778</v>
      </c>
    </row>
    <row r="1342" spans="32:34" x14ac:dyDescent="0.25">
      <c r="AF1342">
        <v>133.9</v>
      </c>
      <c r="AG1342">
        <v>3860.6487999999999</v>
      </c>
      <c r="AH1342">
        <f t="shared" si="30"/>
        <v>-0.2112000000001899</v>
      </c>
    </row>
    <row r="1343" spans="32:34" x14ac:dyDescent="0.25">
      <c r="AF1343">
        <v>134</v>
      </c>
      <c r="AG1343">
        <v>3860.6680000000001</v>
      </c>
      <c r="AH1343">
        <f t="shared" si="30"/>
        <v>-0.19200000000000728</v>
      </c>
    </row>
    <row r="1344" spans="32:34" x14ac:dyDescent="0.25">
      <c r="AF1344">
        <v>134.1</v>
      </c>
      <c r="AG1344">
        <v>3860.6871999999998</v>
      </c>
      <c r="AH1344">
        <f t="shared" si="30"/>
        <v>-0.1728000000002794</v>
      </c>
    </row>
    <row r="1345" spans="32:34" x14ac:dyDescent="0.25">
      <c r="AF1345">
        <v>134.19999999999999</v>
      </c>
      <c r="AG1345">
        <v>3860.7064</v>
      </c>
      <c r="AH1345">
        <f t="shared" si="30"/>
        <v>-0.15360000000009677</v>
      </c>
    </row>
    <row r="1346" spans="32:34" x14ac:dyDescent="0.25">
      <c r="AF1346">
        <v>134.30000000000001</v>
      </c>
      <c r="AG1346">
        <v>3860.7256000000002</v>
      </c>
      <c r="AH1346">
        <f t="shared" si="30"/>
        <v>-0.13439999999991414</v>
      </c>
    </row>
    <row r="1347" spans="32:34" x14ac:dyDescent="0.25">
      <c r="AF1347">
        <v>134.4</v>
      </c>
      <c r="AG1347">
        <v>3860.7447999999999</v>
      </c>
      <c r="AH1347">
        <f t="shared" si="30"/>
        <v>-0.11520000000018626</v>
      </c>
    </row>
    <row r="1348" spans="32:34" x14ac:dyDescent="0.25">
      <c r="AF1348">
        <v>134.5</v>
      </c>
      <c r="AG1348">
        <v>3860.7640000000001</v>
      </c>
      <c r="AH1348">
        <f t="shared" ref="AH1348:AH1411" si="31">AG1348-MAX($AG$3:$AG$2353)</f>
        <v>-9.6000000000003638E-2</v>
      </c>
    </row>
    <row r="1349" spans="32:34" x14ac:dyDescent="0.25">
      <c r="AF1349">
        <v>134.6</v>
      </c>
      <c r="AG1349">
        <v>3860.7831999999999</v>
      </c>
      <c r="AH1349">
        <f t="shared" si="31"/>
        <v>-7.6800000000275759E-2</v>
      </c>
    </row>
    <row r="1350" spans="32:34" x14ac:dyDescent="0.25">
      <c r="AF1350">
        <v>134.69999999999999</v>
      </c>
      <c r="AG1350">
        <v>3860.8024</v>
      </c>
      <c r="AH1350">
        <f t="shared" si="31"/>
        <v>-5.7600000000093132E-2</v>
      </c>
    </row>
    <row r="1351" spans="32:34" x14ac:dyDescent="0.25">
      <c r="AF1351">
        <v>134.80000000000001</v>
      </c>
      <c r="AG1351">
        <v>3860.8216000000002</v>
      </c>
      <c r="AH1351">
        <f t="shared" si="31"/>
        <v>-3.8399999999910506E-2</v>
      </c>
    </row>
    <row r="1352" spans="32:34" x14ac:dyDescent="0.25">
      <c r="AF1352">
        <v>134.9</v>
      </c>
      <c r="AG1352">
        <v>3860.8407999999999</v>
      </c>
      <c r="AH1352">
        <f t="shared" si="31"/>
        <v>-1.9200000000182627E-2</v>
      </c>
    </row>
    <row r="1353" spans="32:34" x14ac:dyDescent="0.25">
      <c r="AF1353">
        <v>135</v>
      </c>
      <c r="AG1353">
        <v>3860.86</v>
      </c>
      <c r="AH1353">
        <f t="shared" si="31"/>
        <v>0</v>
      </c>
    </row>
    <row r="1354" spans="32:34" x14ac:dyDescent="0.25">
      <c r="AF1354">
        <v>135.1</v>
      </c>
      <c r="AG1354">
        <v>3860.8362000000002</v>
      </c>
      <c r="AH1354">
        <f t="shared" si="31"/>
        <v>-2.3799999999937427E-2</v>
      </c>
    </row>
    <row r="1355" spans="32:34" x14ac:dyDescent="0.25">
      <c r="AF1355">
        <v>135.19999999999999</v>
      </c>
      <c r="AG1355">
        <v>3860.8123999999998</v>
      </c>
      <c r="AH1355">
        <f t="shared" si="31"/>
        <v>-4.7600000000329601E-2</v>
      </c>
    </row>
    <row r="1356" spans="32:34" x14ac:dyDescent="0.25">
      <c r="AF1356">
        <v>135.30000000000001</v>
      </c>
      <c r="AG1356">
        <v>3860.7885999999999</v>
      </c>
      <c r="AH1356">
        <f t="shared" si="31"/>
        <v>-7.1400000000267028E-2</v>
      </c>
    </row>
    <row r="1357" spans="32:34" x14ac:dyDescent="0.25">
      <c r="AF1357">
        <v>135.4</v>
      </c>
      <c r="AG1357">
        <v>3860.7647999999999</v>
      </c>
      <c r="AH1357">
        <f t="shared" si="31"/>
        <v>-9.5200000000204454E-2</v>
      </c>
    </row>
    <row r="1358" spans="32:34" x14ac:dyDescent="0.25">
      <c r="AF1358">
        <v>135.5</v>
      </c>
      <c r="AG1358">
        <v>3860.741</v>
      </c>
      <c r="AH1358">
        <f t="shared" si="31"/>
        <v>-0.11900000000014188</v>
      </c>
    </row>
    <row r="1359" spans="32:34" x14ac:dyDescent="0.25">
      <c r="AF1359">
        <v>135.6</v>
      </c>
      <c r="AG1359">
        <v>3860.7172</v>
      </c>
      <c r="AH1359">
        <f t="shared" si="31"/>
        <v>-0.14280000000007931</v>
      </c>
    </row>
    <row r="1360" spans="32:34" x14ac:dyDescent="0.25">
      <c r="AF1360">
        <v>135.69999999999999</v>
      </c>
      <c r="AG1360">
        <v>3860.6934000000001</v>
      </c>
      <c r="AH1360">
        <f t="shared" si="31"/>
        <v>-0.16660000000001673</v>
      </c>
    </row>
    <row r="1361" spans="32:34" x14ac:dyDescent="0.25">
      <c r="AF1361">
        <v>135.80000000000001</v>
      </c>
      <c r="AG1361">
        <v>3860.6696000000002</v>
      </c>
      <c r="AH1361">
        <f t="shared" si="31"/>
        <v>-0.19039999999995416</v>
      </c>
    </row>
    <row r="1362" spans="32:34" x14ac:dyDescent="0.25">
      <c r="AF1362">
        <v>135.9</v>
      </c>
      <c r="AG1362">
        <v>3860.6457999999998</v>
      </c>
      <c r="AH1362">
        <f t="shared" si="31"/>
        <v>-0.21420000000034634</v>
      </c>
    </row>
    <row r="1363" spans="32:34" x14ac:dyDescent="0.25">
      <c r="AF1363">
        <v>136</v>
      </c>
      <c r="AG1363">
        <v>3860.6219999999998</v>
      </c>
      <c r="AH1363">
        <f t="shared" si="31"/>
        <v>-0.23800000000028376</v>
      </c>
    </row>
    <row r="1364" spans="32:34" x14ac:dyDescent="0.25">
      <c r="AF1364">
        <v>136.1</v>
      </c>
      <c r="AG1364">
        <v>3860.5981999999999</v>
      </c>
      <c r="AH1364">
        <f t="shared" si="31"/>
        <v>-0.26180000000022119</v>
      </c>
    </row>
    <row r="1365" spans="32:34" x14ac:dyDescent="0.25">
      <c r="AF1365">
        <v>136.19999999999999</v>
      </c>
      <c r="AG1365">
        <v>3860.5744</v>
      </c>
      <c r="AH1365">
        <f t="shared" si="31"/>
        <v>-0.28560000000015862</v>
      </c>
    </row>
    <row r="1366" spans="32:34" x14ac:dyDescent="0.25">
      <c r="AF1366">
        <v>136.30000000000001</v>
      </c>
      <c r="AG1366">
        <v>3860.5506</v>
      </c>
      <c r="AH1366">
        <f t="shared" si="31"/>
        <v>-0.30940000000009604</v>
      </c>
    </row>
    <row r="1367" spans="32:34" x14ac:dyDescent="0.25">
      <c r="AF1367">
        <v>136.4</v>
      </c>
      <c r="AG1367">
        <v>3860.5268000000001</v>
      </c>
      <c r="AH1367">
        <f t="shared" si="31"/>
        <v>-0.33320000000003347</v>
      </c>
    </row>
    <row r="1368" spans="32:34" x14ac:dyDescent="0.25">
      <c r="AF1368">
        <v>136.5</v>
      </c>
      <c r="AG1368">
        <v>3860.5030000000002</v>
      </c>
      <c r="AH1368">
        <f t="shared" si="31"/>
        <v>-0.3569999999999709</v>
      </c>
    </row>
    <row r="1369" spans="32:34" x14ac:dyDescent="0.25">
      <c r="AF1369">
        <v>136.6</v>
      </c>
      <c r="AG1369">
        <v>3860.4792000000002</v>
      </c>
      <c r="AH1369">
        <f t="shared" si="31"/>
        <v>-0.38079999999990832</v>
      </c>
    </row>
    <row r="1370" spans="32:34" x14ac:dyDescent="0.25">
      <c r="AF1370">
        <v>136.69999999999999</v>
      </c>
      <c r="AG1370">
        <v>3860.4553999999998</v>
      </c>
      <c r="AH1370">
        <f t="shared" si="31"/>
        <v>-0.4046000000003005</v>
      </c>
    </row>
    <row r="1371" spans="32:34" x14ac:dyDescent="0.25">
      <c r="AF1371">
        <v>136.80000000000001</v>
      </c>
      <c r="AG1371">
        <v>3860.4315999999999</v>
      </c>
      <c r="AH1371">
        <f t="shared" si="31"/>
        <v>-0.42840000000023792</v>
      </c>
    </row>
    <row r="1372" spans="32:34" x14ac:dyDescent="0.25">
      <c r="AF1372">
        <v>136.9</v>
      </c>
      <c r="AG1372">
        <v>3860.4078</v>
      </c>
      <c r="AH1372">
        <f t="shared" si="31"/>
        <v>-0.45220000000017535</v>
      </c>
    </row>
    <row r="1373" spans="32:34" x14ac:dyDescent="0.25">
      <c r="AF1373">
        <v>137</v>
      </c>
      <c r="AG1373">
        <v>3860.384</v>
      </c>
      <c r="AH1373">
        <f t="shared" si="31"/>
        <v>-0.47600000000011278</v>
      </c>
    </row>
    <row r="1374" spans="32:34" x14ac:dyDescent="0.25">
      <c r="AF1374">
        <v>137.1</v>
      </c>
      <c r="AG1374">
        <v>3860.3602000000001</v>
      </c>
      <c r="AH1374">
        <f t="shared" si="31"/>
        <v>-0.4998000000000502</v>
      </c>
    </row>
    <row r="1375" spans="32:34" x14ac:dyDescent="0.25">
      <c r="AF1375">
        <v>137.19999999999999</v>
      </c>
      <c r="AG1375">
        <v>3860.3364000000001</v>
      </c>
      <c r="AH1375">
        <f t="shared" si="31"/>
        <v>-0.52359999999998763</v>
      </c>
    </row>
    <row r="1376" spans="32:34" x14ac:dyDescent="0.25">
      <c r="AF1376">
        <v>137.30000000000001</v>
      </c>
      <c r="AG1376">
        <v>3860.3126000000002</v>
      </c>
      <c r="AH1376">
        <f t="shared" si="31"/>
        <v>-0.54739999999992506</v>
      </c>
    </row>
    <row r="1377" spans="32:34" x14ac:dyDescent="0.25">
      <c r="AF1377">
        <v>137.4</v>
      </c>
      <c r="AG1377">
        <v>3860.2887999999998</v>
      </c>
      <c r="AH1377">
        <f t="shared" si="31"/>
        <v>-0.57120000000031723</v>
      </c>
    </row>
    <row r="1378" spans="32:34" x14ac:dyDescent="0.25">
      <c r="AF1378">
        <v>137.5</v>
      </c>
      <c r="AG1378">
        <v>3860.2649999999999</v>
      </c>
      <c r="AH1378">
        <f t="shared" si="31"/>
        <v>-0.59500000000025466</v>
      </c>
    </row>
    <row r="1379" spans="32:34" x14ac:dyDescent="0.25">
      <c r="AF1379">
        <v>137.6</v>
      </c>
      <c r="AG1379">
        <v>3860.2411999999999</v>
      </c>
      <c r="AH1379">
        <f t="shared" si="31"/>
        <v>-0.61880000000019209</v>
      </c>
    </row>
    <row r="1380" spans="32:34" x14ac:dyDescent="0.25">
      <c r="AF1380">
        <v>137.69999999999999</v>
      </c>
      <c r="AG1380">
        <v>3860.2174</v>
      </c>
      <c r="AH1380">
        <f t="shared" si="31"/>
        <v>-0.64260000000012951</v>
      </c>
    </row>
    <row r="1381" spans="32:34" x14ac:dyDescent="0.25">
      <c r="AF1381">
        <v>137.80000000000001</v>
      </c>
      <c r="AG1381">
        <v>3860.1936000000001</v>
      </c>
      <c r="AH1381">
        <f t="shared" si="31"/>
        <v>-0.66640000000006694</v>
      </c>
    </row>
    <row r="1382" spans="32:34" x14ac:dyDescent="0.25">
      <c r="AF1382">
        <v>137.9</v>
      </c>
      <c r="AG1382">
        <v>3860.1698000000001</v>
      </c>
      <c r="AH1382">
        <f t="shared" si="31"/>
        <v>-0.69020000000000437</v>
      </c>
    </row>
    <row r="1383" spans="32:34" x14ac:dyDescent="0.25">
      <c r="AF1383">
        <v>138</v>
      </c>
      <c r="AG1383">
        <v>3860.1460000000002</v>
      </c>
      <c r="AH1383">
        <f t="shared" si="31"/>
        <v>-0.71399999999994179</v>
      </c>
    </row>
    <row r="1384" spans="32:34" x14ac:dyDescent="0.25">
      <c r="AF1384">
        <v>138.1</v>
      </c>
      <c r="AG1384">
        <v>3860.1221999999998</v>
      </c>
      <c r="AH1384">
        <f t="shared" si="31"/>
        <v>-0.73780000000033397</v>
      </c>
    </row>
    <row r="1385" spans="32:34" x14ac:dyDescent="0.25">
      <c r="AF1385">
        <v>138.19999999999999</v>
      </c>
      <c r="AG1385">
        <v>3860.0983999999999</v>
      </c>
      <c r="AH1385">
        <f t="shared" si="31"/>
        <v>-0.76160000000027139</v>
      </c>
    </row>
    <row r="1386" spans="32:34" x14ac:dyDescent="0.25">
      <c r="AF1386">
        <v>138.30000000000001</v>
      </c>
      <c r="AG1386">
        <v>3860.0745999999999</v>
      </c>
      <c r="AH1386">
        <f t="shared" si="31"/>
        <v>-0.78540000000020882</v>
      </c>
    </row>
    <row r="1387" spans="32:34" x14ac:dyDescent="0.25">
      <c r="AF1387">
        <v>138.4</v>
      </c>
      <c r="AG1387">
        <v>3860.0508</v>
      </c>
      <c r="AH1387">
        <f t="shared" si="31"/>
        <v>-0.80920000000014625</v>
      </c>
    </row>
    <row r="1388" spans="32:34" x14ac:dyDescent="0.25">
      <c r="AF1388">
        <v>138.5</v>
      </c>
      <c r="AG1388">
        <v>3860.027</v>
      </c>
      <c r="AH1388">
        <f t="shared" si="31"/>
        <v>-0.83300000000008367</v>
      </c>
    </row>
    <row r="1389" spans="32:34" x14ac:dyDescent="0.25">
      <c r="AF1389">
        <v>138.6</v>
      </c>
      <c r="AG1389">
        <v>3860.0032000000001</v>
      </c>
      <c r="AH1389">
        <f t="shared" si="31"/>
        <v>-0.8568000000000211</v>
      </c>
    </row>
    <row r="1390" spans="32:34" x14ac:dyDescent="0.25">
      <c r="AF1390">
        <v>138.69999999999999</v>
      </c>
      <c r="AG1390">
        <v>3859.9794000000002</v>
      </c>
      <c r="AH1390">
        <f t="shared" si="31"/>
        <v>-0.88059999999995853</v>
      </c>
    </row>
    <row r="1391" spans="32:34" x14ac:dyDescent="0.25">
      <c r="AF1391">
        <v>138.80000000000001</v>
      </c>
      <c r="AG1391">
        <v>3859.9555999999998</v>
      </c>
      <c r="AH1391">
        <f t="shared" si="31"/>
        <v>-0.9044000000003507</v>
      </c>
    </row>
    <row r="1392" spans="32:34" x14ac:dyDescent="0.25">
      <c r="AF1392">
        <v>138.9</v>
      </c>
      <c r="AG1392">
        <v>3859.9317999999998</v>
      </c>
      <c r="AH1392">
        <f t="shared" si="31"/>
        <v>-0.92820000000028813</v>
      </c>
    </row>
    <row r="1393" spans="32:34" x14ac:dyDescent="0.25">
      <c r="AF1393">
        <v>139</v>
      </c>
      <c r="AG1393">
        <v>3859.9079999999999</v>
      </c>
      <c r="AH1393">
        <f t="shared" si="31"/>
        <v>-0.95200000000022555</v>
      </c>
    </row>
    <row r="1394" spans="32:34" x14ac:dyDescent="0.25">
      <c r="AF1394">
        <v>139.1</v>
      </c>
      <c r="AG1394">
        <v>3859.8842</v>
      </c>
      <c r="AH1394">
        <f t="shared" si="31"/>
        <v>-0.97580000000016298</v>
      </c>
    </row>
    <row r="1395" spans="32:34" x14ac:dyDescent="0.25">
      <c r="AF1395">
        <v>139.19999999999999</v>
      </c>
      <c r="AG1395">
        <v>3859.8604</v>
      </c>
      <c r="AH1395">
        <f t="shared" si="31"/>
        <v>-0.99960000000010041</v>
      </c>
    </row>
    <row r="1396" spans="32:34" x14ac:dyDescent="0.25">
      <c r="AF1396">
        <v>139.30000000000001</v>
      </c>
      <c r="AG1396">
        <v>3859.8366000000001</v>
      </c>
      <c r="AH1396">
        <f t="shared" si="31"/>
        <v>-1.0234000000000378</v>
      </c>
    </row>
    <row r="1397" spans="32:34" x14ac:dyDescent="0.25">
      <c r="AF1397">
        <v>139.4</v>
      </c>
      <c r="AG1397">
        <v>3859.8128000000002</v>
      </c>
      <c r="AH1397">
        <f t="shared" si="31"/>
        <v>-1.0471999999999753</v>
      </c>
    </row>
    <row r="1398" spans="32:34" x14ac:dyDescent="0.25">
      <c r="AF1398">
        <v>139.5</v>
      </c>
      <c r="AG1398">
        <v>3859.7890000000002</v>
      </c>
      <c r="AH1398">
        <f t="shared" si="31"/>
        <v>-1.0709999999999127</v>
      </c>
    </row>
    <row r="1399" spans="32:34" x14ac:dyDescent="0.25">
      <c r="AF1399">
        <v>139.6</v>
      </c>
      <c r="AG1399">
        <v>3859.7651999999998</v>
      </c>
      <c r="AH1399">
        <f t="shared" si="31"/>
        <v>-1.0948000000003049</v>
      </c>
    </row>
    <row r="1400" spans="32:34" x14ac:dyDescent="0.25">
      <c r="AF1400">
        <v>139.69999999999999</v>
      </c>
      <c r="AG1400">
        <v>3859.7413999999999</v>
      </c>
      <c r="AH1400">
        <f t="shared" si="31"/>
        <v>-1.1186000000002423</v>
      </c>
    </row>
    <row r="1401" spans="32:34" x14ac:dyDescent="0.25">
      <c r="AF1401">
        <v>139.80000000000001</v>
      </c>
      <c r="AG1401">
        <v>3859.7175999999999</v>
      </c>
      <c r="AH1401">
        <f t="shared" si="31"/>
        <v>-1.1424000000001797</v>
      </c>
    </row>
    <row r="1402" spans="32:34" x14ac:dyDescent="0.25">
      <c r="AF1402">
        <v>139.9</v>
      </c>
      <c r="AG1402">
        <v>3859.6938</v>
      </c>
      <c r="AH1402">
        <f t="shared" si="31"/>
        <v>-1.1662000000001171</v>
      </c>
    </row>
    <row r="1403" spans="32:34" x14ac:dyDescent="0.25">
      <c r="AF1403">
        <v>140</v>
      </c>
      <c r="AG1403">
        <v>3859.67</v>
      </c>
      <c r="AH1403">
        <f t="shared" si="31"/>
        <v>-1.1900000000000546</v>
      </c>
    </row>
    <row r="1404" spans="32:34" x14ac:dyDescent="0.25">
      <c r="AF1404">
        <v>140.1</v>
      </c>
      <c r="AG1404">
        <v>3859.6502</v>
      </c>
      <c r="AH1404">
        <f t="shared" si="31"/>
        <v>-1.2098000000000866</v>
      </c>
    </row>
    <row r="1405" spans="32:34" x14ac:dyDescent="0.25">
      <c r="AF1405">
        <v>140.19999999999999</v>
      </c>
      <c r="AG1405">
        <v>3859.6304</v>
      </c>
      <c r="AH1405">
        <f t="shared" si="31"/>
        <v>-1.2296000000001186</v>
      </c>
    </row>
    <row r="1406" spans="32:34" x14ac:dyDescent="0.25">
      <c r="AF1406">
        <v>140.30000000000001</v>
      </c>
      <c r="AG1406">
        <v>3859.6106</v>
      </c>
      <c r="AH1406">
        <f t="shared" si="31"/>
        <v>-1.2494000000001506</v>
      </c>
    </row>
    <row r="1407" spans="32:34" x14ac:dyDescent="0.25">
      <c r="AF1407">
        <v>140.4</v>
      </c>
      <c r="AG1407">
        <v>3859.5907999999999</v>
      </c>
      <c r="AH1407">
        <f t="shared" si="31"/>
        <v>-1.2692000000001826</v>
      </c>
    </row>
    <row r="1408" spans="32:34" x14ac:dyDescent="0.25">
      <c r="AF1408">
        <v>140.5</v>
      </c>
      <c r="AG1408">
        <v>3859.5709999999999</v>
      </c>
      <c r="AH1408">
        <f t="shared" si="31"/>
        <v>-1.2890000000002146</v>
      </c>
    </row>
    <row r="1409" spans="32:34" x14ac:dyDescent="0.25">
      <c r="AF1409">
        <v>140.6</v>
      </c>
      <c r="AG1409">
        <v>3859.5511999999999</v>
      </c>
      <c r="AH1409">
        <f t="shared" si="31"/>
        <v>-1.3088000000002467</v>
      </c>
    </row>
    <row r="1410" spans="32:34" x14ac:dyDescent="0.25">
      <c r="AF1410">
        <v>140.69999999999999</v>
      </c>
      <c r="AG1410">
        <v>3859.5313999999998</v>
      </c>
      <c r="AH1410">
        <f t="shared" si="31"/>
        <v>-1.3286000000002787</v>
      </c>
    </row>
    <row r="1411" spans="32:34" x14ac:dyDescent="0.25">
      <c r="AF1411">
        <v>140.80000000000001</v>
      </c>
      <c r="AG1411">
        <v>3859.5115999999998</v>
      </c>
      <c r="AH1411">
        <f t="shared" si="31"/>
        <v>-1.3484000000003107</v>
      </c>
    </row>
    <row r="1412" spans="32:34" x14ac:dyDescent="0.25">
      <c r="AF1412">
        <v>140.9</v>
      </c>
      <c r="AG1412">
        <v>3859.4917999999998</v>
      </c>
      <c r="AH1412">
        <f t="shared" ref="AH1412:AH1475" si="32">AG1412-MAX($AG$3:$AG$2353)</f>
        <v>-1.3682000000003427</v>
      </c>
    </row>
    <row r="1413" spans="32:34" x14ac:dyDescent="0.25">
      <c r="AF1413">
        <v>141</v>
      </c>
      <c r="AG1413">
        <v>3859.4720000000002</v>
      </c>
      <c r="AH1413">
        <f t="shared" si="32"/>
        <v>-1.38799999999992</v>
      </c>
    </row>
    <row r="1414" spans="32:34" x14ac:dyDescent="0.25">
      <c r="AF1414">
        <v>141.1</v>
      </c>
      <c r="AG1414">
        <v>3859.4522000000002</v>
      </c>
      <c r="AH1414">
        <f t="shared" si="32"/>
        <v>-1.407799999999952</v>
      </c>
    </row>
    <row r="1415" spans="32:34" x14ac:dyDescent="0.25">
      <c r="AF1415">
        <v>141.19999999999999</v>
      </c>
      <c r="AG1415">
        <v>3859.4324000000001</v>
      </c>
      <c r="AH1415">
        <f t="shared" si="32"/>
        <v>-1.427599999999984</v>
      </c>
    </row>
    <row r="1416" spans="32:34" x14ac:dyDescent="0.25">
      <c r="AF1416">
        <v>141.30000000000001</v>
      </c>
      <c r="AG1416">
        <v>3859.4126000000001</v>
      </c>
      <c r="AH1416">
        <f t="shared" si="32"/>
        <v>-1.447400000000016</v>
      </c>
    </row>
    <row r="1417" spans="32:34" x14ac:dyDescent="0.25">
      <c r="AF1417">
        <v>141.4</v>
      </c>
      <c r="AG1417">
        <v>3859.3928000000001</v>
      </c>
      <c r="AH1417">
        <f t="shared" si="32"/>
        <v>-1.467200000000048</v>
      </c>
    </row>
    <row r="1418" spans="32:34" x14ac:dyDescent="0.25">
      <c r="AF1418">
        <v>141.5</v>
      </c>
      <c r="AG1418">
        <v>3859.373</v>
      </c>
      <c r="AH1418">
        <f t="shared" si="32"/>
        <v>-1.48700000000008</v>
      </c>
    </row>
    <row r="1419" spans="32:34" x14ac:dyDescent="0.25">
      <c r="AF1419">
        <v>141.6</v>
      </c>
      <c r="AG1419">
        <v>3859.3532</v>
      </c>
      <c r="AH1419">
        <f t="shared" si="32"/>
        <v>-1.506800000000112</v>
      </c>
    </row>
    <row r="1420" spans="32:34" x14ac:dyDescent="0.25">
      <c r="AF1420">
        <v>141.69999999999999</v>
      </c>
      <c r="AG1420">
        <v>3859.3334</v>
      </c>
      <c r="AH1420">
        <f t="shared" si="32"/>
        <v>-1.5266000000001441</v>
      </c>
    </row>
    <row r="1421" spans="32:34" x14ac:dyDescent="0.25">
      <c r="AF1421">
        <v>141.80000000000001</v>
      </c>
      <c r="AG1421">
        <v>3859.3136</v>
      </c>
      <c r="AH1421">
        <f t="shared" si="32"/>
        <v>-1.5464000000001761</v>
      </c>
    </row>
    <row r="1422" spans="32:34" x14ac:dyDescent="0.25">
      <c r="AF1422">
        <v>141.9</v>
      </c>
      <c r="AG1422">
        <v>3859.2937999999999</v>
      </c>
      <c r="AH1422">
        <f t="shared" si="32"/>
        <v>-1.5662000000002081</v>
      </c>
    </row>
    <row r="1423" spans="32:34" x14ac:dyDescent="0.25">
      <c r="AF1423">
        <v>142</v>
      </c>
      <c r="AG1423">
        <v>3859.2739999999999</v>
      </c>
      <c r="AH1423">
        <f t="shared" si="32"/>
        <v>-1.5860000000002401</v>
      </c>
    </row>
    <row r="1424" spans="32:34" x14ac:dyDescent="0.25">
      <c r="AF1424">
        <v>142.1</v>
      </c>
      <c r="AG1424">
        <v>3859.2541999999999</v>
      </c>
      <c r="AH1424">
        <f t="shared" si="32"/>
        <v>-1.6058000000002721</v>
      </c>
    </row>
    <row r="1425" spans="32:34" x14ac:dyDescent="0.25">
      <c r="AF1425">
        <v>142.19999999999999</v>
      </c>
      <c r="AG1425">
        <v>3859.2343999999998</v>
      </c>
      <c r="AH1425">
        <f t="shared" si="32"/>
        <v>-1.6256000000003041</v>
      </c>
    </row>
    <row r="1426" spans="32:34" x14ac:dyDescent="0.25">
      <c r="AF1426">
        <v>142.30000000000001</v>
      </c>
      <c r="AG1426">
        <v>3859.2145999999998</v>
      </c>
      <c r="AH1426">
        <f t="shared" si="32"/>
        <v>-1.6454000000003361</v>
      </c>
    </row>
    <row r="1427" spans="32:34" x14ac:dyDescent="0.25">
      <c r="AF1427">
        <v>142.4</v>
      </c>
      <c r="AG1427">
        <v>3859.1947999999902</v>
      </c>
      <c r="AH1427">
        <f t="shared" si="32"/>
        <v>-1.6652000000099179</v>
      </c>
    </row>
    <row r="1428" spans="32:34" x14ac:dyDescent="0.25">
      <c r="AF1428">
        <v>142.5</v>
      </c>
      <c r="AG1428">
        <v>3859.1750000000002</v>
      </c>
      <c r="AH1428">
        <f t="shared" si="32"/>
        <v>-1.6849999999999454</v>
      </c>
    </row>
    <row r="1429" spans="32:34" x14ac:dyDescent="0.25">
      <c r="AF1429">
        <v>142.6</v>
      </c>
      <c r="AG1429">
        <v>3859.1552000000001</v>
      </c>
      <c r="AH1429">
        <f t="shared" si="32"/>
        <v>-1.7047999999999774</v>
      </c>
    </row>
    <row r="1430" spans="32:34" x14ac:dyDescent="0.25">
      <c r="AF1430">
        <v>142.69999999999999</v>
      </c>
      <c r="AG1430">
        <v>3859.1354000000001</v>
      </c>
      <c r="AH1430">
        <f t="shared" si="32"/>
        <v>-1.7246000000000095</v>
      </c>
    </row>
    <row r="1431" spans="32:34" x14ac:dyDescent="0.25">
      <c r="AF1431">
        <v>142.80000000000001</v>
      </c>
      <c r="AG1431">
        <v>3859.1156000000001</v>
      </c>
      <c r="AH1431">
        <f t="shared" si="32"/>
        <v>-1.7444000000000415</v>
      </c>
    </row>
    <row r="1432" spans="32:34" x14ac:dyDescent="0.25">
      <c r="AF1432">
        <v>142.9</v>
      </c>
      <c r="AG1432">
        <v>3859.0958000000001</v>
      </c>
      <c r="AH1432">
        <f t="shared" si="32"/>
        <v>-1.7642000000000735</v>
      </c>
    </row>
    <row r="1433" spans="32:34" x14ac:dyDescent="0.25">
      <c r="AF1433">
        <v>143</v>
      </c>
      <c r="AG1433">
        <v>3859.076</v>
      </c>
      <c r="AH1433">
        <f t="shared" si="32"/>
        <v>-1.7840000000001055</v>
      </c>
    </row>
    <row r="1434" spans="32:34" x14ac:dyDescent="0.25">
      <c r="AF1434">
        <v>143.1</v>
      </c>
      <c r="AG1434">
        <v>3859.0562</v>
      </c>
      <c r="AH1434">
        <f t="shared" si="32"/>
        <v>-1.8038000000001375</v>
      </c>
    </row>
    <row r="1435" spans="32:34" x14ac:dyDescent="0.25">
      <c r="AF1435">
        <v>143.19999999999999</v>
      </c>
      <c r="AG1435">
        <v>3859.0364</v>
      </c>
      <c r="AH1435">
        <f t="shared" si="32"/>
        <v>-1.8236000000001695</v>
      </c>
    </row>
    <row r="1436" spans="32:34" x14ac:dyDescent="0.25">
      <c r="AF1436">
        <v>143.30000000000001</v>
      </c>
      <c r="AG1436">
        <v>3859.0165999999999</v>
      </c>
      <c r="AH1436">
        <f t="shared" si="32"/>
        <v>-1.8434000000002015</v>
      </c>
    </row>
    <row r="1437" spans="32:34" x14ac:dyDescent="0.25">
      <c r="AF1437">
        <v>143.4</v>
      </c>
      <c r="AG1437">
        <v>3858.9967999999999</v>
      </c>
      <c r="AH1437">
        <f t="shared" si="32"/>
        <v>-1.8632000000002336</v>
      </c>
    </row>
    <row r="1438" spans="32:34" x14ac:dyDescent="0.25">
      <c r="AF1438">
        <v>143.5</v>
      </c>
      <c r="AG1438">
        <v>3858.9769999999999</v>
      </c>
      <c r="AH1438">
        <f t="shared" si="32"/>
        <v>-1.8830000000002656</v>
      </c>
    </row>
    <row r="1439" spans="32:34" x14ac:dyDescent="0.25">
      <c r="AF1439">
        <v>143.6</v>
      </c>
      <c r="AG1439">
        <v>3858.9571999999998</v>
      </c>
      <c r="AH1439">
        <f t="shared" si="32"/>
        <v>-1.9028000000002976</v>
      </c>
    </row>
    <row r="1440" spans="32:34" x14ac:dyDescent="0.25">
      <c r="AF1440">
        <v>143.69999999999999</v>
      </c>
      <c r="AG1440">
        <v>3858.9373999999998</v>
      </c>
      <c r="AH1440">
        <f t="shared" si="32"/>
        <v>-1.9226000000003296</v>
      </c>
    </row>
    <row r="1441" spans="32:34" x14ac:dyDescent="0.25">
      <c r="AF1441">
        <v>143.80000000000001</v>
      </c>
      <c r="AG1441">
        <v>3858.9175999999902</v>
      </c>
      <c r="AH1441">
        <f t="shared" si="32"/>
        <v>-1.9424000000099113</v>
      </c>
    </row>
    <row r="1442" spans="32:34" x14ac:dyDescent="0.25">
      <c r="AF1442">
        <v>143.9</v>
      </c>
      <c r="AG1442">
        <v>3858.8977999999902</v>
      </c>
      <c r="AH1442">
        <f t="shared" si="32"/>
        <v>-1.9622000000099433</v>
      </c>
    </row>
    <row r="1443" spans="32:34" x14ac:dyDescent="0.25">
      <c r="AF1443">
        <v>144</v>
      </c>
      <c r="AG1443">
        <v>3858.8779999999902</v>
      </c>
      <c r="AH1443">
        <f t="shared" si="32"/>
        <v>-1.9820000000099753</v>
      </c>
    </row>
    <row r="1444" spans="32:34" x14ac:dyDescent="0.25">
      <c r="AF1444">
        <v>144.1</v>
      </c>
      <c r="AG1444">
        <v>3858.8581999999901</v>
      </c>
      <c r="AH1444">
        <f t="shared" si="32"/>
        <v>-2.0018000000100074</v>
      </c>
    </row>
    <row r="1445" spans="32:34" x14ac:dyDescent="0.25">
      <c r="AF1445">
        <v>144.19999999999999</v>
      </c>
      <c r="AG1445">
        <v>3858.8384000000001</v>
      </c>
      <c r="AH1445">
        <f t="shared" si="32"/>
        <v>-2.0216000000000349</v>
      </c>
    </row>
    <row r="1446" spans="32:34" x14ac:dyDescent="0.25">
      <c r="AF1446">
        <v>144.30000000000001</v>
      </c>
      <c r="AG1446">
        <v>3858.8186000000001</v>
      </c>
      <c r="AH1446">
        <f t="shared" si="32"/>
        <v>-2.0414000000000669</v>
      </c>
    </row>
    <row r="1447" spans="32:34" x14ac:dyDescent="0.25">
      <c r="AF1447">
        <v>144.4</v>
      </c>
      <c r="AG1447">
        <v>3858.7988</v>
      </c>
      <c r="AH1447">
        <f t="shared" si="32"/>
        <v>-2.061200000000099</v>
      </c>
    </row>
    <row r="1448" spans="32:34" x14ac:dyDescent="0.25">
      <c r="AF1448">
        <v>144.5</v>
      </c>
      <c r="AG1448">
        <v>3858.779</v>
      </c>
      <c r="AH1448">
        <f t="shared" si="32"/>
        <v>-2.081000000000131</v>
      </c>
    </row>
    <row r="1449" spans="32:34" x14ac:dyDescent="0.25">
      <c r="AF1449">
        <v>144.6</v>
      </c>
      <c r="AG1449">
        <v>3858.7592</v>
      </c>
      <c r="AH1449">
        <f t="shared" si="32"/>
        <v>-2.100800000000163</v>
      </c>
    </row>
    <row r="1450" spans="32:34" x14ac:dyDescent="0.25">
      <c r="AF1450">
        <v>144.69999999999999</v>
      </c>
      <c r="AG1450">
        <v>3858.7393999999999</v>
      </c>
      <c r="AH1450">
        <f t="shared" si="32"/>
        <v>-2.120600000000195</v>
      </c>
    </row>
    <row r="1451" spans="32:34" x14ac:dyDescent="0.25">
      <c r="AF1451">
        <v>144.80000000000001</v>
      </c>
      <c r="AG1451">
        <v>3858.7195999999999</v>
      </c>
      <c r="AH1451">
        <f t="shared" si="32"/>
        <v>-2.140400000000227</v>
      </c>
    </row>
    <row r="1452" spans="32:34" x14ac:dyDescent="0.25">
      <c r="AF1452">
        <v>144.9</v>
      </c>
      <c r="AG1452">
        <v>3858.6997999999999</v>
      </c>
      <c r="AH1452">
        <f t="shared" si="32"/>
        <v>-2.160200000000259</v>
      </c>
    </row>
    <row r="1453" spans="32:34" x14ac:dyDescent="0.25">
      <c r="AF1453">
        <v>145</v>
      </c>
      <c r="AG1453">
        <v>3858.68</v>
      </c>
      <c r="AH1453">
        <f t="shared" si="32"/>
        <v>-2.180000000000291</v>
      </c>
    </row>
    <row r="1454" spans="32:34" x14ac:dyDescent="0.25">
      <c r="AF1454">
        <v>145.1</v>
      </c>
      <c r="AG1454">
        <v>3858.6576</v>
      </c>
      <c r="AH1454">
        <f t="shared" si="32"/>
        <v>-2.2024000000001251</v>
      </c>
    </row>
    <row r="1455" spans="32:34" x14ac:dyDescent="0.25">
      <c r="AF1455">
        <v>145.19999999999999</v>
      </c>
      <c r="AG1455">
        <v>3858.6351999999902</v>
      </c>
      <c r="AH1455">
        <f t="shared" si="32"/>
        <v>-2.2248000000099637</v>
      </c>
    </row>
    <row r="1456" spans="32:34" x14ac:dyDescent="0.25">
      <c r="AF1456">
        <v>145.30000000000001</v>
      </c>
      <c r="AG1456">
        <v>3858.6127999999999</v>
      </c>
      <c r="AH1456">
        <f t="shared" si="32"/>
        <v>-2.2472000000002481</v>
      </c>
    </row>
    <row r="1457" spans="32:34" x14ac:dyDescent="0.25">
      <c r="AF1457">
        <v>145.4</v>
      </c>
      <c r="AG1457">
        <v>3858.5904</v>
      </c>
      <c r="AH1457">
        <f t="shared" si="32"/>
        <v>-2.2696000000000822</v>
      </c>
    </row>
    <row r="1458" spans="32:34" x14ac:dyDescent="0.25">
      <c r="AF1458">
        <v>145.5</v>
      </c>
      <c r="AG1458">
        <v>3858.5679999999902</v>
      </c>
      <c r="AH1458">
        <f t="shared" si="32"/>
        <v>-2.2920000000099208</v>
      </c>
    </row>
    <row r="1459" spans="32:34" x14ac:dyDescent="0.25">
      <c r="AF1459">
        <v>145.6</v>
      </c>
      <c r="AG1459">
        <v>3858.5455999999999</v>
      </c>
      <c r="AH1459">
        <f t="shared" si="32"/>
        <v>-2.3144000000002052</v>
      </c>
    </row>
    <row r="1460" spans="32:34" x14ac:dyDescent="0.25">
      <c r="AF1460">
        <v>145.69999999999999</v>
      </c>
      <c r="AG1460">
        <v>3858.5231999999901</v>
      </c>
      <c r="AH1460">
        <f t="shared" si="32"/>
        <v>-2.3368000000100437</v>
      </c>
    </row>
    <row r="1461" spans="32:34" x14ac:dyDescent="0.25">
      <c r="AF1461">
        <v>145.80000000000001</v>
      </c>
      <c r="AG1461">
        <v>3858.5007999999998</v>
      </c>
      <c r="AH1461">
        <f t="shared" si="32"/>
        <v>-2.3592000000003281</v>
      </c>
    </row>
    <row r="1462" spans="32:34" x14ac:dyDescent="0.25">
      <c r="AF1462">
        <v>145.9</v>
      </c>
      <c r="AG1462">
        <v>3858.4784</v>
      </c>
      <c r="AH1462">
        <f t="shared" si="32"/>
        <v>-2.3816000000001623</v>
      </c>
    </row>
    <row r="1463" spans="32:34" x14ac:dyDescent="0.25">
      <c r="AF1463">
        <v>146</v>
      </c>
      <c r="AG1463">
        <v>3858.4559999999901</v>
      </c>
      <c r="AH1463">
        <f t="shared" si="32"/>
        <v>-2.4040000000100008</v>
      </c>
    </row>
    <row r="1464" spans="32:34" x14ac:dyDescent="0.25">
      <c r="AF1464">
        <v>146.1</v>
      </c>
      <c r="AG1464">
        <v>3858.4335999999998</v>
      </c>
      <c r="AH1464">
        <f t="shared" si="32"/>
        <v>-2.4264000000002852</v>
      </c>
    </row>
    <row r="1465" spans="32:34" x14ac:dyDescent="0.25">
      <c r="AF1465">
        <v>146.19999999999999</v>
      </c>
      <c r="AG1465">
        <v>3858.4112</v>
      </c>
      <c r="AH1465">
        <f t="shared" si="32"/>
        <v>-2.4488000000001193</v>
      </c>
    </row>
    <row r="1466" spans="32:34" x14ac:dyDescent="0.25">
      <c r="AF1466">
        <v>146.30000000000001</v>
      </c>
      <c r="AG1466">
        <v>3858.3887999999902</v>
      </c>
      <c r="AH1466">
        <f t="shared" si="32"/>
        <v>-2.4712000000099579</v>
      </c>
    </row>
    <row r="1467" spans="32:34" x14ac:dyDescent="0.25">
      <c r="AF1467">
        <v>146.4</v>
      </c>
      <c r="AG1467">
        <v>3858.3663999999999</v>
      </c>
      <c r="AH1467">
        <f t="shared" si="32"/>
        <v>-2.4936000000002423</v>
      </c>
    </row>
    <row r="1468" spans="32:34" x14ac:dyDescent="0.25">
      <c r="AF1468">
        <v>146.5</v>
      </c>
      <c r="AG1468">
        <v>3858.3440000000001</v>
      </c>
      <c r="AH1468">
        <f t="shared" si="32"/>
        <v>-2.5160000000000764</v>
      </c>
    </row>
    <row r="1469" spans="32:34" x14ac:dyDescent="0.25">
      <c r="AF1469">
        <v>146.6</v>
      </c>
      <c r="AG1469">
        <v>3858.3215999999902</v>
      </c>
      <c r="AH1469">
        <f t="shared" si="32"/>
        <v>-2.5384000000099149</v>
      </c>
    </row>
    <row r="1470" spans="32:34" x14ac:dyDescent="0.25">
      <c r="AF1470">
        <v>146.69999999999999</v>
      </c>
      <c r="AG1470">
        <v>3858.2991999999999</v>
      </c>
      <c r="AH1470">
        <f t="shared" si="32"/>
        <v>-2.5608000000001994</v>
      </c>
    </row>
    <row r="1471" spans="32:34" x14ac:dyDescent="0.25">
      <c r="AF1471">
        <v>146.80000000000001</v>
      </c>
      <c r="AG1471">
        <v>3858.2768000000001</v>
      </c>
      <c r="AH1471">
        <f t="shared" si="32"/>
        <v>-2.5832000000000335</v>
      </c>
    </row>
    <row r="1472" spans="32:34" x14ac:dyDescent="0.25">
      <c r="AF1472">
        <v>146.9</v>
      </c>
      <c r="AG1472">
        <v>3858.2543999999998</v>
      </c>
      <c r="AH1472">
        <f t="shared" si="32"/>
        <v>-2.6056000000003223</v>
      </c>
    </row>
    <row r="1473" spans="32:34" x14ac:dyDescent="0.25">
      <c r="AF1473">
        <v>147</v>
      </c>
      <c r="AG1473">
        <v>3858.232</v>
      </c>
      <c r="AH1473">
        <f t="shared" si="32"/>
        <v>-2.6280000000001564</v>
      </c>
    </row>
    <row r="1474" spans="32:34" x14ac:dyDescent="0.25">
      <c r="AF1474">
        <v>147.1</v>
      </c>
      <c r="AG1474">
        <v>3858.2095999999901</v>
      </c>
      <c r="AH1474">
        <f t="shared" si="32"/>
        <v>-2.650400000009995</v>
      </c>
    </row>
    <row r="1475" spans="32:34" x14ac:dyDescent="0.25">
      <c r="AF1475">
        <v>147.19999999999999</v>
      </c>
      <c r="AG1475">
        <v>3858.1871999999998</v>
      </c>
      <c r="AH1475">
        <f t="shared" si="32"/>
        <v>-2.6728000000002794</v>
      </c>
    </row>
    <row r="1476" spans="32:34" x14ac:dyDescent="0.25">
      <c r="AF1476">
        <v>147.30000000000001</v>
      </c>
      <c r="AG1476">
        <v>3858.1648</v>
      </c>
      <c r="AH1476">
        <f t="shared" ref="AH1476:AH1539" si="33">AG1476-MAX($AG$3:$AG$2353)</f>
        <v>-2.6952000000001135</v>
      </c>
    </row>
    <row r="1477" spans="32:34" x14ac:dyDescent="0.25">
      <c r="AF1477">
        <v>147.4</v>
      </c>
      <c r="AG1477">
        <v>3858.1423999999902</v>
      </c>
      <c r="AH1477">
        <f t="shared" si="33"/>
        <v>-2.7176000000099521</v>
      </c>
    </row>
    <row r="1478" spans="32:34" x14ac:dyDescent="0.25">
      <c r="AF1478">
        <v>147.5</v>
      </c>
      <c r="AG1478">
        <v>3858.12</v>
      </c>
      <c r="AH1478">
        <f t="shared" si="33"/>
        <v>-2.7400000000002365</v>
      </c>
    </row>
    <row r="1479" spans="32:34" x14ac:dyDescent="0.25">
      <c r="AF1479">
        <v>147.6</v>
      </c>
      <c r="AG1479">
        <v>3858.0976000000001</v>
      </c>
      <c r="AH1479">
        <f t="shared" si="33"/>
        <v>-2.7624000000000706</v>
      </c>
    </row>
    <row r="1480" spans="32:34" x14ac:dyDescent="0.25">
      <c r="AF1480">
        <v>147.69999999999999</v>
      </c>
      <c r="AG1480">
        <v>3858.0751999999902</v>
      </c>
      <c r="AH1480">
        <f t="shared" si="33"/>
        <v>-2.7848000000099091</v>
      </c>
    </row>
    <row r="1481" spans="32:34" x14ac:dyDescent="0.25">
      <c r="AF1481">
        <v>147.80000000000001</v>
      </c>
      <c r="AG1481">
        <v>3858.0527999999999</v>
      </c>
      <c r="AH1481">
        <f t="shared" si="33"/>
        <v>-2.8072000000001935</v>
      </c>
    </row>
    <row r="1482" spans="32:34" x14ac:dyDescent="0.25">
      <c r="AF1482">
        <v>147.9</v>
      </c>
      <c r="AG1482">
        <v>3858.0304000000001</v>
      </c>
      <c r="AH1482">
        <f t="shared" si="33"/>
        <v>-2.8296000000000276</v>
      </c>
    </row>
    <row r="1483" spans="32:34" x14ac:dyDescent="0.25">
      <c r="AF1483">
        <v>148</v>
      </c>
      <c r="AG1483">
        <v>3858.0079999999998</v>
      </c>
      <c r="AH1483">
        <f t="shared" si="33"/>
        <v>-2.8520000000003165</v>
      </c>
    </row>
    <row r="1484" spans="32:34" x14ac:dyDescent="0.25">
      <c r="AF1484">
        <v>148.1</v>
      </c>
      <c r="AG1484">
        <v>3857.9856</v>
      </c>
      <c r="AH1484">
        <f t="shared" si="33"/>
        <v>-2.8744000000001506</v>
      </c>
    </row>
    <row r="1485" spans="32:34" x14ac:dyDescent="0.25">
      <c r="AF1485">
        <v>148.19999999999999</v>
      </c>
      <c r="AG1485">
        <v>3857.9631999999901</v>
      </c>
      <c r="AH1485">
        <f t="shared" si="33"/>
        <v>-2.8968000000099892</v>
      </c>
    </row>
    <row r="1486" spans="32:34" x14ac:dyDescent="0.25">
      <c r="AF1486">
        <v>148.30000000000001</v>
      </c>
      <c r="AG1486">
        <v>3857.9407999999999</v>
      </c>
      <c r="AH1486">
        <f t="shared" si="33"/>
        <v>-2.9192000000002736</v>
      </c>
    </row>
    <row r="1487" spans="32:34" x14ac:dyDescent="0.25">
      <c r="AF1487">
        <v>148.4</v>
      </c>
      <c r="AG1487">
        <v>3857.9184</v>
      </c>
      <c r="AH1487">
        <f t="shared" si="33"/>
        <v>-2.9416000000001077</v>
      </c>
    </row>
    <row r="1488" spans="32:34" x14ac:dyDescent="0.25">
      <c r="AF1488">
        <v>148.5</v>
      </c>
      <c r="AG1488">
        <v>3857.8959999999902</v>
      </c>
      <c r="AH1488">
        <f t="shared" si="33"/>
        <v>-2.9640000000099462</v>
      </c>
    </row>
    <row r="1489" spans="32:34" x14ac:dyDescent="0.25">
      <c r="AF1489">
        <v>148.6</v>
      </c>
      <c r="AG1489">
        <v>3857.8735999999999</v>
      </c>
      <c r="AH1489">
        <f t="shared" si="33"/>
        <v>-2.9864000000002306</v>
      </c>
    </row>
    <row r="1490" spans="32:34" x14ac:dyDescent="0.25">
      <c r="AF1490">
        <v>148.69999999999999</v>
      </c>
      <c r="AG1490">
        <v>3857.8512000000001</v>
      </c>
      <c r="AH1490">
        <f t="shared" si="33"/>
        <v>-3.0088000000000648</v>
      </c>
    </row>
    <row r="1491" spans="32:34" x14ac:dyDescent="0.25">
      <c r="AF1491">
        <v>148.80000000000001</v>
      </c>
      <c r="AG1491">
        <v>3857.8287999999998</v>
      </c>
      <c r="AH1491">
        <f t="shared" si="33"/>
        <v>-3.0312000000003536</v>
      </c>
    </row>
    <row r="1492" spans="32:34" x14ac:dyDescent="0.25">
      <c r="AF1492">
        <v>148.9</v>
      </c>
      <c r="AG1492">
        <v>3857.8063999999999</v>
      </c>
      <c r="AH1492">
        <f t="shared" si="33"/>
        <v>-3.0536000000001877</v>
      </c>
    </row>
    <row r="1493" spans="32:34" x14ac:dyDescent="0.25">
      <c r="AF1493">
        <v>149</v>
      </c>
      <c r="AG1493">
        <v>3857.7840000000001</v>
      </c>
      <c r="AH1493">
        <f t="shared" si="33"/>
        <v>-3.0760000000000218</v>
      </c>
    </row>
    <row r="1494" spans="32:34" x14ac:dyDescent="0.25">
      <c r="AF1494">
        <v>149.1</v>
      </c>
      <c r="AG1494">
        <v>3857.7615999999998</v>
      </c>
      <c r="AH1494">
        <f t="shared" si="33"/>
        <v>-3.0984000000003107</v>
      </c>
    </row>
    <row r="1495" spans="32:34" x14ac:dyDescent="0.25">
      <c r="AF1495">
        <v>149.19999999999999</v>
      </c>
      <c r="AG1495">
        <v>3857.7392</v>
      </c>
      <c r="AH1495">
        <f t="shared" si="33"/>
        <v>-3.1208000000001448</v>
      </c>
    </row>
    <row r="1496" spans="32:34" x14ac:dyDescent="0.25">
      <c r="AF1496">
        <v>149.30000000000001</v>
      </c>
      <c r="AG1496">
        <v>3857.7168000000001</v>
      </c>
      <c r="AH1496">
        <f t="shared" si="33"/>
        <v>-3.1431999999999789</v>
      </c>
    </row>
    <row r="1497" spans="32:34" x14ac:dyDescent="0.25">
      <c r="AF1497">
        <v>149.4</v>
      </c>
      <c r="AG1497">
        <v>3857.6943999999999</v>
      </c>
      <c r="AH1497">
        <f t="shared" si="33"/>
        <v>-3.1656000000002678</v>
      </c>
    </row>
    <row r="1498" spans="32:34" x14ac:dyDescent="0.25">
      <c r="AF1498">
        <v>149.5</v>
      </c>
      <c r="AG1498">
        <v>3857.672</v>
      </c>
      <c r="AH1498">
        <f t="shared" si="33"/>
        <v>-3.1880000000001019</v>
      </c>
    </row>
    <row r="1499" spans="32:34" x14ac:dyDescent="0.25">
      <c r="AF1499">
        <v>149.6</v>
      </c>
      <c r="AG1499">
        <v>3857.6495999999902</v>
      </c>
      <c r="AH1499">
        <f t="shared" si="33"/>
        <v>-3.2104000000099404</v>
      </c>
    </row>
    <row r="1500" spans="32:34" x14ac:dyDescent="0.25">
      <c r="AF1500">
        <v>149.69999999999999</v>
      </c>
      <c r="AG1500">
        <v>3857.6271999999999</v>
      </c>
      <c r="AH1500">
        <f t="shared" si="33"/>
        <v>-3.2328000000002248</v>
      </c>
    </row>
    <row r="1501" spans="32:34" x14ac:dyDescent="0.25">
      <c r="AF1501">
        <v>149.80000000000001</v>
      </c>
      <c r="AG1501">
        <v>3857.6048000000001</v>
      </c>
      <c r="AH1501">
        <f t="shared" si="33"/>
        <v>-3.2552000000000589</v>
      </c>
    </row>
    <row r="1502" spans="32:34" x14ac:dyDescent="0.25">
      <c r="AF1502">
        <v>149.9</v>
      </c>
      <c r="AG1502">
        <v>3857.5823999999998</v>
      </c>
      <c r="AH1502">
        <f t="shared" si="33"/>
        <v>-3.2776000000003478</v>
      </c>
    </row>
    <row r="1503" spans="32:34" x14ac:dyDescent="0.25">
      <c r="AF1503">
        <v>150</v>
      </c>
      <c r="AG1503">
        <v>3857.56</v>
      </c>
      <c r="AH1503">
        <f t="shared" si="33"/>
        <v>-3.3000000000001819</v>
      </c>
    </row>
    <row r="1504" spans="32:34" x14ac:dyDescent="0.25">
      <c r="AF1504">
        <v>150.1</v>
      </c>
      <c r="AG1504">
        <v>3857.5731999999998</v>
      </c>
      <c r="AH1504">
        <f t="shared" si="33"/>
        <v>-3.2868000000003121</v>
      </c>
    </row>
    <row r="1505" spans="32:34" x14ac:dyDescent="0.25">
      <c r="AF1505">
        <v>150.19999999999999</v>
      </c>
      <c r="AG1505">
        <v>3857.5864000000001</v>
      </c>
      <c r="AH1505">
        <f t="shared" si="33"/>
        <v>-3.2735999999999876</v>
      </c>
    </row>
    <row r="1506" spans="32:34" x14ac:dyDescent="0.25">
      <c r="AF1506">
        <v>150.30000000000001</v>
      </c>
      <c r="AG1506">
        <v>3857.5996</v>
      </c>
      <c r="AH1506">
        <f t="shared" si="33"/>
        <v>-3.2604000000001179</v>
      </c>
    </row>
    <row r="1507" spans="32:34" x14ac:dyDescent="0.25">
      <c r="AF1507">
        <v>150.4</v>
      </c>
      <c r="AG1507">
        <v>3857.6127999999999</v>
      </c>
      <c r="AH1507">
        <f t="shared" si="33"/>
        <v>-3.2472000000002481</v>
      </c>
    </row>
    <row r="1508" spans="32:34" x14ac:dyDescent="0.25">
      <c r="AF1508">
        <v>150.5</v>
      </c>
      <c r="AG1508">
        <v>3857.6259999999902</v>
      </c>
      <c r="AH1508">
        <f t="shared" si="33"/>
        <v>-3.234000000009928</v>
      </c>
    </row>
    <row r="1509" spans="32:34" x14ac:dyDescent="0.25">
      <c r="AF1509">
        <v>150.6</v>
      </c>
      <c r="AG1509">
        <v>3857.6392000000001</v>
      </c>
      <c r="AH1509">
        <f t="shared" si="33"/>
        <v>-3.2208000000000538</v>
      </c>
    </row>
    <row r="1510" spans="32:34" x14ac:dyDescent="0.25">
      <c r="AF1510">
        <v>150.69999999999999</v>
      </c>
      <c r="AG1510">
        <v>3857.6523999999999</v>
      </c>
      <c r="AH1510">
        <f t="shared" si="33"/>
        <v>-3.2076000000001841</v>
      </c>
    </row>
    <row r="1511" spans="32:34" x14ac:dyDescent="0.25">
      <c r="AF1511">
        <v>150.80000000000001</v>
      </c>
      <c r="AG1511">
        <v>3857.6655999999998</v>
      </c>
      <c r="AH1511">
        <f t="shared" si="33"/>
        <v>-3.1944000000003143</v>
      </c>
    </row>
    <row r="1512" spans="32:34" x14ac:dyDescent="0.25">
      <c r="AF1512">
        <v>150.9</v>
      </c>
      <c r="AG1512">
        <v>3857.6788000000001</v>
      </c>
      <c r="AH1512">
        <f t="shared" si="33"/>
        <v>-3.1811999999999898</v>
      </c>
    </row>
    <row r="1513" spans="32:34" x14ac:dyDescent="0.25">
      <c r="AF1513">
        <v>151</v>
      </c>
      <c r="AG1513">
        <v>3857.692</v>
      </c>
      <c r="AH1513">
        <f t="shared" si="33"/>
        <v>-3.1680000000001201</v>
      </c>
    </row>
    <row r="1514" spans="32:34" x14ac:dyDescent="0.25">
      <c r="AF1514">
        <v>151.1</v>
      </c>
      <c r="AG1514">
        <v>3857.7051999999999</v>
      </c>
      <c r="AH1514">
        <f t="shared" si="33"/>
        <v>-3.1548000000002503</v>
      </c>
    </row>
    <row r="1515" spans="32:34" x14ac:dyDescent="0.25">
      <c r="AF1515">
        <v>151.19999999999999</v>
      </c>
      <c r="AG1515">
        <v>3857.7183999999902</v>
      </c>
      <c r="AH1515">
        <f t="shared" si="33"/>
        <v>-3.1416000000099302</v>
      </c>
    </row>
    <row r="1516" spans="32:34" x14ac:dyDescent="0.25">
      <c r="AF1516">
        <v>151.30000000000001</v>
      </c>
      <c r="AG1516">
        <v>3857.7316000000001</v>
      </c>
      <c r="AH1516">
        <f t="shared" si="33"/>
        <v>-3.128400000000056</v>
      </c>
    </row>
    <row r="1517" spans="32:34" x14ac:dyDescent="0.25">
      <c r="AF1517">
        <v>151.4</v>
      </c>
      <c r="AG1517">
        <v>3857.7447999999999</v>
      </c>
      <c r="AH1517">
        <f t="shared" si="33"/>
        <v>-3.1152000000001863</v>
      </c>
    </row>
    <row r="1518" spans="32:34" x14ac:dyDescent="0.25">
      <c r="AF1518">
        <v>151.5</v>
      </c>
      <c r="AG1518">
        <v>3857.7579999999998</v>
      </c>
      <c r="AH1518">
        <f t="shared" si="33"/>
        <v>-3.1020000000003165</v>
      </c>
    </row>
    <row r="1519" spans="32:34" x14ac:dyDescent="0.25">
      <c r="AF1519">
        <v>151.6</v>
      </c>
      <c r="AG1519">
        <v>3857.7711999999901</v>
      </c>
      <c r="AH1519">
        <f t="shared" si="33"/>
        <v>-3.0888000000099964</v>
      </c>
    </row>
    <row r="1520" spans="32:34" x14ac:dyDescent="0.25">
      <c r="AF1520">
        <v>151.69999999999999</v>
      </c>
      <c r="AG1520">
        <v>3857.7844</v>
      </c>
      <c r="AH1520">
        <f t="shared" si="33"/>
        <v>-3.0756000000001222</v>
      </c>
    </row>
    <row r="1521" spans="32:34" x14ac:dyDescent="0.25">
      <c r="AF1521">
        <v>151.80000000000001</v>
      </c>
      <c r="AG1521">
        <v>3857.7975999999999</v>
      </c>
      <c r="AH1521">
        <f t="shared" si="33"/>
        <v>-3.0624000000002525</v>
      </c>
    </row>
    <row r="1522" spans="32:34" x14ac:dyDescent="0.25">
      <c r="AF1522">
        <v>151.9</v>
      </c>
      <c r="AG1522">
        <v>3857.8107999999902</v>
      </c>
      <c r="AH1522">
        <f t="shared" si="33"/>
        <v>-3.0492000000099324</v>
      </c>
    </row>
    <row r="1523" spans="32:34" x14ac:dyDescent="0.25">
      <c r="AF1523">
        <v>152</v>
      </c>
      <c r="AG1523">
        <v>3857.8240000000001</v>
      </c>
      <c r="AH1523">
        <f t="shared" si="33"/>
        <v>-3.0360000000000582</v>
      </c>
    </row>
    <row r="1524" spans="32:34" x14ac:dyDescent="0.25">
      <c r="AF1524">
        <v>152.1</v>
      </c>
      <c r="AG1524">
        <v>3857.8371999999999</v>
      </c>
      <c r="AH1524">
        <f t="shared" si="33"/>
        <v>-3.0228000000001884</v>
      </c>
    </row>
    <row r="1525" spans="32:34" x14ac:dyDescent="0.25">
      <c r="AF1525">
        <v>152.19999999999999</v>
      </c>
      <c r="AG1525">
        <v>3857.8503999999998</v>
      </c>
      <c r="AH1525">
        <f t="shared" si="33"/>
        <v>-3.0096000000003187</v>
      </c>
    </row>
    <row r="1526" spans="32:34" x14ac:dyDescent="0.25">
      <c r="AF1526">
        <v>152.30000000000001</v>
      </c>
      <c r="AG1526">
        <v>3857.8635999999901</v>
      </c>
      <c r="AH1526">
        <f t="shared" si="33"/>
        <v>-2.9964000000099986</v>
      </c>
    </row>
    <row r="1527" spans="32:34" x14ac:dyDescent="0.25">
      <c r="AF1527">
        <v>152.4</v>
      </c>
      <c r="AG1527">
        <v>3857.8768</v>
      </c>
      <c r="AH1527">
        <f t="shared" si="33"/>
        <v>-2.9832000000001244</v>
      </c>
    </row>
    <row r="1528" spans="32:34" x14ac:dyDescent="0.25">
      <c r="AF1528">
        <v>152.5</v>
      </c>
      <c r="AG1528">
        <v>3857.89</v>
      </c>
      <c r="AH1528">
        <f t="shared" si="33"/>
        <v>-2.9700000000002547</v>
      </c>
    </row>
    <row r="1529" spans="32:34" x14ac:dyDescent="0.25">
      <c r="AF1529">
        <v>152.6</v>
      </c>
      <c r="AG1529">
        <v>3857.9031999999902</v>
      </c>
      <c r="AH1529">
        <f t="shared" si="33"/>
        <v>-2.9568000000099346</v>
      </c>
    </row>
    <row r="1530" spans="32:34" x14ac:dyDescent="0.25">
      <c r="AF1530">
        <v>152.69999999999999</v>
      </c>
      <c r="AG1530">
        <v>3857.9164000000001</v>
      </c>
      <c r="AH1530">
        <f t="shared" si="33"/>
        <v>-2.9436000000000604</v>
      </c>
    </row>
    <row r="1531" spans="32:34" x14ac:dyDescent="0.25">
      <c r="AF1531">
        <v>152.80000000000001</v>
      </c>
      <c r="AG1531">
        <v>3857.9295999999999</v>
      </c>
      <c r="AH1531">
        <f t="shared" si="33"/>
        <v>-2.9304000000001906</v>
      </c>
    </row>
    <row r="1532" spans="32:34" x14ac:dyDescent="0.25">
      <c r="AF1532">
        <v>152.9</v>
      </c>
      <c r="AG1532">
        <v>3857.9427999999998</v>
      </c>
      <c r="AH1532">
        <f t="shared" si="33"/>
        <v>-2.9172000000003209</v>
      </c>
    </row>
    <row r="1533" spans="32:34" x14ac:dyDescent="0.25">
      <c r="AF1533">
        <v>153</v>
      </c>
      <c r="AG1533">
        <v>3857.9559999999901</v>
      </c>
      <c r="AH1533">
        <f t="shared" si="33"/>
        <v>-2.9040000000100008</v>
      </c>
    </row>
    <row r="1534" spans="32:34" x14ac:dyDescent="0.25">
      <c r="AF1534">
        <v>153.1</v>
      </c>
      <c r="AG1534">
        <v>3857.9692</v>
      </c>
      <c r="AH1534">
        <f t="shared" si="33"/>
        <v>-2.8908000000001266</v>
      </c>
    </row>
    <row r="1535" spans="32:34" x14ac:dyDescent="0.25">
      <c r="AF1535">
        <v>153.19999999999999</v>
      </c>
      <c r="AG1535">
        <v>3857.9823999999999</v>
      </c>
      <c r="AH1535">
        <f t="shared" si="33"/>
        <v>-2.8776000000002568</v>
      </c>
    </row>
    <row r="1536" spans="32:34" x14ac:dyDescent="0.25">
      <c r="AF1536">
        <v>153.30000000000001</v>
      </c>
      <c r="AG1536">
        <v>3857.9955999999902</v>
      </c>
      <c r="AH1536">
        <f t="shared" si="33"/>
        <v>-2.8644000000099368</v>
      </c>
    </row>
    <row r="1537" spans="32:34" x14ac:dyDescent="0.25">
      <c r="AF1537">
        <v>153.4</v>
      </c>
      <c r="AG1537">
        <v>3858.0088000000001</v>
      </c>
      <c r="AH1537">
        <f t="shared" si="33"/>
        <v>-2.8512000000000626</v>
      </c>
    </row>
    <row r="1538" spans="32:34" x14ac:dyDescent="0.25">
      <c r="AF1538">
        <v>153.5</v>
      </c>
      <c r="AG1538">
        <v>3858.0219999999999</v>
      </c>
      <c r="AH1538">
        <f t="shared" si="33"/>
        <v>-2.8380000000001928</v>
      </c>
    </row>
    <row r="1539" spans="32:34" x14ac:dyDescent="0.25">
      <c r="AF1539">
        <v>153.6</v>
      </c>
      <c r="AG1539">
        <v>3858.0351999999998</v>
      </c>
      <c r="AH1539">
        <f t="shared" si="33"/>
        <v>-2.8248000000003231</v>
      </c>
    </row>
    <row r="1540" spans="32:34" x14ac:dyDescent="0.25">
      <c r="AF1540">
        <v>153.69999999999999</v>
      </c>
      <c r="AG1540">
        <v>3858.0483999999901</v>
      </c>
      <c r="AH1540">
        <f t="shared" ref="AH1540:AH1603" si="34">AG1540-MAX($AG$3:$AG$2353)</f>
        <v>-2.811600000010003</v>
      </c>
    </row>
    <row r="1541" spans="32:34" x14ac:dyDescent="0.25">
      <c r="AF1541">
        <v>153.80000000000001</v>
      </c>
      <c r="AG1541">
        <v>3858.0616</v>
      </c>
      <c r="AH1541">
        <f t="shared" si="34"/>
        <v>-2.7984000000001288</v>
      </c>
    </row>
    <row r="1542" spans="32:34" x14ac:dyDescent="0.25">
      <c r="AF1542">
        <v>153.9</v>
      </c>
      <c r="AG1542">
        <v>3858.0747999999999</v>
      </c>
      <c r="AH1542">
        <f t="shared" si="34"/>
        <v>-2.785200000000259</v>
      </c>
    </row>
    <row r="1543" spans="32:34" x14ac:dyDescent="0.25">
      <c r="AF1543">
        <v>154</v>
      </c>
      <c r="AG1543">
        <v>3858.0879999999902</v>
      </c>
      <c r="AH1543">
        <f t="shared" si="34"/>
        <v>-2.772000000009939</v>
      </c>
    </row>
    <row r="1544" spans="32:34" x14ac:dyDescent="0.25">
      <c r="AF1544">
        <v>154.1</v>
      </c>
      <c r="AG1544">
        <v>3858.1011999999901</v>
      </c>
      <c r="AH1544">
        <f t="shared" si="34"/>
        <v>-2.7588000000100692</v>
      </c>
    </row>
    <row r="1545" spans="32:34" x14ac:dyDescent="0.25">
      <c r="AF1545">
        <v>154.19999999999999</v>
      </c>
      <c r="AG1545">
        <v>3858.1143999999999</v>
      </c>
      <c r="AH1545">
        <f t="shared" si="34"/>
        <v>-2.745600000000195</v>
      </c>
    </row>
    <row r="1546" spans="32:34" x14ac:dyDescent="0.25">
      <c r="AF1546">
        <v>154.30000000000001</v>
      </c>
      <c r="AG1546">
        <v>3858.1275999999998</v>
      </c>
      <c r="AH1546">
        <f t="shared" si="34"/>
        <v>-2.7324000000003252</v>
      </c>
    </row>
    <row r="1547" spans="32:34" x14ac:dyDescent="0.25">
      <c r="AF1547">
        <v>154.4</v>
      </c>
      <c r="AG1547">
        <v>3858.1407999999901</v>
      </c>
      <c r="AH1547">
        <f t="shared" si="34"/>
        <v>-2.7192000000100052</v>
      </c>
    </row>
    <row r="1548" spans="32:34" x14ac:dyDescent="0.25">
      <c r="AF1548">
        <v>154.5</v>
      </c>
      <c r="AG1548">
        <v>3858.154</v>
      </c>
      <c r="AH1548">
        <f t="shared" si="34"/>
        <v>-2.706000000000131</v>
      </c>
    </row>
    <row r="1549" spans="32:34" x14ac:dyDescent="0.25">
      <c r="AF1549">
        <v>154.6</v>
      </c>
      <c r="AG1549">
        <v>3858.1671999999999</v>
      </c>
      <c r="AH1549">
        <f t="shared" si="34"/>
        <v>-2.6928000000002612</v>
      </c>
    </row>
    <row r="1550" spans="32:34" x14ac:dyDescent="0.25">
      <c r="AF1550">
        <v>154.69999999999999</v>
      </c>
      <c r="AG1550">
        <v>3858.1803999999902</v>
      </c>
      <c r="AH1550">
        <f t="shared" si="34"/>
        <v>-2.6796000000099411</v>
      </c>
    </row>
    <row r="1551" spans="32:34" x14ac:dyDescent="0.25">
      <c r="AF1551">
        <v>154.80000000000001</v>
      </c>
      <c r="AG1551">
        <v>3858.1935999999901</v>
      </c>
      <c r="AH1551">
        <f t="shared" si="34"/>
        <v>-2.6664000000100714</v>
      </c>
    </row>
    <row r="1552" spans="32:34" x14ac:dyDescent="0.25">
      <c r="AF1552">
        <v>154.9</v>
      </c>
      <c r="AG1552">
        <v>3858.2067999999999</v>
      </c>
      <c r="AH1552">
        <f t="shared" si="34"/>
        <v>-2.6532000000001972</v>
      </c>
    </row>
    <row r="1553" spans="32:34" x14ac:dyDescent="0.25">
      <c r="AF1553">
        <v>155</v>
      </c>
      <c r="AG1553">
        <v>3858.22</v>
      </c>
      <c r="AH1553">
        <f t="shared" si="34"/>
        <v>-2.6400000000003274</v>
      </c>
    </row>
    <row r="1554" spans="32:34" x14ac:dyDescent="0.25">
      <c r="AF1554">
        <v>155.1</v>
      </c>
      <c r="AG1554">
        <v>3858.21179999999</v>
      </c>
      <c r="AH1554">
        <f t="shared" si="34"/>
        <v>-2.6482000000100925</v>
      </c>
    </row>
    <row r="1555" spans="32:34" x14ac:dyDescent="0.25">
      <c r="AF1555">
        <v>155.19999999999999</v>
      </c>
      <c r="AG1555">
        <v>3858.2035999999998</v>
      </c>
      <c r="AH1555">
        <f t="shared" si="34"/>
        <v>-2.6564000000003034</v>
      </c>
    </row>
    <row r="1556" spans="32:34" x14ac:dyDescent="0.25">
      <c r="AF1556">
        <v>155.30000000000001</v>
      </c>
      <c r="AG1556">
        <v>3858.1953999999901</v>
      </c>
      <c r="AH1556">
        <f t="shared" si="34"/>
        <v>-2.6646000000100685</v>
      </c>
    </row>
    <row r="1557" spans="32:34" x14ac:dyDescent="0.25">
      <c r="AF1557">
        <v>155.4</v>
      </c>
      <c r="AG1557">
        <v>3858.1871999999998</v>
      </c>
      <c r="AH1557">
        <f t="shared" si="34"/>
        <v>-2.6728000000002794</v>
      </c>
    </row>
    <row r="1558" spans="32:34" x14ac:dyDescent="0.25">
      <c r="AF1558">
        <v>155.5</v>
      </c>
      <c r="AG1558">
        <v>3858.1789999999901</v>
      </c>
      <c r="AH1558">
        <f t="shared" si="34"/>
        <v>-2.6810000000100445</v>
      </c>
    </row>
    <row r="1559" spans="32:34" x14ac:dyDescent="0.25">
      <c r="AF1559">
        <v>155.6</v>
      </c>
      <c r="AG1559">
        <v>3858.1707999999999</v>
      </c>
      <c r="AH1559">
        <f t="shared" si="34"/>
        <v>-2.6892000000002554</v>
      </c>
    </row>
    <row r="1560" spans="32:34" x14ac:dyDescent="0.25">
      <c r="AF1560">
        <v>155.69999999999999</v>
      </c>
      <c r="AG1560">
        <v>3858.1625999999901</v>
      </c>
      <c r="AH1560">
        <f t="shared" si="34"/>
        <v>-2.6974000000100204</v>
      </c>
    </row>
    <row r="1561" spans="32:34" x14ac:dyDescent="0.25">
      <c r="AF1561">
        <v>155.80000000000001</v>
      </c>
      <c r="AG1561">
        <v>3858.1543999999999</v>
      </c>
      <c r="AH1561">
        <f t="shared" si="34"/>
        <v>-2.7056000000002314</v>
      </c>
    </row>
    <row r="1562" spans="32:34" x14ac:dyDescent="0.25">
      <c r="AF1562">
        <v>155.9</v>
      </c>
      <c r="AG1562">
        <v>3858.1461999999901</v>
      </c>
      <c r="AH1562">
        <f t="shared" si="34"/>
        <v>-2.7138000000099964</v>
      </c>
    </row>
    <row r="1563" spans="32:34" x14ac:dyDescent="0.25">
      <c r="AF1563">
        <v>156</v>
      </c>
      <c r="AG1563">
        <v>3858.1379999999999</v>
      </c>
      <c r="AH1563">
        <f t="shared" si="34"/>
        <v>-2.7220000000002074</v>
      </c>
    </row>
    <row r="1564" spans="32:34" x14ac:dyDescent="0.25">
      <c r="AF1564">
        <v>156.1</v>
      </c>
      <c r="AG1564">
        <v>3858.1297999999902</v>
      </c>
      <c r="AH1564">
        <f t="shared" si="34"/>
        <v>-2.7302000000099724</v>
      </c>
    </row>
    <row r="1565" spans="32:34" x14ac:dyDescent="0.25">
      <c r="AF1565">
        <v>156.19999999999999</v>
      </c>
      <c r="AG1565">
        <v>3858.1215999999999</v>
      </c>
      <c r="AH1565">
        <f t="shared" si="34"/>
        <v>-2.7384000000001834</v>
      </c>
    </row>
    <row r="1566" spans="32:34" x14ac:dyDescent="0.25">
      <c r="AF1566">
        <v>156.30000000000001</v>
      </c>
      <c r="AG1566">
        <v>3858.1133999999902</v>
      </c>
      <c r="AH1566">
        <f t="shared" si="34"/>
        <v>-2.7466000000099484</v>
      </c>
    </row>
    <row r="1567" spans="32:34" x14ac:dyDescent="0.25">
      <c r="AF1567">
        <v>156.4</v>
      </c>
      <c r="AG1567">
        <v>3858.1052</v>
      </c>
      <c r="AH1567">
        <f t="shared" si="34"/>
        <v>-2.7548000000001593</v>
      </c>
    </row>
    <row r="1568" spans="32:34" x14ac:dyDescent="0.25">
      <c r="AF1568">
        <v>156.5</v>
      </c>
      <c r="AG1568">
        <v>3858.0969999999902</v>
      </c>
      <c r="AH1568">
        <f t="shared" si="34"/>
        <v>-2.7630000000099244</v>
      </c>
    </row>
    <row r="1569" spans="32:34" x14ac:dyDescent="0.25">
      <c r="AF1569">
        <v>156.6</v>
      </c>
      <c r="AG1569">
        <v>3858.0888</v>
      </c>
      <c r="AH1569">
        <f t="shared" si="34"/>
        <v>-2.7712000000001353</v>
      </c>
    </row>
    <row r="1570" spans="32:34" x14ac:dyDescent="0.25">
      <c r="AF1570">
        <v>156.69999999999999</v>
      </c>
      <c r="AG1570">
        <v>3858.0805999999998</v>
      </c>
      <c r="AH1570">
        <f t="shared" si="34"/>
        <v>-2.7794000000003507</v>
      </c>
    </row>
    <row r="1571" spans="32:34" x14ac:dyDescent="0.25">
      <c r="AF1571">
        <v>156.80000000000001</v>
      </c>
      <c r="AG1571">
        <v>3858.0724</v>
      </c>
      <c r="AH1571">
        <f t="shared" si="34"/>
        <v>-2.7876000000001113</v>
      </c>
    </row>
    <row r="1572" spans="32:34" x14ac:dyDescent="0.25">
      <c r="AF1572">
        <v>156.9</v>
      </c>
      <c r="AG1572">
        <v>3858.0641999999998</v>
      </c>
      <c r="AH1572">
        <f t="shared" si="34"/>
        <v>-2.7958000000003267</v>
      </c>
    </row>
    <row r="1573" spans="32:34" x14ac:dyDescent="0.25">
      <c r="AF1573">
        <v>157</v>
      </c>
      <c r="AG1573">
        <v>3858.056</v>
      </c>
      <c r="AH1573">
        <f t="shared" si="34"/>
        <v>-2.8040000000000873</v>
      </c>
    </row>
    <row r="1574" spans="32:34" x14ac:dyDescent="0.25">
      <c r="AF1574">
        <v>157.1</v>
      </c>
      <c r="AG1574">
        <v>3858.0477999999998</v>
      </c>
      <c r="AH1574">
        <f t="shared" si="34"/>
        <v>-2.8122000000003027</v>
      </c>
    </row>
    <row r="1575" spans="32:34" x14ac:dyDescent="0.25">
      <c r="AF1575">
        <v>157.19999999999999</v>
      </c>
      <c r="AG1575">
        <v>3858.0396000000001</v>
      </c>
      <c r="AH1575">
        <f t="shared" si="34"/>
        <v>-2.8204000000000633</v>
      </c>
    </row>
    <row r="1576" spans="32:34" x14ac:dyDescent="0.25">
      <c r="AF1576">
        <v>157.30000000000001</v>
      </c>
      <c r="AG1576">
        <v>3858.0313999999998</v>
      </c>
      <c r="AH1576">
        <f t="shared" si="34"/>
        <v>-2.8286000000002787</v>
      </c>
    </row>
    <row r="1577" spans="32:34" x14ac:dyDescent="0.25">
      <c r="AF1577">
        <v>157.4</v>
      </c>
      <c r="AG1577">
        <v>3858.0232000000001</v>
      </c>
      <c r="AH1577">
        <f t="shared" si="34"/>
        <v>-2.8368000000000393</v>
      </c>
    </row>
    <row r="1578" spans="32:34" x14ac:dyDescent="0.25">
      <c r="AF1578">
        <v>157.5</v>
      </c>
      <c r="AG1578">
        <v>3858.0149999999999</v>
      </c>
      <c r="AH1578">
        <f t="shared" si="34"/>
        <v>-2.8450000000002547</v>
      </c>
    </row>
    <row r="1579" spans="32:34" x14ac:dyDescent="0.25">
      <c r="AF1579">
        <v>157.6</v>
      </c>
      <c r="AG1579">
        <v>3858.0067999999901</v>
      </c>
      <c r="AH1579">
        <f t="shared" si="34"/>
        <v>-2.8532000000100197</v>
      </c>
    </row>
    <row r="1580" spans="32:34" x14ac:dyDescent="0.25">
      <c r="AF1580">
        <v>157.69999999999999</v>
      </c>
      <c r="AG1580">
        <v>3857.9985999999999</v>
      </c>
      <c r="AH1580">
        <f t="shared" si="34"/>
        <v>-2.8614000000002306</v>
      </c>
    </row>
    <row r="1581" spans="32:34" x14ac:dyDescent="0.25">
      <c r="AF1581">
        <v>157.80000000000001</v>
      </c>
      <c r="AG1581">
        <v>3857.9903999999901</v>
      </c>
      <c r="AH1581">
        <f t="shared" si="34"/>
        <v>-2.8696000000099957</v>
      </c>
    </row>
    <row r="1582" spans="32:34" x14ac:dyDescent="0.25">
      <c r="AF1582">
        <v>157.9</v>
      </c>
      <c r="AG1582">
        <v>3857.9821999999999</v>
      </c>
      <c r="AH1582">
        <f t="shared" si="34"/>
        <v>-2.8778000000002066</v>
      </c>
    </row>
    <row r="1583" spans="32:34" x14ac:dyDescent="0.25">
      <c r="AF1583">
        <v>158</v>
      </c>
      <c r="AG1583">
        <v>3857.9739999999902</v>
      </c>
      <c r="AH1583">
        <f t="shared" si="34"/>
        <v>-2.8860000000099717</v>
      </c>
    </row>
    <row r="1584" spans="32:34" x14ac:dyDescent="0.25">
      <c r="AF1584">
        <v>158.1</v>
      </c>
      <c r="AG1584">
        <v>3857.9657999999999</v>
      </c>
      <c r="AH1584">
        <f t="shared" si="34"/>
        <v>-2.8942000000001826</v>
      </c>
    </row>
    <row r="1585" spans="32:34" x14ac:dyDescent="0.25">
      <c r="AF1585">
        <v>158.19999999999999</v>
      </c>
      <c r="AG1585">
        <v>3857.9575999999902</v>
      </c>
      <c r="AH1585">
        <f t="shared" si="34"/>
        <v>-2.9024000000099477</v>
      </c>
    </row>
    <row r="1586" spans="32:34" x14ac:dyDescent="0.25">
      <c r="AF1586">
        <v>158.30000000000001</v>
      </c>
      <c r="AG1586">
        <v>3857.9494</v>
      </c>
      <c r="AH1586">
        <f t="shared" si="34"/>
        <v>-2.9106000000001586</v>
      </c>
    </row>
    <row r="1587" spans="32:34" x14ac:dyDescent="0.25">
      <c r="AF1587">
        <v>158.4</v>
      </c>
      <c r="AG1587">
        <v>3857.9411999999902</v>
      </c>
      <c r="AH1587">
        <f t="shared" si="34"/>
        <v>-2.9188000000099237</v>
      </c>
    </row>
    <row r="1588" spans="32:34" x14ac:dyDescent="0.25">
      <c r="AF1588">
        <v>158.5</v>
      </c>
      <c r="AG1588">
        <v>3857.933</v>
      </c>
      <c r="AH1588">
        <f t="shared" si="34"/>
        <v>-2.9270000000001346</v>
      </c>
    </row>
    <row r="1589" spans="32:34" x14ac:dyDescent="0.25">
      <c r="AF1589">
        <v>158.6</v>
      </c>
      <c r="AG1589">
        <v>3857.9247999999998</v>
      </c>
      <c r="AH1589">
        <f t="shared" si="34"/>
        <v>-2.93520000000035</v>
      </c>
    </row>
    <row r="1590" spans="32:34" x14ac:dyDescent="0.25">
      <c r="AF1590">
        <v>158.69999999999999</v>
      </c>
      <c r="AG1590">
        <v>3857.9166</v>
      </c>
      <c r="AH1590">
        <f t="shared" si="34"/>
        <v>-2.9434000000001106</v>
      </c>
    </row>
    <row r="1591" spans="32:34" x14ac:dyDescent="0.25">
      <c r="AF1591">
        <v>158.80000000000001</v>
      </c>
      <c r="AG1591">
        <v>3857.9083999999998</v>
      </c>
      <c r="AH1591">
        <f t="shared" si="34"/>
        <v>-2.951600000000326</v>
      </c>
    </row>
    <row r="1592" spans="32:34" x14ac:dyDescent="0.25">
      <c r="AF1592">
        <v>158.9</v>
      </c>
      <c r="AG1592">
        <v>3857.9002</v>
      </c>
      <c r="AH1592">
        <f t="shared" si="34"/>
        <v>-2.9598000000000866</v>
      </c>
    </row>
    <row r="1593" spans="32:34" x14ac:dyDescent="0.25">
      <c r="AF1593">
        <v>159</v>
      </c>
      <c r="AG1593">
        <v>3857.8919999999998</v>
      </c>
      <c r="AH1593">
        <f t="shared" si="34"/>
        <v>-2.968000000000302</v>
      </c>
    </row>
    <row r="1594" spans="32:34" x14ac:dyDescent="0.25">
      <c r="AF1594">
        <v>159.1</v>
      </c>
      <c r="AG1594">
        <v>3857.8838000000001</v>
      </c>
      <c r="AH1594">
        <f t="shared" si="34"/>
        <v>-2.9762000000000626</v>
      </c>
    </row>
    <row r="1595" spans="32:34" x14ac:dyDescent="0.25">
      <c r="AF1595">
        <v>159.19999999999999</v>
      </c>
      <c r="AG1595">
        <v>3857.8755999999998</v>
      </c>
      <c r="AH1595">
        <f t="shared" si="34"/>
        <v>-2.9844000000002779</v>
      </c>
    </row>
    <row r="1596" spans="32:34" x14ac:dyDescent="0.25">
      <c r="AF1596">
        <v>159.30000000000001</v>
      </c>
      <c r="AG1596">
        <v>3857.8674000000001</v>
      </c>
      <c r="AH1596">
        <f t="shared" si="34"/>
        <v>-2.9926000000000386</v>
      </c>
    </row>
    <row r="1597" spans="32:34" x14ac:dyDescent="0.25">
      <c r="AF1597">
        <v>159.4</v>
      </c>
      <c r="AG1597">
        <v>3857.8591999999999</v>
      </c>
      <c r="AH1597">
        <f t="shared" si="34"/>
        <v>-3.0008000000002539</v>
      </c>
    </row>
    <row r="1598" spans="32:34" x14ac:dyDescent="0.25">
      <c r="AF1598">
        <v>159.5</v>
      </c>
      <c r="AG1598">
        <v>3857.8510000000001</v>
      </c>
      <c r="AH1598">
        <f t="shared" si="34"/>
        <v>-3.0090000000000146</v>
      </c>
    </row>
    <row r="1599" spans="32:34" x14ac:dyDescent="0.25">
      <c r="AF1599">
        <v>159.6</v>
      </c>
      <c r="AG1599">
        <v>3857.8427999999999</v>
      </c>
      <c r="AH1599">
        <f t="shared" si="34"/>
        <v>-3.0172000000002299</v>
      </c>
    </row>
    <row r="1600" spans="32:34" x14ac:dyDescent="0.25">
      <c r="AF1600">
        <v>159.69999999999999</v>
      </c>
      <c r="AG1600">
        <v>3857.8346000000001</v>
      </c>
      <c r="AH1600">
        <f t="shared" si="34"/>
        <v>-3.0253999999999905</v>
      </c>
    </row>
    <row r="1601" spans="32:34" x14ac:dyDescent="0.25">
      <c r="AF1601">
        <v>159.80000000000001</v>
      </c>
      <c r="AG1601">
        <v>3857.8263999999999</v>
      </c>
      <c r="AH1601">
        <f t="shared" si="34"/>
        <v>-3.0336000000002059</v>
      </c>
    </row>
    <row r="1602" spans="32:34" x14ac:dyDescent="0.25">
      <c r="AF1602">
        <v>159.9</v>
      </c>
      <c r="AG1602">
        <v>3857.8182000000002</v>
      </c>
      <c r="AH1602">
        <f t="shared" si="34"/>
        <v>-3.0417999999999665</v>
      </c>
    </row>
    <row r="1603" spans="32:34" x14ac:dyDescent="0.25">
      <c r="AF1603">
        <v>160</v>
      </c>
      <c r="AG1603">
        <v>3857.81</v>
      </c>
      <c r="AH1603">
        <f t="shared" si="34"/>
        <v>-3.0500000000001819</v>
      </c>
    </row>
    <row r="1604" spans="32:34" x14ac:dyDescent="0.25">
      <c r="AF1604">
        <v>160.1</v>
      </c>
      <c r="AG1604">
        <v>3857.8105999999998</v>
      </c>
      <c r="AH1604">
        <f t="shared" ref="AH1604:AH1667" si="35">AG1604-MAX($AG$3:$AG$2353)</f>
        <v>-3.0494000000003325</v>
      </c>
    </row>
    <row r="1605" spans="32:34" x14ac:dyDescent="0.25">
      <c r="AF1605">
        <v>160.19999999999999</v>
      </c>
      <c r="AG1605">
        <v>3857.8112000000001</v>
      </c>
      <c r="AH1605">
        <f t="shared" si="35"/>
        <v>-3.0488000000000284</v>
      </c>
    </row>
    <row r="1606" spans="32:34" x14ac:dyDescent="0.25">
      <c r="AF1606">
        <v>160.30000000000001</v>
      </c>
      <c r="AG1606">
        <v>3857.8117999999999</v>
      </c>
      <c r="AH1606">
        <f t="shared" si="35"/>
        <v>-3.048200000000179</v>
      </c>
    </row>
    <row r="1607" spans="32:34" x14ac:dyDescent="0.25">
      <c r="AF1607">
        <v>160.4</v>
      </c>
      <c r="AG1607">
        <v>3857.8123999999998</v>
      </c>
      <c r="AH1607">
        <f t="shared" si="35"/>
        <v>-3.0476000000003296</v>
      </c>
    </row>
    <row r="1608" spans="32:34" x14ac:dyDescent="0.25">
      <c r="AF1608">
        <v>160.5</v>
      </c>
      <c r="AG1608">
        <v>3857.8130000000001</v>
      </c>
      <c r="AH1608">
        <f t="shared" si="35"/>
        <v>-3.0470000000000255</v>
      </c>
    </row>
    <row r="1609" spans="32:34" x14ac:dyDescent="0.25">
      <c r="AF1609">
        <v>160.6</v>
      </c>
      <c r="AG1609">
        <v>3857.8136</v>
      </c>
      <c r="AH1609">
        <f t="shared" si="35"/>
        <v>-3.0464000000001761</v>
      </c>
    </row>
    <row r="1610" spans="32:34" x14ac:dyDescent="0.25">
      <c r="AF1610">
        <v>160.69999999999999</v>
      </c>
      <c r="AG1610">
        <v>3857.8141999999998</v>
      </c>
      <c r="AH1610">
        <f t="shared" si="35"/>
        <v>-3.0458000000003267</v>
      </c>
    </row>
    <row r="1611" spans="32:34" x14ac:dyDescent="0.25">
      <c r="AF1611">
        <v>160.80000000000001</v>
      </c>
      <c r="AG1611">
        <v>3857.8148000000001</v>
      </c>
      <c r="AH1611">
        <f t="shared" si="35"/>
        <v>-3.0452000000000226</v>
      </c>
    </row>
    <row r="1612" spans="32:34" x14ac:dyDescent="0.25">
      <c r="AF1612">
        <v>160.9</v>
      </c>
      <c r="AG1612">
        <v>3857.8154</v>
      </c>
      <c r="AH1612">
        <f t="shared" si="35"/>
        <v>-3.0446000000001732</v>
      </c>
    </row>
    <row r="1613" spans="32:34" x14ac:dyDescent="0.25">
      <c r="AF1613">
        <v>161</v>
      </c>
      <c r="AG1613">
        <v>3857.8159999999998</v>
      </c>
      <c r="AH1613">
        <f t="shared" si="35"/>
        <v>-3.0440000000003238</v>
      </c>
    </row>
    <row r="1614" spans="32:34" x14ac:dyDescent="0.25">
      <c r="AF1614">
        <v>161.1</v>
      </c>
      <c r="AG1614">
        <v>3857.8166000000001</v>
      </c>
      <c r="AH1614">
        <f t="shared" si="35"/>
        <v>-3.0434000000000196</v>
      </c>
    </row>
    <row r="1615" spans="32:34" x14ac:dyDescent="0.25">
      <c r="AF1615">
        <v>161.19999999999999</v>
      </c>
      <c r="AG1615">
        <v>3857.8172</v>
      </c>
      <c r="AH1615">
        <f t="shared" si="35"/>
        <v>-3.0428000000001703</v>
      </c>
    </row>
    <row r="1616" spans="32:34" x14ac:dyDescent="0.25">
      <c r="AF1616">
        <v>161.30000000000001</v>
      </c>
      <c r="AG1616">
        <v>3857.8177999999998</v>
      </c>
      <c r="AH1616">
        <f t="shared" si="35"/>
        <v>-3.0422000000003209</v>
      </c>
    </row>
    <row r="1617" spans="32:34" x14ac:dyDescent="0.25">
      <c r="AF1617">
        <v>161.4</v>
      </c>
      <c r="AG1617">
        <v>3857.8184000000001</v>
      </c>
      <c r="AH1617">
        <f t="shared" si="35"/>
        <v>-3.0416000000000167</v>
      </c>
    </row>
    <row r="1618" spans="32:34" x14ac:dyDescent="0.25">
      <c r="AF1618">
        <v>161.5</v>
      </c>
      <c r="AG1618">
        <v>3857.819</v>
      </c>
      <c r="AH1618">
        <f t="shared" si="35"/>
        <v>-3.0410000000001673</v>
      </c>
    </row>
    <row r="1619" spans="32:34" x14ac:dyDescent="0.25">
      <c r="AF1619">
        <v>161.6</v>
      </c>
      <c r="AG1619">
        <v>3857.8195999999998</v>
      </c>
      <c r="AH1619">
        <f t="shared" si="35"/>
        <v>-3.040400000000318</v>
      </c>
    </row>
    <row r="1620" spans="32:34" x14ac:dyDescent="0.25">
      <c r="AF1620">
        <v>161.69999999999999</v>
      </c>
      <c r="AG1620">
        <v>3857.8202000000001</v>
      </c>
      <c r="AH1620">
        <f t="shared" si="35"/>
        <v>-3.0398000000000138</v>
      </c>
    </row>
    <row r="1621" spans="32:34" x14ac:dyDescent="0.25">
      <c r="AF1621">
        <v>161.80000000000001</v>
      </c>
      <c r="AG1621">
        <v>3857.8208</v>
      </c>
      <c r="AH1621">
        <f t="shared" si="35"/>
        <v>-3.0392000000001644</v>
      </c>
    </row>
    <row r="1622" spans="32:34" x14ac:dyDescent="0.25">
      <c r="AF1622">
        <v>161.9</v>
      </c>
      <c r="AG1622">
        <v>3857.8213999999998</v>
      </c>
      <c r="AH1622">
        <f t="shared" si="35"/>
        <v>-3.038600000000315</v>
      </c>
    </row>
    <row r="1623" spans="32:34" x14ac:dyDescent="0.25">
      <c r="AF1623">
        <v>162</v>
      </c>
      <c r="AG1623">
        <v>3857.8220000000001</v>
      </c>
      <c r="AH1623">
        <f t="shared" si="35"/>
        <v>-3.0380000000000109</v>
      </c>
    </row>
    <row r="1624" spans="32:34" x14ac:dyDescent="0.25">
      <c r="AF1624">
        <v>162.1</v>
      </c>
      <c r="AG1624">
        <v>3857.8226</v>
      </c>
      <c r="AH1624">
        <f t="shared" si="35"/>
        <v>-3.0374000000001615</v>
      </c>
    </row>
    <row r="1625" spans="32:34" x14ac:dyDescent="0.25">
      <c r="AF1625">
        <v>162.19999999999999</v>
      </c>
      <c r="AG1625">
        <v>3857.8231999999998</v>
      </c>
      <c r="AH1625">
        <f t="shared" si="35"/>
        <v>-3.0368000000003121</v>
      </c>
    </row>
    <row r="1626" spans="32:34" x14ac:dyDescent="0.25">
      <c r="AF1626">
        <v>162.30000000000001</v>
      </c>
      <c r="AG1626">
        <v>3857.8238000000001</v>
      </c>
      <c r="AH1626">
        <f t="shared" si="35"/>
        <v>-3.036200000000008</v>
      </c>
    </row>
    <row r="1627" spans="32:34" x14ac:dyDescent="0.25">
      <c r="AF1627">
        <v>162.4</v>
      </c>
      <c r="AG1627">
        <v>3857.8244</v>
      </c>
      <c r="AH1627">
        <f t="shared" si="35"/>
        <v>-3.0356000000001586</v>
      </c>
    </row>
    <row r="1628" spans="32:34" x14ac:dyDescent="0.25">
      <c r="AF1628">
        <v>162.5</v>
      </c>
      <c r="AG1628">
        <v>3857.8249999999998</v>
      </c>
      <c r="AH1628">
        <f t="shared" si="35"/>
        <v>-3.0350000000003092</v>
      </c>
    </row>
    <row r="1629" spans="32:34" x14ac:dyDescent="0.25">
      <c r="AF1629">
        <v>162.6</v>
      </c>
      <c r="AG1629">
        <v>3857.8256000000001</v>
      </c>
      <c r="AH1629">
        <f t="shared" si="35"/>
        <v>-3.0344000000000051</v>
      </c>
    </row>
    <row r="1630" spans="32:34" x14ac:dyDescent="0.25">
      <c r="AF1630">
        <v>162.69999999999999</v>
      </c>
      <c r="AG1630">
        <v>3857.8262</v>
      </c>
      <c r="AH1630">
        <f t="shared" si="35"/>
        <v>-3.0338000000001557</v>
      </c>
    </row>
    <row r="1631" spans="32:34" x14ac:dyDescent="0.25">
      <c r="AF1631">
        <v>162.80000000000001</v>
      </c>
      <c r="AG1631">
        <v>3857.8267999999998</v>
      </c>
      <c r="AH1631">
        <f t="shared" si="35"/>
        <v>-3.0332000000003063</v>
      </c>
    </row>
    <row r="1632" spans="32:34" x14ac:dyDescent="0.25">
      <c r="AF1632">
        <v>162.9</v>
      </c>
      <c r="AG1632">
        <v>3857.8274000000001</v>
      </c>
      <c r="AH1632">
        <f t="shared" si="35"/>
        <v>-3.0326000000000022</v>
      </c>
    </row>
    <row r="1633" spans="32:34" x14ac:dyDescent="0.25">
      <c r="AF1633">
        <v>163</v>
      </c>
      <c r="AG1633">
        <v>3857.828</v>
      </c>
      <c r="AH1633">
        <f t="shared" si="35"/>
        <v>-3.0320000000001528</v>
      </c>
    </row>
    <row r="1634" spans="32:34" x14ac:dyDescent="0.25">
      <c r="AF1634">
        <v>163.1</v>
      </c>
      <c r="AG1634">
        <v>3857.8285999999998</v>
      </c>
      <c r="AH1634">
        <f t="shared" si="35"/>
        <v>-3.0314000000003034</v>
      </c>
    </row>
    <row r="1635" spans="32:34" x14ac:dyDescent="0.25">
      <c r="AF1635">
        <v>163.19999999999999</v>
      </c>
      <c r="AG1635">
        <v>3857.8292000000001</v>
      </c>
      <c r="AH1635">
        <f t="shared" si="35"/>
        <v>-3.0307999999999993</v>
      </c>
    </row>
    <row r="1636" spans="32:34" x14ac:dyDescent="0.25">
      <c r="AF1636">
        <v>163.30000000000001</v>
      </c>
      <c r="AG1636">
        <v>3857.8298</v>
      </c>
      <c r="AH1636">
        <f t="shared" si="35"/>
        <v>-3.0302000000001499</v>
      </c>
    </row>
    <row r="1637" spans="32:34" x14ac:dyDescent="0.25">
      <c r="AF1637">
        <v>163.4</v>
      </c>
      <c r="AG1637">
        <v>3857.8303999999998</v>
      </c>
      <c r="AH1637">
        <f t="shared" si="35"/>
        <v>-3.0296000000003005</v>
      </c>
    </row>
    <row r="1638" spans="32:34" x14ac:dyDescent="0.25">
      <c r="AF1638">
        <v>163.5</v>
      </c>
      <c r="AG1638">
        <v>3857.8310000000001</v>
      </c>
      <c r="AH1638">
        <f t="shared" si="35"/>
        <v>-3.0289999999999964</v>
      </c>
    </row>
    <row r="1639" spans="32:34" x14ac:dyDescent="0.25">
      <c r="AF1639">
        <v>163.6</v>
      </c>
      <c r="AG1639">
        <v>3857.8316</v>
      </c>
      <c r="AH1639">
        <f t="shared" si="35"/>
        <v>-3.028400000000147</v>
      </c>
    </row>
    <row r="1640" spans="32:34" x14ac:dyDescent="0.25">
      <c r="AF1640">
        <v>163.69999999999999</v>
      </c>
      <c r="AG1640">
        <v>3857.8321999999998</v>
      </c>
      <c r="AH1640">
        <f t="shared" si="35"/>
        <v>-3.0278000000002976</v>
      </c>
    </row>
    <row r="1641" spans="32:34" x14ac:dyDescent="0.25">
      <c r="AF1641">
        <v>163.80000000000001</v>
      </c>
      <c r="AG1641">
        <v>3857.8328000000001</v>
      </c>
      <c r="AH1641">
        <f t="shared" si="35"/>
        <v>-3.0271999999999935</v>
      </c>
    </row>
    <row r="1642" spans="32:34" x14ac:dyDescent="0.25">
      <c r="AF1642">
        <v>163.9</v>
      </c>
      <c r="AG1642">
        <v>3857.8334</v>
      </c>
      <c r="AH1642">
        <f t="shared" si="35"/>
        <v>-3.0266000000001441</v>
      </c>
    </row>
    <row r="1643" spans="32:34" x14ac:dyDescent="0.25">
      <c r="AF1643">
        <v>164</v>
      </c>
      <c r="AG1643">
        <v>3857.8339999999998</v>
      </c>
      <c r="AH1643">
        <f t="shared" si="35"/>
        <v>-3.0260000000002947</v>
      </c>
    </row>
    <row r="1644" spans="32:34" x14ac:dyDescent="0.25">
      <c r="AF1644">
        <v>164.1</v>
      </c>
      <c r="AG1644">
        <v>3857.8346000000001</v>
      </c>
      <c r="AH1644">
        <f t="shared" si="35"/>
        <v>-3.0253999999999905</v>
      </c>
    </row>
    <row r="1645" spans="32:34" x14ac:dyDescent="0.25">
      <c r="AF1645">
        <v>164.2</v>
      </c>
      <c r="AG1645">
        <v>3857.8352</v>
      </c>
      <c r="AH1645">
        <f t="shared" si="35"/>
        <v>-3.0248000000001412</v>
      </c>
    </row>
    <row r="1646" spans="32:34" x14ac:dyDescent="0.25">
      <c r="AF1646">
        <v>164.3</v>
      </c>
      <c r="AG1646">
        <v>3857.8357999999998</v>
      </c>
      <c r="AH1646">
        <f t="shared" si="35"/>
        <v>-3.0242000000002918</v>
      </c>
    </row>
    <row r="1647" spans="32:34" x14ac:dyDescent="0.25">
      <c r="AF1647">
        <v>164.4</v>
      </c>
      <c r="AG1647">
        <v>3857.8364000000001</v>
      </c>
      <c r="AH1647">
        <f t="shared" si="35"/>
        <v>-3.0235999999999876</v>
      </c>
    </row>
    <row r="1648" spans="32:34" x14ac:dyDescent="0.25">
      <c r="AF1648">
        <v>164.5</v>
      </c>
      <c r="AG1648">
        <v>3857.837</v>
      </c>
      <c r="AH1648">
        <f t="shared" si="35"/>
        <v>-3.0230000000001382</v>
      </c>
    </row>
    <row r="1649" spans="32:34" x14ac:dyDescent="0.25">
      <c r="AF1649">
        <v>164.6</v>
      </c>
      <c r="AG1649">
        <v>3857.8375999999998</v>
      </c>
      <c r="AH1649">
        <f t="shared" si="35"/>
        <v>-3.0224000000002889</v>
      </c>
    </row>
    <row r="1650" spans="32:34" x14ac:dyDescent="0.25">
      <c r="AF1650">
        <v>164.7</v>
      </c>
      <c r="AG1650">
        <v>3857.8382000000001</v>
      </c>
      <c r="AH1650">
        <f t="shared" si="35"/>
        <v>-3.0217999999999847</v>
      </c>
    </row>
    <row r="1651" spans="32:34" x14ac:dyDescent="0.25">
      <c r="AF1651">
        <v>164.8</v>
      </c>
      <c r="AG1651">
        <v>3857.8388</v>
      </c>
      <c r="AH1651">
        <f t="shared" si="35"/>
        <v>-3.0212000000001353</v>
      </c>
    </row>
    <row r="1652" spans="32:34" x14ac:dyDescent="0.25">
      <c r="AF1652">
        <v>164.9</v>
      </c>
      <c r="AG1652">
        <v>3857.8393999999998</v>
      </c>
      <c r="AH1652">
        <f t="shared" si="35"/>
        <v>-3.0206000000002859</v>
      </c>
    </row>
    <row r="1653" spans="32:34" x14ac:dyDescent="0.25">
      <c r="AF1653">
        <v>165</v>
      </c>
      <c r="AG1653">
        <v>3857.84</v>
      </c>
      <c r="AH1653">
        <f t="shared" si="35"/>
        <v>-3.0199999999999818</v>
      </c>
    </row>
    <row r="1654" spans="32:34" x14ac:dyDescent="0.25">
      <c r="AF1654">
        <v>165.1</v>
      </c>
      <c r="AG1654">
        <v>3857.8402000000001</v>
      </c>
      <c r="AH1654">
        <f t="shared" si="35"/>
        <v>-3.019800000000032</v>
      </c>
    </row>
    <row r="1655" spans="32:34" x14ac:dyDescent="0.25">
      <c r="AF1655">
        <v>165.2</v>
      </c>
      <c r="AG1655">
        <v>3857.8404</v>
      </c>
      <c r="AH1655">
        <f t="shared" si="35"/>
        <v>-3.0196000000000822</v>
      </c>
    </row>
    <row r="1656" spans="32:34" x14ac:dyDescent="0.25">
      <c r="AF1656">
        <v>165.3</v>
      </c>
      <c r="AG1656">
        <v>3857.8406</v>
      </c>
      <c r="AH1656">
        <f t="shared" si="35"/>
        <v>-3.0194000000001324</v>
      </c>
    </row>
    <row r="1657" spans="32:34" x14ac:dyDescent="0.25">
      <c r="AF1657">
        <v>165.4</v>
      </c>
      <c r="AG1657">
        <v>3857.8407999999999</v>
      </c>
      <c r="AH1657">
        <f t="shared" si="35"/>
        <v>-3.0192000000001826</v>
      </c>
    </row>
    <row r="1658" spans="32:34" x14ac:dyDescent="0.25">
      <c r="AF1658">
        <v>165.5</v>
      </c>
      <c r="AG1658">
        <v>3857.8409999999999</v>
      </c>
      <c r="AH1658">
        <f t="shared" si="35"/>
        <v>-3.0190000000002328</v>
      </c>
    </row>
    <row r="1659" spans="32:34" x14ac:dyDescent="0.25">
      <c r="AF1659">
        <v>165.6</v>
      </c>
      <c r="AG1659">
        <v>3857.8411999999998</v>
      </c>
      <c r="AH1659">
        <f t="shared" si="35"/>
        <v>-3.018800000000283</v>
      </c>
    </row>
    <row r="1660" spans="32:34" x14ac:dyDescent="0.25">
      <c r="AF1660">
        <v>165.7</v>
      </c>
      <c r="AG1660">
        <v>3857.8413999999998</v>
      </c>
      <c r="AH1660">
        <f t="shared" si="35"/>
        <v>-3.0186000000003332</v>
      </c>
    </row>
    <row r="1661" spans="32:34" x14ac:dyDescent="0.25">
      <c r="AF1661">
        <v>165.8</v>
      </c>
      <c r="AG1661">
        <v>3857.8416000000002</v>
      </c>
      <c r="AH1661">
        <f t="shared" si="35"/>
        <v>-3.0183999999999287</v>
      </c>
    </row>
    <row r="1662" spans="32:34" x14ac:dyDescent="0.25">
      <c r="AF1662">
        <v>165.9</v>
      </c>
      <c r="AG1662">
        <v>3857.8418000000001</v>
      </c>
      <c r="AH1662">
        <f t="shared" si="35"/>
        <v>-3.0181999999999789</v>
      </c>
    </row>
    <row r="1663" spans="32:34" x14ac:dyDescent="0.25">
      <c r="AF1663">
        <v>166</v>
      </c>
      <c r="AG1663">
        <v>3857.8420000000001</v>
      </c>
      <c r="AH1663">
        <f t="shared" si="35"/>
        <v>-3.0180000000000291</v>
      </c>
    </row>
    <row r="1664" spans="32:34" x14ac:dyDescent="0.25">
      <c r="AF1664">
        <v>166.1</v>
      </c>
      <c r="AG1664">
        <v>3857.8422</v>
      </c>
      <c r="AH1664">
        <f t="shared" si="35"/>
        <v>-3.0178000000000793</v>
      </c>
    </row>
    <row r="1665" spans="32:34" x14ac:dyDescent="0.25">
      <c r="AF1665">
        <v>166.2</v>
      </c>
      <c r="AG1665">
        <v>3857.8424</v>
      </c>
      <c r="AH1665">
        <f t="shared" si="35"/>
        <v>-3.0176000000001295</v>
      </c>
    </row>
    <row r="1666" spans="32:34" x14ac:dyDescent="0.25">
      <c r="AF1666">
        <v>166.3</v>
      </c>
      <c r="AG1666">
        <v>3857.8425999999999</v>
      </c>
      <c r="AH1666">
        <f t="shared" si="35"/>
        <v>-3.0174000000001797</v>
      </c>
    </row>
    <row r="1667" spans="32:34" x14ac:dyDescent="0.25">
      <c r="AF1667">
        <v>166.4</v>
      </c>
      <c r="AG1667">
        <v>3857.8427999999999</v>
      </c>
      <c r="AH1667">
        <f t="shared" si="35"/>
        <v>-3.0172000000002299</v>
      </c>
    </row>
    <row r="1668" spans="32:34" x14ac:dyDescent="0.25">
      <c r="AF1668">
        <v>166.5</v>
      </c>
      <c r="AG1668">
        <v>3857.8429999999998</v>
      </c>
      <c r="AH1668">
        <f t="shared" ref="AH1668:AH1731" si="36">AG1668-MAX($AG$3:$AG$2353)</f>
        <v>-3.0170000000002801</v>
      </c>
    </row>
    <row r="1669" spans="32:34" x14ac:dyDescent="0.25">
      <c r="AF1669">
        <v>166.6</v>
      </c>
      <c r="AG1669">
        <v>3857.8431999999998</v>
      </c>
      <c r="AH1669">
        <f t="shared" si="36"/>
        <v>-3.0168000000003303</v>
      </c>
    </row>
    <row r="1670" spans="32:34" x14ac:dyDescent="0.25">
      <c r="AF1670">
        <v>166.7</v>
      </c>
      <c r="AG1670">
        <v>3857.8434000000002</v>
      </c>
      <c r="AH1670">
        <f t="shared" si="36"/>
        <v>-3.0165999999999258</v>
      </c>
    </row>
    <row r="1671" spans="32:34" x14ac:dyDescent="0.25">
      <c r="AF1671">
        <v>166.8</v>
      </c>
      <c r="AG1671">
        <v>3857.8436000000002</v>
      </c>
      <c r="AH1671">
        <f t="shared" si="36"/>
        <v>-3.016399999999976</v>
      </c>
    </row>
    <row r="1672" spans="32:34" x14ac:dyDescent="0.25">
      <c r="AF1672">
        <v>166.9</v>
      </c>
      <c r="AG1672">
        <v>3857.8438000000001</v>
      </c>
      <c r="AH1672">
        <f t="shared" si="36"/>
        <v>-3.0162000000000262</v>
      </c>
    </row>
    <row r="1673" spans="32:34" x14ac:dyDescent="0.25">
      <c r="AF1673">
        <v>167</v>
      </c>
      <c r="AG1673">
        <v>3857.8440000000001</v>
      </c>
      <c r="AH1673">
        <f t="shared" si="36"/>
        <v>-3.0160000000000764</v>
      </c>
    </row>
    <row r="1674" spans="32:34" x14ac:dyDescent="0.25">
      <c r="AF1674">
        <v>167.1</v>
      </c>
      <c r="AG1674">
        <v>3857.8442</v>
      </c>
      <c r="AH1674">
        <f t="shared" si="36"/>
        <v>-3.0158000000001266</v>
      </c>
    </row>
    <row r="1675" spans="32:34" x14ac:dyDescent="0.25">
      <c r="AF1675">
        <v>167.2</v>
      </c>
      <c r="AG1675">
        <v>3857.8444</v>
      </c>
      <c r="AH1675">
        <f t="shared" si="36"/>
        <v>-3.0156000000001768</v>
      </c>
    </row>
    <row r="1676" spans="32:34" x14ac:dyDescent="0.25">
      <c r="AF1676">
        <v>167.3</v>
      </c>
      <c r="AG1676">
        <v>3857.8445999999999</v>
      </c>
      <c r="AH1676">
        <f t="shared" si="36"/>
        <v>-3.015400000000227</v>
      </c>
    </row>
    <row r="1677" spans="32:34" x14ac:dyDescent="0.25">
      <c r="AF1677">
        <v>167.4</v>
      </c>
      <c r="AG1677">
        <v>3857.8447999999999</v>
      </c>
      <c r="AH1677">
        <f t="shared" si="36"/>
        <v>-3.0152000000002772</v>
      </c>
    </row>
    <row r="1678" spans="32:34" x14ac:dyDescent="0.25">
      <c r="AF1678">
        <v>167.5</v>
      </c>
      <c r="AG1678">
        <v>3857.8449999999998</v>
      </c>
      <c r="AH1678">
        <f t="shared" si="36"/>
        <v>-3.0150000000003274</v>
      </c>
    </row>
    <row r="1679" spans="32:34" x14ac:dyDescent="0.25">
      <c r="AF1679">
        <v>167.6</v>
      </c>
      <c r="AG1679">
        <v>3857.8452000000002</v>
      </c>
      <c r="AH1679">
        <f t="shared" si="36"/>
        <v>-3.0147999999999229</v>
      </c>
    </row>
    <row r="1680" spans="32:34" x14ac:dyDescent="0.25">
      <c r="AF1680">
        <v>167.7</v>
      </c>
      <c r="AG1680">
        <v>3857.8454000000002</v>
      </c>
      <c r="AH1680">
        <f t="shared" si="36"/>
        <v>-3.0145999999999731</v>
      </c>
    </row>
    <row r="1681" spans="32:34" x14ac:dyDescent="0.25">
      <c r="AF1681">
        <v>167.8</v>
      </c>
      <c r="AG1681">
        <v>3857.8456000000001</v>
      </c>
      <c r="AH1681">
        <f t="shared" si="36"/>
        <v>-3.0144000000000233</v>
      </c>
    </row>
    <row r="1682" spans="32:34" x14ac:dyDescent="0.25">
      <c r="AF1682">
        <v>167.9</v>
      </c>
      <c r="AG1682">
        <v>3857.8458000000001</v>
      </c>
      <c r="AH1682">
        <f t="shared" si="36"/>
        <v>-3.0142000000000735</v>
      </c>
    </row>
    <row r="1683" spans="32:34" x14ac:dyDescent="0.25">
      <c r="AF1683">
        <v>168</v>
      </c>
      <c r="AG1683">
        <v>3857.846</v>
      </c>
      <c r="AH1683">
        <f t="shared" si="36"/>
        <v>-3.0140000000001237</v>
      </c>
    </row>
    <row r="1684" spans="32:34" x14ac:dyDescent="0.25">
      <c r="AF1684">
        <v>168.1</v>
      </c>
      <c r="AG1684">
        <v>3857.8462</v>
      </c>
      <c r="AH1684">
        <f t="shared" si="36"/>
        <v>-3.0138000000001739</v>
      </c>
    </row>
    <row r="1685" spans="32:34" x14ac:dyDescent="0.25">
      <c r="AF1685">
        <v>168.2</v>
      </c>
      <c r="AG1685">
        <v>3857.8463999999999</v>
      </c>
      <c r="AH1685">
        <f t="shared" si="36"/>
        <v>-3.0136000000002241</v>
      </c>
    </row>
    <row r="1686" spans="32:34" x14ac:dyDescent="0.25">
      <c r="AF1686">
        <v>168.3</v>
      </c>
      <c r="AG1686">
        <v>3857.8465999999999</v>
      </c>
      <c r="AH1686">
        <f t="shared" si="36"/>
        <v>-3.0134000000002743</v>
      </c>
    </row>
    <row r="1687" spans="32:34" x14ac:dyDescent="0.25">
      <c r="AF1687">
        <v>168.4</v>
      </c>
      <c r="AG1687">
        <v>3857.8467999999998</v>
      </c>
      <c r="AH1687">
        <f t="shared" si="36"/>
        <v>-3.0132000000003245</v>
      </c>
    </row>
    <row r="1688" spans="32:34" x14ac:dyDescent="0.25">
      <c r="AF1688">
        <v>168.5</v>
      </c>
      <c r="AG1688">
        <v>3857.8469999999902</v>
      </c>
      <c r="AH1688">
        <f t="shared" si="36"/>
        <v>-3.0130000000099244</v>
      </c>
    </row>
    <row r="1689" spans="32:34" x14ac:dyDescent="0.25">
      <c r="AF1689">
        <v>168.6</v>
      </c>
      <c r="AG1689">
        <v>3857.8472000000002</v>
      </c>
      <c r="AH1689">
        <f t="shared" si="36"/>
        <v>-3.0127999999999702</v>
      </c>
    </row>
    <row r="1690" spans="32:34" x14ac:dyDescent="0.25">
      <c r="AF1690">
        <v>168.7</v>
      </c>
      <c r="AG1690">
        <v>3857.8474000000001</v>
      </c>
      <c r="AH1690">
        <f t="shared" si="36"/>
        <v>-3.0126000000000204</v>
      </c>
    </row>
    <row r="1691" spans="32:34" x14ac:dyDescent="0.25">
      <c r="AF1691">
        <v>168.8</v>
      </c>
      <c r="AG1691">
        <v>3857.8476000000001</v>
      </c>
      <c r="AH1691">
        <f t="shared" si="36"/>
        <v>-3.0124000000000706</v>
      </c>
    </row>
    <row r="1692" spans="32:34" x14ac:dyDescent="0.25">
      <c r="AF1692">
        <v>168.9</v>
      </c>
      <c r="AG1692">
        <v>3857.8478</v>
      </c>
      <c r="AH1692">
        <f t="shared" si="36"/>
        <v>-3.0122000000001208</v>
      </c>
    </row>
    <row r="1693" spans="32:34" x14ac:dyDescent="0.25">
      <c r="AF1693">
        <v>169</v>
      </c>
      <c r="AG1693">
        <v>3857.848</v>
      </c>
      <c r="AH1693">
        <f t="shared" si="36"/>
        <v>-3.012000000000171</v>
      </c>
    </row>
    <row r="1694" spans="32:34" x14ac:dyDescent="0.25">
      <c r="AF1694">
        <v>169.1</v>
      </c>
      <c r="AG1694">
        <v>3857.8481999999999</v>
      </c>
      <c r="AH1694">
        <f t="shared" si="36"/>
        <v>-3.0118000000002212</v>
      </c>
    </row>
    <row r="1695" spans="32:34" x14ac:dyDescent="0.25">
      <c r="AF1695">
        <v>169.2</v>
      </c>
      <c r="AG1695">
        <v>3857.8483999999999</v>
      </c>
      <c r="AH1695">
        <f t="shared" si="36"/>
        <v>-3.0116000000002714</v>
      </c>
    </row>
    <row r="1696" spans="32:34" x14ac:dyDescent="0.25">
      <c r="AF1696">
        <v>169.3</v>
      </c>
      <c r="AG1696">
        <v>3857.8485999999998</v>
      </c>
      <c r="AH1696">
        <f t="shared" si="36"/>
        <v>-3.0114000000003216</v>
      </c>
    </row>
    <row r="1697" spans="32:34" x14ac:dyDescent="0.25">
      <c r="AF1697">
        <v>169.4</v>
      </c>
      <c r="AG1697">
        <v>3857.8487999999902</v>
      </c>
      <c r="AH1697">
        <f t="shared" si="36"/>
        <v>-3.0112000000099215</v>
      </c>
    </row>
    <row r="1698" spans="32:34" x14ac:dyDescent="0.25">
      <c r="AF1698">
        <v>169.5</v>
      </c>
      <c r="AG1698">
        <v>3857.8490000000002</v>
      </c>
      <c r="AH1698">
        <f t="shared" si="36"/>
        <v>-3.0109999999999673</v>
      </c>
    </row>
    <row r="1699" spans="32:34" x14ac:dyDescent="0.25">
      <c r="AF1699">
        <v>169.6</v>
      </c>
      <c r="AG1699">
        <v>3857.8492000000001</v>
      </c>
      <c r="AH1699">
        <f t="shared" si="36"/>
        <v>-3.0108000000000175</v>
      </c>
    </row>
    <row r="1700" spans="32:34" x14ac:dyDescent="0.25">
      <c r="AF1700">
        <v>169.7</v>
      </c>
      <c r="AG1700">
        <v>3857.8494000000001</v>
      </c>
      <c r="AH1700">
        <f t="shared" si="36"/>
        <v>-3.0106000000000677</v>
      </c>
    </row>
    <row r="1701" spans="32:34" x14ac:dyDescent="0.25">
      <c r="AF1701">
        <v>169.8</v>
      </c>
      <c r="AG1701">
        <v>3857.8496</v>
      </c>
      <c r="AH1701">
        <f t="shared" si="36"/>
        <v>-3.0104000000001179</v>
      </c>
    </row>
    <row r="1702" spans="32:34" x14ac:dyDescent="0.25">
      <c r="AF1702">
        <v>169.9</v>
      </c>
      <c r="AG1702">
        <v>3857.8498</v>
      </c>
      <c r="AH1702">
        <f t="shared" si="36"/>
        <v>-3.0102000000001681</v>
      </c>
    </row>
    <row r="1703" spans="32:34" x14ac:dyDescent="0.25">
      <c r="AF1703">
        <v>170</v>
      </c>
      <c r="AG1703">
        <v>3857.85</v>
      </c>
      <c r="AH1703">
        <f t="shared" si="36"/>
        <v>-3.0100000000002183</v>
      </c>
    </row>
    <row r="1704" spans="32:34" x14ac:dyDescent="0.25">
      <c r="AF1704">
        <v>170.1</v>
      </c>
      <c r="AG1704">
        <v>3857.8492000000001</v>
      </c>
      <c r="AH1704">
        <f t="shared" si="36"/>
        <v>-3.0108000000000175</v>
      </c>
    </row>
    <row r="1705" spans="32:34" x14ac:dyDescent="0.25">
      <c r="AF1705">
        <v>170.2</v>
      </c>
      <c r="AG1705">
        <v>3857.8483999999999</v>
      </c>
      <c r="AH1705">
        <f t="shared" si="36"/>
        <v>-3.0116000000002714</v>
      </c>
    </row>
    <row r="1706" spans="32:34" x14ac:dyDescent="0.25">
      <c r="AF1706">
        <v>170.3</v>
      </c>
      <c r="AG1706">
        <v>3857.8476000000001</v>
      </c>
      <c r="AH1706">
        <f t="shared" si="36"/>
        <v>-3.0124000000000706</v>
      </c>
    </row>
    <row r="1707" spans="32:34" x14ac:dyDescent="0.25">
      <c r="AF1707">
        <v>170.4</v>
      </c>
      <c r="AG1707">
        <v>3857.8467999999998</v>
      </c>
      <c r="AH1707">
        <f t="shared" si="36"/>
        <v>-3.0132000000003245</v>
      </c>
    </row>
    <row r="1708" spans="32:34" x14ac:dyDescent="0.25">
      <c r="AF1708">
        <v>170.5</v>
      </c>
      <c r="AG1708">
        <v>3857.846</v>
      </c>
      <c r="AH1708">
        <f t="shared" si="36"/>
        <v>-3.0140000000001237</v>
      </c>
    </row>
    <row r="1709" spans="32:34" x14ac:dyDescent="0.25">
      <c r="AF1709">
        <v>170.6</v>
      </c>
      <c r="AG1709">
        <v>3857.8451999999902</v>
      </c>
      <c r="AH1709">
        <f t="shared" si="36"/>
        <v>-3.0148000000099273</v>
      </c>
    </row>
    <row r="1710" spans="32:34" x14ac:dyDescent="0.25">
      <c r="AF1710">
        <v>170.7</v>
      </c>
      <c r="AG1710">
        <v>3857.8444</v>
      </c>
      <c r="AH1710">
        <f t="shared" si="36"/>
        <v>-3.0156000000001768</v>
      </c>
    </row>
    <row r="1711" spans="32:34" x14ac:dyDescent="0.25">
      <c r="AF1711">
        <v>170.8</v>
      </c>
      <c r="AG1711">
        <v>3857.8435999999901</v>
      </c>
      <c r="AH1711">
        <f t="shared" si="36"/>
        <v>-3.0164000000099804</v>
      </c>
    </row>
    <row r="1712" spans="32:34" x14ac:dyDescent="0.25">
      <c r="AF1712">
        <v>170.9</v>
      </c>
      <c r="AG1712">
        <v>3857.8427999999999</v>
      </c>
      <c r="AH1712">
        <f t="shared" si="36"/>
        <v>-3.0172000000002299</v>
      </c>
    </row>
    <row r="1713" spans="32:34" x14ac:dyDescent="0.25">
      <c r="AF1713">
        <v>171</v>
      </c>
      <c r="AG1713">
        <v>3857.8420000000001</v>
      </c>
      <c r="AH1713">
        <f t="shared" si="36"/>
        <v>-3.0180000000000291</v>
      </c>
    </row>
    <row r="1714" spans="32:34" x14ac:dyDescent="0.25">
      <c r="AF1714">
        <v>171.1</v>
      </c>
      <c r="AG1714">
        <v>3857.8411999999998</v>
      </c>
      <c r="AH1714">
        <f t="shared" si="36"/>
        <v>-3.018800000000283</v>
      </c>
    </row>
    <row r="1715" spans="32:34" x14ac:dyDescent="0.25">
      <c r="AF1715">
        <v>171.2</v>
      </c>
      <c r="AG1715">
        <v>3857.8404</v>
      </c>
      <c r="AH1715">
        <f t="shared" si="36"/>
        <v>-3.0196000000000822</v>
      </c>
    </row>
    <row r="1716" spans="32:34" x14ac:dyDescent="0.25">
      <c r="AF1716">
        <v>171.3</v>
      </c>
      <c r="AG1716">
        <v>3857.8395999999998</v>
      </c>
      <c r="AH1716">
        <f t="shared" si="36"/>
        <v>-3.0204000000003361</v>
      </c>
    </row>
    <row r="1717" spans="32:34" x14ac:dyDescent="0.25">
      <c r="AF1717">
        <v>171.4</v>
      </c>
      <c r="AG1717">
        <v>3857.8388</v>
      </c>
      <c r="AH1717">
        <f t="shared" si="36"/>
        <v>-3.0212000000001353</v>
      </c>
    </row>
    <row r="1718" spans="32:34" x14ac:dyDescent="0.25">
      <c r="AF1718">
        <v>171.5</v>
      </c>
      <c r="AG1718">
        <v>3857.8379999999902</v>
      </c>
      <c r="AH1718">
        <f t="shared" si="36"/>
        <v>-3.022000000009939</v>
      </c>
    </row>
    <row r="1719" spans="32:34" x14ac:dyDescent="0.25">
      <c r="AF1719">
        <v>171.6</v>
      </c>
      <c r="AG1719">
        <v>3857.8371999999999</v>
      </c>
      <c r="AH1719">
        <f t="shared" si="36"/>
        <v>-3.0228000000001884</v>
      </c>
    </row>
    <row r="1720" spans="32:34" x14ac:dyDescent="0.25">
      <c r="AF1720">
        <v>171.7</v>
      </c>
      <c r="AG1720">
        <v>3857.8364000000001</v>
      </c>
      <c r="AH1720">
        <f t="shared" si="36"/>
        <v>-3.0235999999999876</v>
      </c>
    </row>
    <row r="1721" spans="32:34" x14ac:dyDescent="0.25">
      <c r="AF1721">
        <v>171.8</v>
      </c>
      <c r="AG1721">
        <v>3857.8355999999999</v>
      </c>
      <c r="AH1721">
        <f t="shared" si="36"/>
        <v>-3.0244000000002416</v>
      </c>
    </row>
    <row r="1722" spans="32:34" x14ac:dyDescent="0.25">
      <c r="AF1722">
        <v>171.9</v>
      </c>
      <c r="AG1722">
        <v>3857.8348000000001</v>
      </c>
      <c r="AH1722">
        <f t="shared" si="36"/>
        <v>-3.0252000000000407</v>
      </c>
    </row>
    <row r="1723" spans="32:34" x14ac:dyDescent="0.25">
      <c r="AF1723">
        <v>172</v>
      </c>
      <c r="AG1723">
        <v>3857.8339999999998</v>
      </c>
      <c r="AH1723">
        <f t="shared" si="36"/>
        <v>-3.0260000000002947</v>
      </c>
    </row>
    <row r="1724" spans="32:34" x14ac:dyDescent="0.25">
      <c r="AF1724">
        <v>172.1</v>
      </c>
      <c r="AG1724">
        <v>3857.8332</v>
      </c>
      <c r="AH1724">
        <f t="shared" si="36"/>
        <v>-3.0268000000000939</v>
      </c>
    </row>
    <row r="1725" spans="32:34" x14ac:dyDescent="0.25">
      <c r="AF1725">
        <v>172.2</v>
      </c>
      <c r="AG1725">
        <v>3857.8323999999998</v>
      </c>
      <c r="AH1725">
        <f t="shared" si="36"/>
        <v>-3.0276000000003478</v>
      </c>
    </row>
    <row r="1726" spans="32:34" x14ac:dyDescent="0.25">
      <c r="AF1726">
        <v>172.3</v>
      </c>
      <c r="AG1726">
        <v>3857.8316</v>
      </c>
      <c r="AH1726">
        <f t="shared" si="36"/>
        <v>-3.028400000000147</v>
      </c>
    </row>
    <row r="1727" spans="32:34" x14ac:dyDescent="0.25">
      <c r="AF1727">
        <v>172.4</v>
      </c>
      <c r="AG1727">
        <v>3857.8307999999902</v>
      </c>
      <c r="AH1727">
        <f t="shared" si="36"/>
        <v>-3.0292000000099506</v>
      </c>
    </row>
    <row r="1728" spans="32:34" x14ac:dyDescent="0.25">
      <c r="AF1728">
        <v>172.5</v>
      </c>
      <c r="AG1728">
        <v>3857.83</v>
      </c>
      <c r="AH1728">
        <f t="shared" si="36"/>
        <v>-3.0300000000002001</v>
      </c>
    </row>
    <row r="1729" spans="32:34" x14ac:dyDescent="0.25">
      <c r="AF1729">
        <v>172.6</v>
      </c>
      <c r="AG1729">
        <v>3857.8292000000001</v>
      </c>
      <c r="AH1729">
        <f t="shared" si="36"/>
        <v>-3.0307999999999993</v>
      </c>
    </row>
    <row r="1730" spans="32:34" x14ac:dyDescent="0.25">
      <c r="AF1730">
        <v>172.7</v>
      </c>
      <c r="AG1730">
        <v>3857.8283999999999</v>
      </c>
      <c r="AH1730">
        <f t="shared" si="36"/>
        <v>-3.0316000000002532</v>
      </c>
    </row>
    <row r="1731" spans="32:34" x14ac:dyDescent="0.25">
      <c r="AF1731">
        <v>172.8</v>
      </c>
      <c r="AG1731">
        <v>3857.8276000000001</v>
      </c>
      <c r="AH1731">
        <f t="shared" si="36"/>
        <v>-3.0324000000000524</v>
      </c>
    </row>
    <row r="1732" spans="32:34" x14ac:dyDescent="0.25">
      <c r="AF1732">
        <v>172.9</v>
      </c>
      <c r="AG1732">
        <v>3857.8267999999998</v>
      </c>
      <c r="AH1732">
        <f t="shared" ref="AH1732:AH1795" si="37">AG1732-MAX($AG$3:$AG$2353)</f>
        <v>-3.0332000000003063</v>
      </c>
    </row>
    <row r="1733" spans="32:34" x14ac:dyDescent="0.25">
      <c r="AF1733">
        <v>173</v>
      </c>
      <c r="AG1733">
        <v>3857.826</v>
      </c>
      <c r="AH1733">
        <f t="shared" si="37"/>
        <v>-3.0340000000001055</v>
      </c>
    </row>
    <row r="1734" spans="32:34" x14ac:dyDescent="0.25">
      <c r="AF1734">
        <v>173.1</v>
      </c>
      <c r="AG1734">
        <v>3857.8251999999902</v>
      </c>
      <c r="AH1734">
        <f t="shared" si="37"/>
        <v>-3.0348000000099091</v>
      </c>
    </row>
    <row r="1735" spans="32:34" x14ac:dyDescent="0.25">
      <c r="AF1735">
        <v>173.2</v>
      </c>
      <c r="AG1735">
        <v>3857.8244</v>
      </c>
      <c r="AH1735">
        <f t="shared" si="37"/>
        <v>-3.0356000000001586</v>
      </c>
    </row>
    <row r="1736" spans="32:34" x14ac:dyDescent="0.25">
      <c r="AF1736">
        <v>173.3</v>
      </c>
      <c r="AG1736">
        <v>3857.8235999999902</v>
      </c>
      <c r="AH1736">
        <f t="shared" si="37"/>
        <v>-3.0364000000099622</v>
      </c>
    </row>
    <row r="1737" spans="32:34" x14ac:dyDescent="0.25">
      <c r="AF1737">
        <v>173.4</v>
      </c>
      <c r="AG1737">
        <v>3857.8227999999999</v>
      </c>
      <c r="AH1737">
        <f t="shared" si="37"/>
        <v>-3.0372000000002117</v>
      </c>
    </row>
    <row r="1738" spans="32:34" x14ac:dyDescent="0.25">
      <c r="AF1738">
        <v>173.5</v>
      </c>
      <c r="AG1738">
        <v>3857.8220000000001</v>
      </c>
      <c r="AH1738">
        <f t="shared" si="37"/>
        <v>-3.0380000000000109</v>
      </c>
    </row>
    <row r="1739" spans="32:34" x14ac:dyDescent="0.25">
      <c r="AF1739">
        <v>173.6</v>
      </c>
      <c r="AG1739">
        <v>3857.8211999999999</v>
      </c>
      <c r="AH1739">
        <f t="shared" si="37"/>
        <v>-3.0388000000002648</v>
      </c>
    </row>
    <row r="1740" spans="32:34" x14ac:dyDescent="0.25">
      <c r="AF1740">
        <v>173.7</v>
      </c>
      <c r="AG1740">
        <v>3857.8204000000001</v>
      </c>
      <c r="AH1740">
        <f t="shared" si="37"/>
        <v>-3.039600000000064</v>
      </c>
    </row>
    <row r="1741" spans="32:34" x14ac:dyDescent="0.25">
      <c r="AF1741">
        <v>173.8</v>
      </c>
      <c r="AG1741">
        <v>3857.8195999999998</v>
      </c>
      <c r="AH1741">
        <f t="shared" si="37"/>
        <v>-3.040400000000318</v>
      </c>
    </row>
    <row r="1742" spans="32:34" x14ac:dyDescent="0.25">
      <c r="AF1742">
        <v>173.9</v>
      </c>
      <c r="AG1742">
        <v>3857.8188</v>
      </c>
      <c r="AH1742">
        <f t="shared" si="37"/>
        <v>-3.0412000000001171</v>
      </c>
    </row>
    <row r="1743" spans="32:34" x14ac:dyDescent="0.25">
      <c r="AF1743">
        <v>174</v>
      </c>
      <c r="AG1743">
        <v>3857.8179999999902</v>
      </c>
      <c r="AH1743">
        <f t="shared" si="37"/>
        <v>-3.0420000000099208</v>
      </c>
    </row>
    <row r="1744" spans="32:34" x14ac:dyDescent="0.25">
      <c r="AF1744">
        <v>174.1</v>
      </c>
      <c r="AG1744">
        <v>3857.8172</v>
      </c>
      <c r="AH1744">
        <f t="shared" si="37"/>
        <v>-3.0428000000001703</v>
      </c>
    </row>
    <row r="1745" spans="32:34" x14ac:dyDescent="0.25">
      <c r="AF1745">
        <v>174.2</v>
      </c>
      <c r="AG1745">
        <v>3857.8164000000002</v>
      </c>
      <c r="AH1745">
        <f t="shared" si="37"/>
        <v>-3.0435999999999694</v>
      </c>
    </row>
    <row r="1746" spans="32:34" x14ac:dyDescent="0.25">
      <c r="AF1746">
        <v>174.3</v>
      </c>
      <c r="AG1746">
        <v>3857.8155999999999</v>
      </c>
      <c r="AH1746">
        <f t="shared" si="37"/>
        <v>-3.0444000000002234</v>
      </c>
    </row>
    <row r="1747" spans="32:34" x14ac:dyDescent="0.25">
      <c r="AF1747">
        <v>174.4</v>
      </c>
      <c r="AG1747">
        <v>3857.8148000000001</v>
      </c>
      <c r="AH1747">
        <f t="shared" si="37"/>
        <v>-3.0452000000000226</v>
      </c>
    </row>
    <row r="1748" spans="32:34" x14ac:dyDescent="0.25">
      <c r="AF1748">
        <v>174.5</v>
      </c>
      <c r="AG1748">
        <v>3857.8139999999999</v>
      </c>
      <c r="AH1748">
        <f t="shared" si="37"/>
        <v>-3.0460000000002765</v>
      </c>
    </row>
    <row r="1749" spans="32:34" x14ac:dyDescent="0.25">
      <c r="AF1749">
        <v>174.6</v>
      </c>
      <c r="AG1749">
        <v>3857.8132000000001</v>
      </c>
      <c r="AH1749">
        <f t="shared" si="37"/>
        <v>-3.0468000000000757</v>
      </c>
    </row>
    <row r="1750" spans="32:34" x14ac:dyDescent="0.25">
      <c r="AF1750">
        <v>174.7</v>
      </c>
      <c r="AG1750">
        <v>3857.8123999999998</v>
      </c>
      <c r="AH1750">
        <f t="shared" si="37"/>
        <v>-3.0476000000003296</v>
      </c>
    </row>
    <row r="1751" spans="32:34" x14ac:dyDescent="0.25">
      <c r="AF1751">
        <v>174.8</v>
      </c>
      <c r="AG1751">
        <v>3857.8116</v>
      </c>
      <c r="AH1751">
        <f t="shared" si="37"/>
        <v>-3.0484000000001288</v>
      </c>
    </row>
    <row r="1752" spans="32:34" x14ac:dyDescent="0.25">
      <c r="AF1752">
        <v>174.9</v>
      </c>
      <c r="AG1752">
        <v>3857.8107999999902</v>
      </c>
      <c r="AH1752">
        <f t="shared" si="37"/>
        <v>-3.0492000000099324</v>
      </c>
    </row>
    <row r="1753" spans="32:34" x14ac:dyDescent="0.25">
      <c r="AF1753">
        <v>175</v>
      </c>
      <c r="AG1753">
        <v>3857.81</v>
      </c>
      <c r="AH1753">
        <f t="shared" si="37"/>
        <v>-3.0500000000001819</v>
      </c>
    </row>
    <row r="1754" spans="32:34" x14ac:dyDescent="0.25">
      <c r="AF1754">
        <v>175.1</v>
      </c>
      <c r="AG1754">
        <v>3857.8013999999998</v>
      </c>
      <c r="AH1754">
        <f t="shared" si="37"/>
        <v>-3.0586000000002969</v>
      </c>
    </row>
    <row r="1755" spans="32:34" x14ac:dyDescent="0.25">
      <c r="AF1755">
        <v>175.2</v>
      </c>
      <c r="AG1755">
        <v>3857.7928000000002</v>
      </c>
      <c r="AH1755">
        <f t="shared" si="37"/>
        <v>-3.0671999999999571</v>
      </c>
    </row>
    <row r="1756" spans="32:34" x14ac:dyDescent="0.25">
      <c r="AF1756">
        <v>175.3</v>
      </c>
      <c r="AG1756">
        <v>3857.7842000000001</v>
      </c>
      <c r="AH1756">
        <f t="shared" si="37"/>
        <v>-3.075800000000072</v>
      </c>
    </row>
    <row r="1757" spans="32:34" x14ac:dyDescent="0.25">
      <c r="AF1757">
        <v>175.4</v>
      </c>
      <c r="AG1757">
        <v>3857.7755999999999</v>
      </c>
      <c r="AH1757">
        <f t="shared" si="37"/>
        <v>-3.084400000000187</v>
      </c>
    </row>
    <row r="1758" spans="32:34" x14ac:dyDescent="0.25">
      <c r="AF1758">
        <v>175.5</v>
      </c>
      <c r="AG1758">
        <v>3857.7669999999998</v>
      </c>
      <c r="AH1758">
        <f t="shared" si="37"/>
        <v>-3.093000000000302</v>
      </c>
    </row>
    <row r="1759" spans="32:34" x14ac:dyDescent="0.25">
      <c r="AF1759">
        <v>175.6</v>
      </c>
      <c r="AG1759">
        <v>3857.7584000000002</v>
      </c>
      <c r="AH1759">
        <f t="shared" si="37"/>
        <v>-3.1015999999999622</v>
      </c>
    </row>
    <row r="1760" spans="32:34" x14ac:dyDescent="0.25">
      <c r="AF1760">
        <v>175.7</v>
      </c>
      <c r="AG1760">
        <v>3857.7498000000001</v>
      </c>
      <c r="AH1760">
        <f t="shared" si="37"/>
        <v>-3.1102000000000771</v>
      </c>
    </row>
    <row r="1761" spans="32:34" x14ac:dyDescent="0.25">
      <c r="AF1761">
        <v>175.8</v>
      </c>
      <c r="AG1761">
        <v>3857.7411999999999</v>
      </c>
      <c r="AH1761">
        <f t="shared" si="37"/>
        <v>-3.1188000000001921</v>
      </c>
    </row>
    <row r="1762" spans="32:34" x14ac:dyDescent="0.25">
      <c r="AF1762">
        <v>175.9</v>
      </c>
      <c r="AG1762">
        <v>3857.7325999999998</v>
      </c>
      <c r="AH1762">
        <f t="shared" si="37"/>
        <v>-3.127400000000307</v>
      </c>
    </row>
    <row r="1763" spans="32:34" x14ac:dyDescent="0.25">
      <c r="AF1763">
        <v>176</v>
      </c>
      <c r="AG1763">
        <v>3857.7240000000002</v>
      </c>
      <c r="AH1763">
        <f t="shared" si="37"/>
        <v>-3.1359999999999673</v>
      </c>
    </row>
    <row r="1764" spans="32:34" x14ac:dyDescent="0.25">
      <c r="AF1764">
        <v>176.1</v>
      </c>
      <c r="AG1764">
        <v>3857.7154</v>
      </c>
      <c r="AH1764">
        <f t="shared" si="37"/>
        <v>-3.1446000000000822</v>
      </c>
    </row>
    <row r="1765" spans="32:34" x14ac:dyDescent="0.25">
      <c r="AF1765">
        <v>176.2</v>
      </c>
      <c r="AG1765">
        <v>3857.7067999999999</v>
      </c>
      <c r="AH1765">
        <f t="shared" si="37"/>
        <v>-3.1532000000001972</v>
      </c>
    </row>
    <row r="1766" spans="32:34" x14ac:dyDescent="0.25">
      <c r="AF1766">
        <v>176.3</v>
      </c>
      <c r="AG1766">
        <v>3857.6981999999998</v>
      </c>
      <c r="AH1766">
        <f t="shared" si="37"/>
        <v>-3.1618000000003121</v>
      </c>
    </row>
    <row r="1767" spans="32:34" x14ac:dyDescent="0.25">
      <c r="AF1767">
        <v>176.4</v>
      </c>
      <c r="AG1767">
        <v>3857.6896000000002</v>
      </c>
      <c r="AH1767">
        <f t="shared" si="37"/>
        <v>-3.1703999999999724</v>
      </c>
    </row>
    <row r="1768" spans="32:34" x14ac:dyDescent="0.25">
      <c r="AF1768">
        <v>176.5</v>
      </c>
      <c r="AG1768">
        <v>3857.681</v>
      </c>
      <c r="AH1768">
        <f t="shared" si="37"/>
        <v>-3.1790000000000873</v>
      </c>
    </row>
    <row r="1769" spans="32:34" x14ac:dyDescent="0.25">
      <c r="AF1769">
        <v>176.6</v>
      </c>
      <c r="AG1769">
        <v>3857.6723999999999</v>
      </c>
      <c r="AH1769">
        <f t="shared" si="37"/>
        <v>-3.1876000000002023</v>
      </c>
    </row>
    <row r="1770" spans="32:34" x14ac:dyDescent="0.25">
      <c r="AF1770">
        <v>176.7</v>
      </c>
      <c r="AG1770">
        <v>3857.6637999999998</v>
      </c>
      <c r="AH1770">
        <f t="shared" si="37"/>
        <v>-3.1962000000003172</v>
      </c>
    </row>
    <row r="1771" spans="32:34" x14ac:dyDescent="0.25">
      <c r="AF1771">
        <v>176.8</v>
      </c>
      <c r="AG1771">
        <v>3857.6552000000001</v>
      </c>
      <c r="AH1771">
        <f t="shared" si="37"/>
        <v>-3.2047999999999774</v>
      </c>
    </row>
    <row r="1772" spans="32:34" x14ac:dyDescent="0.25">
      <c r="AF1772">
        <v>176.9</v>
      </c>
      <c r="AG1772">
        <v>3857.6466</v>
      </c>
      <c r="AH1772">
        <f t="shared" si="37"/>
        <v>-3.2134000000000924</v>
      </c>
    </row>
    <row r="1773" spans="32:34" x14ac:dyDescent="0.25">
      <c r="AF1773">
        <v>177</v>
      </c>
      <c r="AG1773">
        <v>3857.6379999999999</v>
      </c>
      <c r="AH1773">
        <f t="shared" si="37"/>
        <v>-3.2220000000002074</v>
      </c>
    </row>
    <row r="1774" spans="32:34" x14ac:dyDescent="0.25">
      <c r="AF1774">
        <v>177.1</v>
      </c>
      <c r="AG1774">
        <v>3857.6293999999998</v>
      </c>
      <c r="AH1774">
        <f t="shared" si="37"/>
        <v>-3.2306000000003223</v>
      </c>
    </row>
    <row r="1775" spans="32:34" x14ac:dyDescent="0.25">
      <c r="AF1775">
        <v>177.2</v>
      </c>
      <c r="AG1775">
        <v>3857.6208000000001</v>
      </c>
      <c r="AH1775">
        <f t="shared" si="37"/>
        <v>-3.2391999999999825</v>
      </c>
    </row>
    <row r="1776" spans="32:34" x14ac:dyDescent="0.25">
      <c r="AF1776">
        <v>177.3</v>
      </c>
      <c r="AG1776">
        <v>3857.6122</v>
      </c>
      <c r="AH1776">
        <f t="shared" si="37"/>
        <v>-3.2478000000000975</v>
      </c>
    </row>
    <row r="1777" spans="32:34" x14ac:dyDescent="0.25">
      <c r="AF1777">
        <v>177.4</v>
      </c>
      <c r="AG1777">
        <v>3857.6035999999999</v>
      </c>
      <c r="AH1777">
        <f t="shared" si="37"/>
        <v>-3.2564000000002125</v>
      </c>
    </row>
    <row r="1778" spans="32:34" x14ac:dyDescent="0.25">
      <c r="AF1778">
        <v>177.5</v>
      </c>
      <c r="AG1778">
        <v>3857.5949999999998</v>
      </c>
      <c r="AH1778">
        <f t="shared" si="37"/>
        <v>-3.2650000000003274</v>
      </c>
    </row>
    <row r="1779" spans="32:34" x14ac:dyDescent="0.25">
      <c r="AF1779">
        <v>177.6</v>
      </c>
      <c r="AG1779">
        <v>3857.5864000000001</v>
      </c>
      <c r="AH1779">
        <f t="shared" si="37"/>
        <v>-3.2735999999999876</v>
      </c>
    </row>
    <row r="1780" spans="32:34" x14ac:dyDescent="0.25">
      <c r="AF1780">
        <v>177.7</v>
      </c>
      <c r="AG1780">
        <v>3857.5778</v>
      </c>
      <c r="AH1780">
        <f t="shared" si="37"/>
        <v>-3.2822000000001026</v>
      </c>
    </row>
    <row r="1781" spans="32:34" x14ac:dyDescent="0.25">
      <c r="AF1781">
        <v>177.8</v>
      </c>
      <c r="AG1781">
        <v>3857.5691999999999</v>
      </c>
      <c r="AH1781">
        <f t="shared" si="37"/>
        <v>-3.2908000000002176</v>
      </c>
    </row>
    <row r="1782" spans="32:34" x14ac:dyDescent="0.25">
      <c r="AF1782">
        <v>177.9</v>
      </c>
      <c r="AG1782">
        <v>3857.5605999999998</v>
      </c>
      <c r="AH1782">
        <f t="shared" si="37"/>
        <v>-3.2994000000003325</v>
      </c>
    </row>
    <row r="1783" spans="32:34" x14ac:dyDescent="0.25">
      <c r="AF1783">
        <v>178</v>
      </c>
      <c r="AG1783">
        <v>3857.5520000000001</v>
      </c>
      <c r="AH1783">
        <f t="shared" si="37"/>
        <v>-3.3079999999999927</v>
      </c>
    </row>
    <row r="1784" spans="32:34" x14ac:dyDescent="0.25">
      <c r="AF1784">
        <v>178.1</v>
      </c>
      <c r="AG1784">
        <v>3857.5434</v>
      </c>
      <c r="AH1784">
        <f t="shared" si="37"/>
        <v>-3.3166000000001077</v>
      </c>
    </row>
    <row r="1785" spans="32:34" x14ac:dyDescent="0.25">
      <c r="AF1785">
        <v>178.2</v>
      </c>
      <c r="AG1785">
        <v>3857.5347999999999</v>
      </c>
      <c r="AH1785">
        <f t="shared" si="37"/>
        <v>-3.3252000000002226</v>
      </c>
    </row>
    <row r="1786" spans="32:34" x14ac:dyDescent="0.25">
      <c r="AF1786">
        <v>178.3</v>
      </c>
      <c r="AG1786">
        <v>3857.5261999999998</v>
      </c>
      <c r="AH1786">
        <f t="shared" si="37"/>
        <v>-3.3338000000003376</v>
      </c>
    </row>
    <row r="1787" spans="32:34" x14ac:dyDescent="0.25">
      <c r="AF1787">
        <v>178.4</v>
      </c>
      <c r="AG1787">
        <v>3857.5176000000001</v>
      </c>
      <c r="AH1787">
        <f t="shared" si="37"/>
        <v>-3.3423999999999978</v>
      </c>
    </row>
    <row r="1788" spans="32:34" x14ac:dyDescent="0.25">
      <c r="AF1788">
        <v>178.5</v>
      </c>
      <c r="AG1788">
        <v>3857.509</v>
      </c>
      <c r="AH1788">
        <f t="shared" si="37"/>
        <v>-3.3510000000001128</v>
      </c>
    </row>
    <row r="1789" spans="32:34" x14ac:dyDescent="0.25">
      <c r="AF1789">
        <v>178.6</v>
      </c>
      <c r="AG1789">
        <v>3857.5003999999999</v>
      </c>
      <c r="AH1789">
        <f t="shared" si="37"/>
        <v>-3.3596000000002277</v>
      </c>
    </row>
    <row r="1790" spans="32:34" x14ac:dyDescent="0.25">
      <c r="AF1790">
        <v>178.7</v>
      </c>
      <c r="AG1790">
        <v>3857.4917999999998</v>
      </c>
      <c r="AH1790">
        <f t="shared" si="37"/>
        <v>-3.3682000000003427</v>
      </c>
    </row>
    <row r="1791" spans="32:34" x14ac:dyDescent="0.25">
      <c r="AF1791">
        <v>178.8</v>
      </c>
      <c r="AG1791">
        <v>3857.4832000000001</v>
      </c>
      <c r="AH1791">
        <f t="shared" si="37"/>
        <v>-3.3768000000000029</v>
      </c>
    </row>
    <row r="1792" spans="32:34" x14ac:dyDescent="0.25">
      <c r="AF1792">
        <v>178.9</v>
      </c>
      <c r="AG1792">
        <v>3857.4746</v>
      </c>
      <c r="AH1792">
        <f t="shared" si="37"/>
        <v>-3.3854000000001179</v>
      </c>
    </row>
    <row r="1793" spans="32:34" x14ac:dyDescent="0.25">
      <c r="AF1793">
        <v>179</v>
      </c>
      <c r="AG1793">
        <v>3857.4659999999999</v>
      </c>
      <c r="AH1793">
        <f t="shared" si="37"/>
        <v>-3.3940000000002328</v>
      </c>
    </row>
    <row r="1794" spans="32:34" x14ac:dyDescent="0.25">
      <c r="AF1794">
        <v>179.1</v>
      </c>
      <c r="AG1794">
        <v>3857.4573999999998</v>
      </c>
      <c r="AH1794">
        <f t="shared" si="37"/>
        <v>-3.4026000000003478</v>
      </c>
    </row>
    <row r="1795" spans="32:34" x14ac:dyDescent="0.25">
      <c r="AF1795">
        <v>179.2</v>
      </c>
      <c r="AG1795">
        <v>3857.4488000000001</v>
      </c>
      <c r="AH1795">
        <f t="shared" si="37"/>
        <v>-3.411200000000008</v>
      </c>
    </row>
    <row r="1796" spans="32:34" x14ac:dyDescent="0.25">
      <c r="AF1796">
        <v>179.3</v>
      </c>
      <c r="AG1796">
        <v>3857.4402</v>
      </c>
      <c r="AH1796">
        <f t="shared" ref="AH1796:AH1859" si="38">AG1796-MAX($AG$3:$AG$2353)</f>
        <v>-3.419800000000123</v>
      </c>
    </row>
    <row r="1797" spans="32:34" x14ac:dyDescent="0.25">
      <c r="AF1797">
        <v>179.4</v>
      </c>
      <c r="AG1797">
        <v>3857.4315999999999</v>
      </c>
      <c r="AH1797">
        <f t="shared" si="38"/>
        <v>-3.4284000000002379</v>
      </c>
    </row>
    <row r="1798" spans="32:34" x14ac:dyDescent="0.25">
      <c r="AF1798">
        <v>179.5</v>
      </c>
      <c r="AG1798">
        <v>3857.4229999999998</v>
      </c>
      <c r="AH1798">
        <f t="shared" si="38"/>
        <v>-3.4370000000003529</v>
      </c>
    </row>
    <row r="1799" spans="32:34" x14ac:dyDescent="0.25">
      <c r="AF1799">
        <v>179.6</v>
      </c>
      <c r="AG1799">
        <v>3857.4144000000001</v>
      </c>
      <c r="AH1799">
        <f t="shared" si="38"/>
        <v>-3.4456000000000131</v>
      </c>
    </row>
    <row r="1800" spans="32:34" x14ac:dyDescent="0.25">
      <c r="AF1800">
        <v>179.7</v>
      </c>
      <c r="AG1800">
        <v>3857.4058</v>
      </c>
      <c r="AH1800">
        <f t="shared" si="38"/>
        <v>-3.4542000000001281</v>
      </c>
    </row>
    <row r="1801" spans="32:34" x14ac:dyDescent="0.25">
      <c r="AF1801">
        <v>179.8</v>
      </c>
      <c r="AG1801">
        <v>3857.3971999999999</v>
      </c>
      <c r="AH1801">
        <f t="shared" si="38"/>
        <v>-3.462800000000243</v>
      </c>
    </row>
    <row r="1802" spans="32:34" x14ac:dyDescent="0.25">
      <c r="AF1802">
        <v>179.9</v>
      </c>
      <c r="AG1802">
        <v>3857.3886000000002</v>
      </c>
      <c r="AH1802">
        <f t="shared" si="38"/>
        <v>-3.4713999999999032</v>
      </c>
    </row>
    <row r="1803" spans="32:34" x14ac:dyDescent="0.25">
      <c r="AF1803">
        <v>180</v>
      </c>
      <c r="AG1803">
        <v>3857.38</v>
      </c>
      <c r="AH1803">
        <f t="shared" si="38"/>
        <v>-3.4800000000000182</v>
      </c>
    </row>
    <row r="1804" spans="32:34" x14ac:dyDescent="0.25">
      <c r="AF1804">
        <v>180.1</v>
      </c>
      <c r="AG1804">
        <v>3857.3506000000002</v>
      </c>
      <c r="AH1804">
        <f t="shared" si="38"/>
        <v>-3.5093999999999141</v>
      </c>
    </row>
    <row r="1805" spans="32:34" x14ac:dyDescent="0.25">
      <c r="AF1805">
        <v>180.2</v>
      </c>
      <c r="AG1805">
        <v>3857.3211999999999</v>
      </c>
      <c r="AH1805">
        <f t="shared" si="38"/>
        <v>-3.5388000000002648</v>
      </c>
    </row>
    <row r="1806" spans="32:34" x14ac:dyDescent="0.25">
      <c r="AF1806">
        <v>180.3</v>
      </c>
      <c r="AG1806">
        <v>3857.2918</v>
      </c>
      <c r="AH1806">
        <f t="shared" si="38"/>
        <v>-3.5682000000001608</v>
      </c>
    </row>
    <row r="1807" spans="32:34" x14ac:dyDescent="0.25">
      <c r="AF1807">
        <v>180.4</v>
      </c>
      <c r="AG1807">
        <v>3857.2624000000001</v>
      </c>
      <c r="AH1807">
        <f t="shared" si="38"/>
        <v>-3.5976000000000568</v>
      </c>
    </row>
    <row r="1808" spans="32:34" x14ac:dyDescent="0.25">
      <c r="AF1808">
        <v>180.5</v>
      </c>
      <c r="AG1808">
        <v>3857.2330000000002</v>
      </c>
      <c r="AH1808">
        <f t="shared" si="38"/>
        <v>-3.6269999999999527</v>
      </c>
    </row>
    <row r="1809" spans="32:34" x14ac:dyDescent="0.25">
      <c r="AF1809">
        <v>180.6</v>
      </c>
      <c r="AG1809">
        <v>3857.2035999999998</v>
      </c>
      <c r="AH1809">
        <f t="shared" si="38"/>
        <v>-3.6564000000003034</v>
      </c>
    </row>
    <row r="1810" spans="32:34" x14ac:dyDescent="0.25">
      <c r="AF1810">
        <v>180.7</v>
      </c>
      <c r="AG1810">
        <v>3857.1741999999999</v>
      </c>
      <c r="AH1810">
        <f t="shared" si="38"/>
        <v>-3.6858000000001994</v>
      </c>
    </row>
    <row r="1811" spans="32:34" x14ac:dyDescent="0.25">
      <c r="AF1811">
        <v>180.8</v>
      </c>
      <c r="AG1811">
        <v>3857.1448</v>
      </c>
      <c r="AH1811">
        <f t="shared" si="38"/>
        <v>-3.7152000000000953</v>
      </c>
    </row>
    <row r="1812" spans="32:34" x14ac:dyDescent="0.25">
      <c r="AF1812">
        <v>180.9</v>
      </c>
      <c r="AG1812">
        <v>3857.1154000000001</v>
      </c>
      <c r="AH1812">
        <f t="shared" si="38"/>
        <v>-3.7445999999999913</v>
      </c>
    </row>
    <row r="1813" spans="32:34" x14ac:dyDescent="0.25">
      <c r="AF1813">
        <v>181</v>
      </c>
      <c r="AG1813">
        <v>3857.0859999999998</v>
      </c>
      <c r="AH1813">
        <f t="shared" si="38"/>
        <v>-3.774000000000342</v>
      </c>
    </row>
    <row r="1814" spans="32:34" x14ac:dyDescent="0.25">
      <c r="AF1814">
        <v>181.1</v>
      </c>
      <c r="AG1814">
        <v>3857.0565999999999</v>
      </c>
      <c r="AH1814">
        <f t="shared" si="38"/>
        <v>-3.8034000000002379</v>
      </c>
    </row>
    <row r="1815" spans="32:34" x14ac:dyDescent="0.25">
      <c r="AF1815">
        <v>181.2</v>
      </c>
      <c r="AG1815">
        <v>3857.0272</v>
      </c>
      <c r="AH1815">
        <f t="shared" si="38"/>
        <v>-3.8328000000001339</v>
      </c>
    </row>
    <row r="1816" spans="32:34" x14ac:dyDescent="0.25">
      <c r="AF1816">
        <v>181.3</v>
      </c>
      <c r="AG1816">
        <v>3856.9978000000001</v>
      </c>
      <c r="AH1816">
        <f t="shared" si="38"/>
        <v>-3.8622000000000298</v>
      </c>
    </row>
    <row r="1817" spans="32:34" x14ac:dyDescent="0.25">
      <c r="AF1817">
        <v>181.4</v>
      </c>
      <c r="AG1817">
        <v>3856.9684000000002</v>
      </c>
      <c r="AH1817">
        <f t="shared" si="38"/>
        <v>-3.8915999999999258</v>
      </c>
    </row>
    <row r="1818" spans="32:34" x14ac:dyDescent="0.25">
      <c r="AF1818">
        <v>181.5</v>
      </c>
      <c r="AG1818">
        <v>3856.9389999999999</v>
      </c>
      <c r="AH1818">
        <f t="shared" si="38"/>
        <v>-3.9210000000002765</v>
      </c>
    </row>
    <row r="1819" spans="32:34" x14ac:dyDescent="0.25">
      <c r="AF1819">
        <v>181.6</v>
      </c>
      <c r="AG1819">
        <v>3856.9096</v>
      </c>
      <c r="AH1819">
        <f t="shared" si="38"/>
        <v>-3.9504000000001724</v>
      </c>
    </row>
    <row r="1820" spans="32:34" x14ac:dyDescent="0.25">
      <c r="AF1820">
        <v>181.7</v>
      </c>
      <c r="AG1820">
        <v>3856.8802000000001</v>
      </c>
      <c r="AH1820">
        <f t="shared" si="38"/>
        <v>-3.9798000000000684</v>
      </c>
    </row>
    <row r="1821" spans="32:34" x14ac:dyDescent="0.25">
      <c r="AF1821">
        <v>181.8</v>
      </c>
      <c r="AG1821">
        <v>3856.8508000000002</v>
      </c>
      <c r="AH1821">
        <f t="shared" si="38"/>
        <v>-4.0091999999999643</v>
      </c>
    </row>
    <row r="1822" spans="32:34" x14ac:dyDescent="0.25">
      <c r="AF1822">
        <v>181.9</v>
      </c>
      <c r="AG1822">
        <v>3856.8213999999998</v>
      </c>
      <c r="AH1822">
        <f t="shared" si="38"/>
        <v>-4.038600000000315</v>
      </c>
    </row>
    <row r="1823" spans="32:34" x14ac:dyDescent="0.25">
      <c r="AF1823">
        <v>182</v>
      </c>
      <c r="AG1823">
        <v>3856.7919999999999</v>
      </c>
      <c r="AH1823">
        <f t="shared" si="38"/>
        <v>-4.068000000000211</v>
      </c>
    </row>
    <row r="1824" spans="32:34" x14ac:dyDescent="0.25">
      <c r="AF1824">
        <v>182.1</v>
      </c>
      <c r="AG1824">
        <v>3856.7626</v>
      </c>
      <c r="AH1824">
        <f t="shared" si="38"/>
        <v>-4.097400000000107</v>
      </c>
    </row>
    <row r="1825" spans="32:34" x14ac:dyDescent="0.25">
      <c r="AF1825">
        <v>182.2</v>
      </c>
      <c r="AG1825">
        <v>3856.7332000000001</v>
      </c>
      <c r="AH1825">
        <f t="shared" si="38"/>
        <v>-4.1268000000000029</v>
      </c>
    </row>
    <row r="1826" spans="32:34" x14ac:dyDescent="0.25">
      <c r="AF1826">
        <v>182.3</v>
      </c>
      <c r="AG1826">
        <v>3856.7037999999998</v>
      </c>
      <c r="AH1826">
        <f t="shared" si="38"/>
        <v>-4.1562000000003536</v>
      </c>
    </row>
    <row r="1827" spans="32:34" x14ac:dyDescent="0.25">
      <c r="AF1827">
        <v>182.4</v>
      </c>
      <c r="AG1827">
        <v>3856.6743999999999</v>
      </c>
      <c r="AH1827">
        <f t="shared" si="38"/>
        <v>-4.1856000000002496</v>
      </c>
    </row>
    <row r="1828" spans="32:34" x14ac:dyDescent="0.25">
      <c r="AF1828">
        <v>182.5</v>
      </c>
      <c r="AG1828">
        <v>3856.645</v>
      </c>
      <c r="AH1828">
        <f t="shared" si="38"/>
        <v>-4.2150000000001455</v>
      </c>
    </row>
    <row r="1829" spans="32:34" x14ac:dyDescent="0.25">
      <c r="AF1829">
        <v>182.6</v>
      </c>
      <c r="AG1829">
        <v>3856.6156000000001</v>
      </c>
      <c r="AH1829">
        <f t="shared" si="38"/>
        <v>-4.2444000000000415</v>
      </c>
    </row>
    <row r="1830" spans="32:34" x14ac:dyDescent="0.25">
      <c r="AF1830">
        <v>182.7</v>
      </c>
      <c r="AG1830">
        <v>3856.5862000000002</v>
      </c>
      <c r="AH1830">
        <f t="shared" si="38"/>
        <v>-4.2737999999999374</v>
      </c>
    </row>
    <row r="1831" spans="32:34" x14ac:dyDescent="0.25">
      <c r="AF1831">
        <v>182.8</v>
      </c>
      <c r="AG1831">
        <v>3856.5567999999998</v>
      </c>
      <c r="AH1831">
        <f t="shared" si="38"/>
        <v>-4.3032000000002881</v>
      </c>
    </row>
    <row r="1832" spans="32:34" x14ac:dyDescent="0.25">
      <c r="AF1832">
        <v>182.9</v>
      </c>
      <c r="AG1832">
        <v>3856.5273999999999</v>
      </c>
      <c r="AH1832">
        <f t="shared" si="38"/>
        <v>-4.3326000000001841</v>
      </c>
    </row>
    <row r="1833" spans="32:34" x14ac:dyDescent="0.25">
      <c r="AF1833">
        <v>183</v>
      </c>
      <c r="AG1833">
        <v>3856.498</v>
      </c>
      <c r="AH1833">
        <f t="shared" si="38"/>
        <v>-4.36200000000008</v>
      </c>
    </row>
    <row r="1834" spans="32:34" x14ac:dyDescent="0.25">
      <c r="AF1834">
        <v>183.1</v>
      </c>
      <c r="AG1834">
        <v>3856.4686000000002</v>
      </c>
      <c r="AH1834">
        <f t="shared" si="38"/>
        <v>-4.391399999999976</v>
      </c>
    </row>
    <row r="1835" spans="32:34" x14ac:dyDescent="0.25">
      <c r="AF1835">
        <v>183.2</v>
      </c>
      <c r="AG1835">
        <v>3856.4391999999998</v>
      </c>
      <c r="AH1835">
        <f t="shared" si="38"/>
        <v>-4.4208000000003267</v>
      </c>
    </row>
    <row r="1836" spans="32:34" x14ac:dyDescent="0.25">
      <c r="AF1836">
        <v>183.3</v>
      </c>
      <c r="AG1836">
        <v>3856.4097999999999</v>
      </c>
      <c r="AH1836">
        <f t="shared" si="38"/>
        <v>-4.4502000000002226</v>
      </c>
    </row>
    <row r="1837" spans="32:34" x14ac:dyDescent="0.25">
      <c r="AF1837">
        <v>183.4</v>
      </c>
      <c r="AG1837">
        <v>3856.3804</v>
      </c>
      <c r="AH1837">
        <f t="shared" si="38"/>
        <v>-4.4796000000001186</v>
      </c>
    </row>
    <row r="1838" spans="32:34" x14ac:dyDescent="0.25">
      <c r="AF1838">
        <v>183.5</v>
      </c>
      <c r="AG1838">
        <v>3856.3510000000001</v>
      </c>
      <c r="AH1838">
        <f t="shared" si="38"/>
        <v>-4.5090000000000146</v>
      </c>
    </row>
    <row r="1839" spans="32:34" x14ac:dyDescent="0.25">
      <c r="AF1839">
        <v>183.6</v>
      </c>
      <c r="AG1839">
        <v>3856.3215999999902</v>
      </c>
      <c r="AH1839">
        <f t="shared" si="38"/>
        <v>-4.5384000000099149</v>
      </c>
    </row>
    <row r="1840" spans="32:34" x14ac:dyDescent="0.25">
      <c r="AF1840">
        <v>183.7</v>
      </c>
      <c r="AG1840">
        <v>3856.2921999999999</v>
      </c>
      <c r="AH1840">
        <f t="shared" si="38"/>
        <v>-4.5678000000002612</v>
      </c>
    </row>
    <row r="1841" spans="32:34" x14ac:dyDescent="0.25">
      <c r="AF1841">
        <v>183.8</v>
      </c>
      <c r="AG1841">
        <v>3856.2628</v>
      </c>
      <c r="AH1841">
        <f t="shared" si="38"/>
        <v>-4.5972000000001572</v>
      </c>
    </row>
    <row r="1842" spans="32:34" x14ac:dyDescent="0.25">
      <c r="AF1842">
        <v>183.9</v>
      </c>
      <c r="AG1842">
        <v>3856.2334000000001</v>
      </c>
      <c r="AH1842">
        <f t="shared" si="38"/>
        <v>-4.6266000000000531</v>
      </c>
    </row>
    <row r="1843" spans="32:34" x14ac:dyDescent="0.25">
      <c r="AF1843">
        <v>184</v>
      </c>
      <c r="AG1843">
        <v>3856.2039999999902</v>
      </c>
      <c r="AH1843">
        <f t="shared" si="38"/>
        <v>-4.6560000000099535</v>
      </c>
    </row>
    <row r="1844" spans="32:34" x14ac:dyDescent="0.25">
      <c r="AF1844">
        <v>184.1</v>
      </c>
      <c r="AG1844">
        <v>3856.1745999999998</v>
      </c>
      <c r="AH1844">
        <f t="shared" si="38"/>
        <v>-4.6854000000002998</v>
      </c>
    </row>
    <row r="1845" spans="32:34" x14ac:dyDescent="0.25">
      <c r="AF1845">
        <v>184.2</v>
      </c>
      <c r="AG1845">
        <v>3856.1451999999999</v>
      </c>
      <c r="AH1845">
        <f t="shared" si="38"/>
        <v>-4.7148000000001957</v>
      </c>
    </row>
    <row r="1846" spans="32:34" x14ac:dyDescent="0.25">
      <c r="AF1846">
        <v>184.3</v>
      </c>
      <c r="AG1846">
        <v>3856.1158</v>
      </c>
      <c r="AH1846">
        <f t="shared" si="38"/>
        <v>-4.7442000000000917</v>
      </c>
    </row>
    <row r="1847" spans="32:34" x14ac:dyDescent="0.25">
      <c r="AF1847">
        <v>184.4</v>
      </c>
      <c r="AG1847">
        <v>3856.0863999999901</v>
      </c>
      <c r="AH1847">
        <f t="shared" si="38"/>
        <v>-4.7736000000099921</v>
      </c>
    </row>
    <row r="1848" spans="32:34" x14ac:dyDescent="0.25">
      <c r="AF1848">
        <v>184.5</v>
      </c>
      <c r="AG1848">
        <v>3856.0569999999998</v>
      </c>
      <c r="AH1848">
        <f t="shared" si="38"/>
        <v>-4.8030000000003383</v>
      </c>
    </row>
    <row r="1849" spans="32:34" x14ac:dyDescent="0.25">
      <c r="AF1849">
        <v>184.6</v>
      </c>
      <c r="AG1849">
        <v>3856.0275999999999</v>
      </c>
      <c r="AH1849">
        <f t="shared" si="38"/>
        <v>-4.8324000000002343</v>
      </c>
    </row>
    <row r="1850" spans="32:34" x14ac:dyDescent="0.25">
      <c r="AF1850">
        <v>184.7</v>
      </c>
      <c r="AG1850">
        <v>3855.9982</v>
      </c>
      <c r="AH1850">
        <f t="shared" si="38"/>
        <v>-4.8618000000001302</v>
      </c>
    </row>
    <row r="1851" spans="32:34" x14ac:dyDescent="0.25">
      <c r="AF1851">
        <v>184.8</v>
      </c>
      <c r="AG1851">
        <v>3855.9687999999901</v>
      </c>
      <c r="AH1851">
        <f t="shared" si="38"/>
        <v>-4.8912000000100306</v>
      </c>
    </row>
    <row r="1852" spans="32:34" x14ac:dyDescent="0.25">
      <c r="AF1852">
        <v>184.9</v>
      </c>
      <c r="AG1852">
        <v>3855.9393999999902</v>
      </c>
      <c r="AH1852">
        <f t="shared" si="38"/>
        <v>-4.9206000000099266</v>
      </c>
    </row>
    <row r="1853" spans="32:34" x14ac:dyDescent="0.25">
      <c r="AF1853">
        <v>185</v>
      </c>
      <c r="AG1853">
        <v>3855.91</v>
      </c>
      <c r="AH1853">
        <f t="shared" si="38"/>
        <v>-4.9500000000002728</v>
      </c>
    </row>
    <row r="1854" spans="32:34" x14ac:dyDescent="0.25">
      <c r="AF1854">
        <v>185.1</v>
      </c>
      <c r="AG1854">
        <v>3855.8885999999902</v>
      </c>
      <c r="AH1854">
        <f t="shared" si="38"/>
        <v>-4.9714000000099077</v>
      </c>
    </row>
    <row r="1855" spans="32:34" x14ac:dyDescent="0.25">
      <c r="AF1855">
        <v>185.2</v>
      </c>
      <c r="AG1855">
        <v>3855.8671999999901</v>
      </c>
      <c r="AH1855">
        <f t="shared" si="38"/>
        <v>-4.9928000000099928</v>
      </c>
    </row>
    <row r="1856" spans="32:34" x14ac:dyDescent="0.25">
      <c r="AF1856">
        <v>185.3</v>
      </c>
      <c r="AG1856">
        <v>3855.8458000000001</v>
      </c>
      <c r="AH1856">
        <f t="shared" si="38"/>
        <v>-5.0142000000000735</v>
      </c>
    </row>
    <row r="1857" spans="32:34" x14ac:dyDescent="0.25">
      <c r="AF1857">
        <v>185.4</v>
      </c>
      <c r="AG1857">
        <v>3855.8244</v>
      </c>
      <c r="AH1857">
        <f t="shared" si="38"/>
        <v>-5.0356000000001586</v>
      </c>
    </row>
    <row r="1858" spans="32:34" x14ac:dyDescent="0.25">
      <c r="AF1858">
        <v>185.5</v>
      </c>
      <c r="AG1858">
        <v>3855.8029999999999</v>
      </c>
      <c r="AH1858">
        <f t="shared" si="38"/>
        <v>-5.0570000000002437</v>
      </c>
    </row>
    <row r="1859" spans="32:34" x14ac:dyDescent="0.25">
      <c r="AF1859">
        <v>185.6</v>
      </c>
      <c r="AG1859">
        <v>3855.7815999999998</v>
      </c>
      <c r="AH1859">
        <f t="shared" si="38"/>
        <v>-5.0784000000003289</v>
      </c>
    </row>
    <row r="1860" spans="32:34" x14ac:dyDescent="0.25">
      <c r="AF1860">
        <v>185.7</v>
      </c>
      <c r="AG1860">
        <v>3855.7601999999902</v>
      </c>
      <c r="AH1860">
        <f t="shared" ref="AH1860:AH1923" si="39">AG1860-MAX($AG$3:$AG$2353)</f>
        <v>-5.0998000000099637</v>
      </c>
    </row>
    <row r="1861" spans="32:34" x14ac:dyDescent="0.25">
      <c r="AF1861">
        <v>185.8</v>
      </c>
      <c r="AG1861">
        <v>3855.7388000000001</v>
      </c>
      <c r="AH1861">
        <f t="shared" si="39"/>
        <v>-5.1212000000000444</v>
      </c>
    </row>
    <row r="1862" spans="32:34" x14ac:dyDescent="0.25">
      <c r="AF1862">
        <v>185.9</v>
      </c>
      <c r="AG1862">
        <v>3855.7174</v>
      </c>
      <c r="AH1862">
        <f t="shared" si="39"/>
        <v>-5.1426000000001295</v>
      </c>
    </row>
    <row r="1863" spans="32:34" x14ac:dyDescent="0.25">
      <c r="AF1863">
        <v>186</v>
      </c>
      <c r="AG1863">
        <v>3855.6959999999999</v>
      </c>
      <c r="AH1863">
        <f t="shared" si="39"/>
        <v>-5.1640000000002146</v>
      </c>
    </row>
    <row r="1864" spans="32:34" x14ac:dyDescent="0.25">
      <c r="AF1864">
        <v>186.1</v>
      </c>
      <c r="AG1864">
        <v>3855.6745999999998</v>
      </c>
      <c r="AH1864">
        <f t="shared" si="39"/>
        <v>-5.1854000000002998</v>
      </c>
    </row>
    <row r="1865" spans="32:34" x14ac:dyDescent="0.25">
      <c r="AF1865">
        <v>186.2</v>
      </c>
      <c r="AG1865">
        <v>3855.6531999999902</v>
      </c>
      <c r="AH1865">
        <f t="shared" si="39"/>
        <v>-5.2068000000099346</v>
      </c>
    </row>
    <row r="1866" spans="32:34" x14ac:dyDescent="0.25">
      <c r="AF1866">
        <v>186.3</v>
      </c>
      <c r="AG1866">
        <v>3855.6318000000001</v>
      </c>
      <c r="AH1866">
        <f t="shared" si="39"/>
        <v>-5.2282000000000153</v>
      </c>
    </row>
    <row r="1867" spans="32:34" x14ac:dyDescent="0.25">
      <c r="AF1867">
        <v>186.4</v>
      </c>
      <c r="AG1867">
        <v>3855.6104</v>
      </c>
      <c r="AH1867">
        <f t="shared" si="39"/>
        <v>-5.2496000000001004</v>
      </c>
    </row>
    <row r="1868" spans="32:34" x14ac:dyDescent="0.25">
      <c r="AF1868">
        <v>186.5</v>
      </c>
      <c r="AG1868">
        <v>3855.5889999999999</v>
      </c>
      <c r="AH1868">
        <f t="shared" si="39"/>
        <v>-5.2710000000001855</v>
      </c>
    </row>
    <row r="1869" spans="32:34" x14ac:dyDescent="0.25">
      <c r="AF1869">
        <v>186.6</v>
      </c>
      <c r="AG1869">
        <v>3855.5675999999999</v>
      </c>
      <c r="AH1869">
        <f t="shared" si="39"/>
        <v>-5.2924000000002707</v>
      </c>
    </row>
    <row r="1870" spans="32:34" x14ac:dyDescent="0.25">
      <c r="AF1870">
        <v>186.7</v>
      </c>
      <c r="AG1870">
        <v>3855.5461999999902</v>
      </c>
      <c r="AH1870">
        <f t="shared" si="39"/>
        <v>-5.3138000000099055</v>
      </c>
    </row>
    <row r="1871" spans="32:34" x14ac:dyDescent="0.25">
      <c r="AF1871">
        <v>186.8</v>
      </c>
      <c r="AG1871">
        <v>3855.5248000000001</v>
      </c>
      <c r="AH1871">
        <f t="shared" si="39"/>
        <v>-5.3351999999999862</v>
      </c>
    </row>
    <row r="1872" spans="32:34" x14ac:dyDescent="0.25">
      <c r="AF1872">
        <v>186.9</v>
      </c>
      <c r="AG1872">
        <v>3855.5034000000001</v>
      </c>
      <c r="AH1872">
        <f t="shared" si="39"/>
        <v>-5.3566000000000713</v>
      </c>
    </row>
    <row r="1873" spans="32:34" x14ac:dyDescent="0.25">
      <c r="AF1873">
        <v>187</v>
      </c>
      <c r="AG1873">
        <v>3855.482</v>
      </c>
      <c r="AH1873">
        <f t="shared" si="39"/>
        <v>-5.3780000000001564</v>
      </c>
    </row>
    <row r="1874" spans="32:34" x14ac:dyDescent="0.25">
      <c r="AF1874">
        <v>187.1</v>
      </c>
      <c r="AG1874">
        <v>3855.4605999999999</v>
      </c>
      <c r="AH1874">
        <f t="shared" si="39"/>
        <v>-5.3994000000002416</v>
      </c>
    </row>
    <row r="1875" spans="32:34" x14ac:dyDescent="0.25">
      <c r="AF1875">
        <v>187.2</v>
      </c>
      <c r="AG1875">
        <v>3855.4391999999998</v>
      </c>
      <c r="AH1875">
        <f t="shared" si="39"/>
        <v>-5.4208000000003267</v>
      </c>
    </row>
    <row r="1876" spans="32:34" x14ac:dyDescent="0.25">
      <c r="AF1876">
        <v>187.3</v>
      </c>
      <c r="AG1876">
        <v>3855.4178000000002</v>
      </c>
      <c r="AH1876">
        <f t="shared" si="39"/>
        <v>-5.4421999999999571</v>
      </c>
    </row>
    <row r="1877" spans="32:34" x14ac:dyDescent="0.25">
      <c r="AF1877">
        <v>187.4</v>
      </c>
      <c r="AG1877">
        <v>3855.3964000000001</v>
      </c>
      <c r="AH1877">
        <f t="shared" si="39"/>
        <v>-5.4636000000000422</v>
      </c>
    </row>
    <row r="1878" spans="32:34" x14ac:dyDescent="0.25">
      <c r="AF1878">
        <v>187.5</v>
      </c>
      <c r="AG1878">
        <v>3855.375</v>
      </c>
      <c r="AH1878">
        <f t="shared" si="39"/>
        <v>-5.4850000000001273</v>
      </c>
    </row>
    <row r="1879" spans="32:34" x14ac:dyDescent="0.25">
      <c r="AF1879">
        <v>187.6</v>
      </c>
      <c r="AG1879">
        <v>3855.3535999999999</v>
      </c>
      <c r="AH1879">
        <f t="shared" si="39"/>
        <v>-5.5064000000002125</v>
      </c>
    </row>
    <row r="1880" spans="32:34" x14ac:dyDescent="0.25">
      <c r="AF1880">
        <v>187.7</v>
      </c>
      <c r="AG1880">
        <v>3855.3321999999998</v>
      </c>
      <c r="AH1880">
        <f t="shared" si="39"/>
        <v>-5.5278000000002976</v>
      </c>
    </row>
    <row r="1881" spans="32:34" x14ac:dyDescent="0.25">
      <c r="AF1881">
        <v>187.8</v>
      </c>
      <c r="AG1881">
        <v>3855.3108000000002</v>
      </c>
      <c r="AH1881">
        <f t="shared" si="39"/>
        <v>-5.549199999999928</v>
      </c>
    </row>
    <row r="1882" spans="32:34" x14ac:dyDescent="0.25">
      <c r="AF1882">
        <v>187.9</v>
      </c>
      <c r="AG1882">
        <v>3855.2894000000001</v>
      </c>
      <c r="AH1882">
        <f t="shared" si="39"/>
        <v>-5.5706000000000131</v>
      </c>
    </row>
    <row r="1883" spans="32:34" x14ac:dyDescent="0.25">
      <c r="AF1883">
        <v>188</v>
      </c>
      <c r="AG1883">
        <v>3855.268</v>
      </c>
      <c r="AH1883">
        <f t="shared" si="39"/>
        <v>-5.5920000000000982</v>
      </c>
    </row>
    <row r="1884" spans="32:34" x14ac:dyDescent="0.25">
      <c r="AF1884">
        <v>188.1</v>
      </c>
      <c r="AG1884">
        <v>3855.2465999999999</v>
      </c>
      <c r="AH1884">
        <f t="shared" si="39"/>
        <v>-5.6134000000001834</v>
      </c>
    </row>
    <row r="1885" spans="32:34" x14ac:dyDescent="0.25">
      <c r="AF1885">
        <v>188.2</v>
      </c>
      <c r="AG1885">
        <v>3855.2251999999999</v>
      </c>
      <c r="AH1885">
        <f t="shared" si="39"/>
        <v>-5.6348000000002685</v>
      </c>
    </row>
    <row r="1886" spans="32:34" x14ac:dyDescent="0.25">
      <c r="AF1886">
        <v>188.3</v>
      </c>
      <c r="AG1886">
        <v>3855.2037999999998</v>
      </c>
      <c r="AH1886">
        <f t="shared" si="39"/>
        <v>-5.6562000000003536</v>
      </c>
    </row>
    <row r="1887" spans="32:34" x14ac:dyDescent="0.25">
      <c r="AF1887">
        <v>188.4</v>
      </c>
      <c r="AG1887">
        <v>3855.1824000000001</v>
      </c>
      <c r="AH1887">
        <f t="shared" si="39"/>
        <v>-5.677599999999984</v>
      </c>
    </row>
    <row r="1888" spans="32:34" x14ac:dyDescent="0.25">
      <c r="AF1888">
        <v>188.5</v>
      </c>
      <c r="AG1888">
        <v>3855.1610000000001</v>
      </c>
      <c r="AH1888">
        <f t="shared" si="39"/>
        <v>-5.6990000000000691</v>
      </c>
    </row>
    <row r="1889" spans="32:34" x14ac:dyDescent="0.25">
      <c r="AF1889">
        <v>188.6</v>
      </c>
      <c r="AG1889">
        <v>3855.1396</v>
      </c>
      <c r="AH1889">
        <f t="shared" si="39"/>
        <v>-5.7204000000001543</v>
      </c>
    </row>
    <row r="1890" spans="32:34" x14ac:dyDescent="0.25">
      <c r="AF1890">
        <v>188.7</v>
      </c>
      <c r="AG1890">
        <v>3855.1181999999999</v>
      </c>
      <c r="AH1890">
        <f t="shared" si="39"/>
        <v>-5.7418000000002394</v>
      </c>
    </row>
    <row r="1891" spans="32:34" x14ac:dyDescent="0.25">
      <c r="AF1891">
        <v>188.8</v>
      </c>
      <c r="AG1891">
        <v>3855.0967999999998</v>
      </c>
      <c r="AH1891">
        <f t="shared" si="39"/>
        <v>-5.7632000000003245</v>
      </c>
    </row>
    <row r="1892" spans="32:34" x14ac:dyDescent="0.25">
      <c r="AF1892">
        <v>188.9</v>
      </c>
      <c r="AG1892">
        <v>3855.0754000000002</v>
      </c>
      <c r="AH1892">
        <f t="shared" si="39"/>
        <v>-5.7845999999999549</v>
      </c>
    </row>
    <row r="1893" spans="32:34" x14ac:dyDescent="0.25">
      <c r="AF1893">
        <v>189</v>
      </c>
      <c r="AG1893">
        <v>3855.0540000000001</v>
      </c>
      <c r="AH1893">
        <f t="shared" si="39"/>
        <v>-5.80600000000004</v>
      </c>
    </row>
    <row r="1894" spans="32:34" x14ac:dyDescent="0.25">
      <c r="AF1894">
        <v>189.1</v>
      </c>
      <c r="AG1894">
        <v>3855.0326</v>
      </c>
      <c r="AH1894">
        <f t="shared" si="39"/>
        <v>-5.8274000000001251</v>
      </c>
    </row>
    <row r="1895" spans="32:34" x14ac:dyDescent="0.25">
      <c r="AF1895">
        <v>189.2</v>
      </c>
      <c r="AG1895">
        <v>3855.0111999999999</v>
      </c>
      <c r="AH1895">
        <f t="shared" si="39"/>
        <v>-5.8488000000002103</v>
      </c>
    </row>
    <row r="1896" spans="32:34" x14ac:dyDescent="0.25">
      <c r="AF1896">
        <v>189.3</v>
      </c>
      <c r="AG1896">
        <v>3854.9897999999998</v>
      </c>
      <c r="AH1896">
        <f t="shared" si="39"/>
        <v>-5.8702000000002954</v>
      </c>
    </row>
    <row r="1897" spans="32:34" x14ac:dyDescent="0.25">
      <c r="AF1897">
        <v>189.4</v>
      </c>
      <c r="AG1897">
        <v>3854.9684000000002</v>
      </c>
      <c r="AH1897">
        <f t="shared" si="39"/>
        <v>-5.8915999999999258</v>
      </c>
    </row>
    <row r="1898" spans="32:34" x14ac:dyDescent="0.25">
      <c r="AF1898">
        <v>189.5</v>
      </c>
      <c r="AG1898">
        <v>3854.9470000000001</v>
      </c>
      <c r="AH1898">
        <f t="shared" si="39"/>
        <v>-5.9130000000000109</v>
      </c>
    </row>
    <row r="1899" spans="32:34" x14ac:dyDescent="0.25">
      <c r="AF1899">
        <v>189.6</v>
      </c>
      <c r="AG1899">
        <v>3854.9256</v>
      </c>
      <c r="AH1899">
        <f t="shared" si="39"/>
        <v>-5.934400000000096</v>
      </c>
    </row>
    <row r="1900" spans="32:34" x14ac:dyDescent="0.25">
      <c r="AF1900">
        <v>189.7</v>
      </c>
      <c r="AG1900">
        <v>3854.9041999999999</v>
      </c>
      <c r="AH1900">
        <f t="shared" si="39"/>
        <v>-5.9558000000001812</v>
      </c>
    </row>
    <row r="1901" spans="32:34" x14ac:dyDescent="0.25">
      <c r="AF1901">
        <v>189.8</v>
      </c>
      <c r="AG1901">
        <v>3854.8827999999999</v>
      </c>
      <c r="AH1901">
        <f t="shared" si="39"/>
        <v>-5.9772000000002663</v>
      </c>
    </row>
    <row r="1902" spans="32:34" x14ac:dyDescent="0.25">
      <c r="AF1902">
        <v>189.9</v>
      </c>
      <c r="AG1902">
        <v>3854.8613999999998</v>
      </c>
      <c r="AH1902">
        <f t="shared" si="39"/>
        <v>-5.9986000000003514</v>
      </c>
    </row>
    <row r="1903" spans="32:34" x14ac:dyDescent="0.25">
      <c r="AF1903">
        <v>190</v>
      </c>
      <c r="AG1903">
        <v>3854.84</v>
      </c>
      <c r="AH1903">
        <f t="shared" si="39"/>
        <v>-6.0199999999999818</v>
      </c>
    </row>
    <row r="1904" spans="32:34" x14ac:dyDescent="0.25">
      <c r="AF1904">
        <v>190.1</v>
      </c>
      <c r="AG1904">
        <v>3854.8498</v>
      </c>
      <c r="AH1904">
        <f t="shared" si="39"/>
        <v>-6.0102000000001681</v>
      </c>
    </row>
    <row r="1905" spans="32:34" x14ac:dyDescent="0.25">
      <c r="AF1905">
        <v>190.2</v>
      </c>
      <c r="AG1905">
        <v>3854.8595999999998</v>
      </c>
      <c r="AH1905">
        <f t="shared" si="39"/>
        <v>-6.0004000000003543</v>
      </c>
    </row>
    <row r="1906" spans="32:34" x14ac:dyDescent="0.25">
      <c r="AF1906">
        <v>190.3</v>
      </c>
      <c r="AG1906">
        <v>3854.8694</v>
      </c>
      <c r="AH1906">
        <f t="shared" si="39"/>
        <v>-5.9906000000000859</v>
      </c>
    </row>
    <row r="1907" spans="32:34" x14ac:dyDescent="0.25">
      <c r="AF1907">
        <v>190.4</v>
      </c>
      <c r="AG1907">
        <v>3854.8791999999999</v>
      </c>
      <c r="AH1907">
        <f t="shared" si="39"/>
        <v>-5.9808000000002721</v>
      </c>
    </row>
    <row r="1908" spans="32:34" x14ac:dyDescent="0.25">
      <c r="AF1908">
        <v>190.5</v>
      </c>
      <c r="AG1908">
        <v>3854.8890000000001</v>
      </c>
      <c r="AH1908">
        <f t="shared" si="39"/>
        <v>-5.9710000000000036</v>
      </c>
    </row>
    <row r="1909" spans="32:34" x14ac:dyDescent="0.25">
      <c r="AF1909">
        <v>190.6</v>
      </c>
      <c r="AG1909">
        <v>3854.8987999999999</v>
      </c>
      <c r="AH1909">
        <f t="shared" si="39"/>
        <v>-5.9612000000001899</v>
      </c>
    </row>
    <row r="1910" spans="32:34" x14ac:dyDescent="0.25">
      <c r="AF1910">
        <v>190.7</v>
      </c>
      <c r="AG1910">
        <v>3854.9086000000002</v>
      </c>
      <c r="AH1910">
        <f t="shared" si="39"/>
        <v>-5.9513999999999214</v>
      </c>
    </row>
    <row r="1911" spans="32:34" x14ac:dyDescent="0.25">
      <c r="AF1911">
        <v>190.8</v>
      </c>
      <c r="AG1911">
        <v>3854.9184</v>
      </c>
      <c r="AH1911">
        <f t="shared" si="39"/>
        <v>-5.9416000000001077</v>
      </c>
    </row>
    <row r="1912" spans="32:34" x14ac:dyDescent="0.25">
      <c r="AF1912">
        <v>190.9</v>
      </c>
      <c r="AG1912">
        <v>3854.9281999999998</v>
      </c>
      <c r="AH1912">
        <f t="shared" si="39"/>
        <v>-5.9318000000002939</v>
      </c>
    </row>
    <row r="1913" spans="32:34" x14ac:dyDescent="0.25">
      <c r="AF1913">
        <v>191</v>
      </c>
      <c r="AG1913">
        <v>3854.9380000000001</v>
      </c>
      <c r="AH1913">
        <f t="shared" si="39"/>
        <v>-5.9220000000000255</v>
      </c>
    </row>
    <row r="1914" spans="32:34" x14ac:dyDescent="0.25">
      <c r="AF1914">
        <v>191.1</v>
      </c>
      <c r="AG1914">
        <v>3854.9477999999999</v>
      </c>
      <c r="AH1914">
        <f t="shared" si="39"/>
        <v>-5.9122000000002117</v>
      </c>
    </row>
    <row r="1915" spans="32:34" x14ac:dyDescent="0.25">
      <c r="AF1915">
        <v>191.2</v>
      </c>
      <c r="AG1915">
        <v>3854.9576000000002</v>
      </c>
      <c r="AH1915">
        <f t="shared" si="39"/>
        <v>-5.9023999999999432</v>
      </c>
    </row>
    <row r="1916" spans="32:34" x14ac:dyDescent="0.25">
      <c r="AF1916">
        <v>191.3</v>
      </c>
      <c r="AG1916">
        <v>3854.9674</v>
      </c>
      <c r="AH1916">
        <f t="shared" si="39"/>
        <v>-5.8926000000001295</v>
      </c>
    </row>
    <row r="1917" spans="32:34" x14ac:dyDescent="0.25">
      <c r="AF1917">
        <v>191.4</v>
      </c>
      <c r="AG1917">
        <v>3854.9771999999998</v>
      </c>
      <c r="AH1917">
        <f t="shared" si="39"/>
        <v>-5.8828000000003158</v>
      </c>
    </row>
    <row r="1918" spans="32:34" x14ac:dyDescent="0.25">
      <c r="AF1918">
        <v>191.5</v>
      </c>
      <c r="AG1918">
        <v>3854.9870000000001</v>
      </c>
      <c r="AH1918">
        <f t="shared" si="39"/>
        <v>-5.8730000000000473</v>
      </c>
    </row>
    <row r="1919" spans="32:34" x14ac:dyDescent="0.25">
      <c r="AF1919">
        <v>191.6</v>
      </c>
      <c r="AG1919">
        <v>3854.9967999999999</v>
      </c>
      <c r="AH1919">
        <f t="shared" si="39"/>
        <v>-5.8632000000002336</v>
      </c>
    </row>
    <row r="1920" spans="32:34" x14ac:dyDescent="0.25">
      <c r="AF1920">
        <v>191.7</v>
      </c>
      <c r="AG1920">
        <v>3855.0066000000002</v>
      </c>
      <c r="AH1920">
        <f t="shared" si="39"/>
        <v>-5.8533999999999651</v>
      </c>
    </row>
    <row r="1921" spans="32:34" x14ac:dyDescent="0.25">
      <c r="AF1921">
        <v>191.8</v>
      </c>
      <c r="AG1921">
        <v>3855.0164</v>
      </c>
      <c r="AH1921">
        <f t="shared" si="39"/>
        <v>-5.8436000000001513</v>
      </c>
    </row>
    <row r="1922" spans="32:34" x14ac:dyDescent="0.25">
      <c r="AF1922">
        <v>191.9</v>
      </c>
      <c r="AG1922">
        <v>3855.0261999999998</v>
      </c>
      <c r="AH1922">
        <f t="shared" si="39"/>
        <v>-5.8338000000003376</v>
      </c>
    </row>
    <row r="1923" spans="32:34" x14ac:dyDescent="0.25">
      <c r="AF1923">
        <v>192</v>
      </c>
      <c r="AG1923">
        <v>3855.0360000000001</v>
      </c>
      <c r="AH1923">
        <f t="shared" si="39"/>
        <v>-5.8240000000000691</v>
      </c>
    </row>
    <row r="1924" spans="32:34" x14ac:dyDescent="0.25">
      <c r="AF1924">
        <v>192.1</v>
      </c>
      <c r="AG1924">
        <v>3855.0457999999999</v>
      </c>
      <c r="AH1924">
        <f t="shared" ref="AH1924:AH1987" si="40">AG1924-MAX($AG$3:$AG$2353)</f>
        <v>-5.8142000000002554</v>
      </c>
    </row>
    <row r="1925" spans="32:34" x14ac:dyDescent="0.25">
      <c r="AF1925">
        <v>192.2</v>
      </c>
      <c r="AG1925">
        <v>3855.0556000000001</v>
      </c>
      <c r="AH1925">
        <f t="shared" si="40"/>
        <v>-5.8043999999999869</v>
      </c>
    </row>
    <row r="1926" spans="32:34" x14ac:dyDescent="0.25">
      <c r="AF1926">
        <v>192.3</v>
      </c>
      <c r="AG1926">
        <v>3855.0654</v>
      </c>
      <c r="AH1926">
        <f t="shared" si="40"/>
        <v>-5.7946000000001732</v>
      </c>
    </row>
    <row r="1927" spans="32:34" x14ac:dyDescent="0.25">
      <c r="AF1927">
        <v>192.4</v>
      </c>
      <c r="AG1927">
        <v>3855.0752000000002</v>
      </c>
      <c r="AH1927">
        <f t="shared" si="40"/>
        <v>-5.7847999999999047</v>
      </c>
    </row>
    <row r="1928" spans="32:34" x14ac:dyDescent="0.25">
      <c r="AF1928">
        <v>192.5</v>
      </c>
      <c r="AG1928">
        <v>3855.085</v>
      </c>
      <c r="AH1928">
        <f t="shared" si="40"/>
        <v>-5.7750000000000909</v>
      </c>
    </row>
    <row r="1929" spans="32:34" x14ac:dyDescent="0.25">
      <c r="AF1929">
        <v>192.6</v>
      </c>
      <c r="AG1929">
        <v>3855.0947999999999</v>
      </c>
      <c r="AH1929">
        <f t="shared" si="40"/>
        <v>-5.7652000000002772</v>
      </c>
    </row>
    <row r="1930" spans="32:34" x14ac:dyDescent="0.25">
      <c r="AF1930">
        <v>192.7</v>
      </c>
      <c r="AG1930">
        <v>3855.1046000000001</v>
      </c>
      <c r="AH1930">
        <f t="shared" si="40"/>
        <v>-5.7554000000000087</v>
      </c>
    </row>
    <row r="1931" spans="32:34" x14ac:dyDescent="0.25">
      <c r="AF1931">
        <v>192.8</v>
      </c>
      <c r="AG1931">
        <v>3855.1143999999999</v>
      </c>
      <c r="AH1931">
        <f t="shared" si="40"/>
        <v>-5.745600000000195</v>
      </c>
    </row>
    <row r="1932" spans="32:34" x14ac:dyDescent="0.25">
      <c r="AF1932">
        <v>192.9</v>
      </c>
      <c r="AG1932">
        <v>3855.1242000000002</v>
      </c>
      <c r="AH1932">
        <f t="shared" si="40"/>
        <v>-5.7357999999999265</v>
      </c>
    </row>
    <row r="1933" spans="32:34" x14ac:dyDescent="0.25">
      <c r="AF1933">
        <v>193</v>
      </c>
      <c r="AG1933">
        <v>3855.134</v>
      </c>
      <c r="AH1933">
        <f t="shared" si="40"/>
        <v>-5.7260000000001128</v>
      </c>
    </row>
    <row r="1934" spans="32:34" x14ac:dyDescent="0.25">
      <c r="AF1934">
        <v>193.1</v>
      </c>
      <c r="AG1934">
        <v>3855.1437999999998</v>
      </c>
      <c r="AH1934">
        <f t="shared" si="40"/>
        <v>-5.716200000000299</v>
      </c>
    </row>
    <row r="1935" spans="32:34" x14ac:dyDescent="0.25">
      <c r="AF1935">
        <v>193.2</v>
      </c>
      <c r="AG1935">
        <v>3855.1536000000001</v>
      </c>
      <c r="AH1935">
        <f t="shared" si="40"/>
        <v>-5.7064000000000306</v>
      </c>
    </row>
    <row r="1936" spans="32:34" x14ac:dyDescent="0.25">
      <c r="AF1936">
        <v>193.3</v>
      </c>
      <c r="AG1936">
        <v>3855.1633999999999</v>
      </c>
      <c r="AH1936">
        <f t="shared" si="40"/>
        <v>-5.6966000000002168</v>
      </c>
    </row>
    <row r="1937" spans="32:34" x14ac:dyDescent="0.25">
      <c r="AF1937">
        <v>193.4</v>
      </c>
      <c r="AG1937">
        <v>3855.1732000000002</v>
      </c>
      <c r="AH1937">
        <f t="shared" si="40"/>
        <v>-5.6867999999999483</v>
      </c>
    </row>
    <row r="1938" spans="32:34" x14ac:dyDescent="0.25">
      <c r="AF1938">
        <v>193.5</v>
      </c>
      <c r="AG1938">
        <v>3855.183</v>
      </c>
      <c r="AH1938">
        <f t="shared" si="40"/>
        <v>-5.6770000000001346</v>
      </c>
    </row>
    <row r="1939" spans="32:34" x14ac:dyDescent="0.25">
      <c r="AF1939">
        <v>193.6</v>
      </c>
      <c r="AG1939">
        <v>3855.1927999999998</v>
      </c>
      <c r="AH1939">
        <f t="shared" si="40"/>
        <v>-5.6672000000003209</v>
      </c>
    </row>
    <row r="1940" spans="32:34" x14ac:dyDescent="0.25">
      <c r="AF1940">
        <v>193.7</v>
      </c>
      <c r="AG1940">
        <v>3855.2026000000001</v>
      </c>
      <c r="AH1940">
        <f t="shared" si="40"/>
        <v>-5.6574000000000524</v>
      </c>
    </row>
    <row r="1941" spans="32:34" x14ac:dyDescent="0.25">
      <c r="AF1941">
        <v>193.8</v>
      </c>
      <c r="AG1941">
        <v>3855.2123999999999</v>
      </c>
      <c r="AH1941">
        <f t="shared" si="40"/>
        <v>-5.6476000000002387</v>
      </c>
    </row>
    <row r="1942" spans="32:34" x14ac:dyDescent="0.25">
      <c r="AF1942">
        <v>193.9</v>
      </c>
      <c r="AG1942">
        <v>3855.2222000000002</v>
      </c>
      <c r="AH1942">
        <f t="shared" si="40"/>
        <v>-5.6377999999999702</v>
      </c>
    </row>
    <row r="1943" spans="32:34" x14ac:dyDescent="0.25">
      <c r="AF1943">
        <v>194</v>
      </c>
      <c r="AG1943">
        <v>3855.232</v>
      </c>
      <c r="AH1943">
        <f t="shared" si="40"/>
        <v>-5.6280000000001564</v>
      </c>
    </row>
    <row r="1944" spans="32:34" x14ac:dyDescent="0.25">
      <c r="AF1944">
        <v>194.1</v>
      </c>
      <c r="AG1944">
        <v>3855.2417999999998</v>
      </c>
      <c r="AH1944">
        <f t="shared" si="40"/>
        <v>-5.6182000000003427</v>
      </c>
    </row>
    <row r="1945" spans="32:34" x14ac:dyDescent="0.25">
      <c r="AF1945">
        <v>194.2</v>
      </c>
      <c r="AG1945">
        <v>3855.2516000000001</v>
      </c>
      <c r="AH1945">
        <f t="shared" si="40"/>
        <v>-5.6084000000000742</v>
      </c>
    </row>
    <row r="1946" spans="32:34" x14ac:dyDescent="0.25">
      <c r="AF1946">
        <v>194.3</v>
      </c>
      <c r="AG1946">
        <v>3855.2613999999999</v>
      </c>
      <c r="AH1946">
        <f t="shared" si="40"/>
        <v>-5.5986000000002605</v>
      </c>
    </row>
    <row r="1947" spans="32:34" x14ac:dyDescent="0.25">
      <c r="AF1947">
        <v>194.4</v>
      </c>
      <c r="AG1947">
        <v>3855.2712000000001</v>
      </c>
      <c r="AH1947">
        <f t="shared" si="40"/>
        <v>-5.588799999999992</v>
      </c>
    </row>
    <row r="1948" spans="32:34" x14ac:dyDescent="0.25">
      <c r="AF1948">
        <v>194.5</v>
      </c>
      <c r="AG1948">
        <v>3855.2809999999999</v>
      </c>
      <c r="AH1948">
        <f t="shared" si="40"/>
        <v>-5.5790000000001783</v>
      </c>
    </row>
    <row r="1949" spans="32:34" x14ac:dyDescent="0.25">
      <c r="AF1949">
        <v>194.6</v>
      </c>
      <c r="AG1949">
        <v>3855.2907999999902</v>
      </c>
      <c r="AH1949">
        <f t="shared" si="40"/>
        <v>-5.5692000000099142</v>
      </c>
    </row>
    <row r="1950" spans="32:34" x14ac:dyDescent="0.25">
      <c r="AF1950">
        <v>194.7</v>
      </c>
      <c r="AG1950">
        <v>3855.3006</v>
      </c>
      <c r="AH1950">
        <f t="shared" si="40"/>
        <v>-5.559400000000096</v>
      </c>
    </row>
    <row r="1951" spans="32:34" x14ac:dyDescent="0.25">
      <c r="AF1951">
        <v>194.8</v>
      </c>
      <c r="AG1951">
        <v>3855.3103999999998</v>
      </c>
      <c r="AH1951">
        <f t="shared" si="40"/>
        <v>-5.5496000000002823</v>
      </c>
    </row>
    <row r="1952" spans="32:34" x14ac:dyDescent="0.25">
      <c r="AF1952">
        <v>194.9</v>
      </c>
      <c r="AG1952">
        <v>3855.3202000000001</v>
      </c>
      <c r="AH1952">
        <f t="shared" si="40"/>
        <v>-5.5398000000000138</v>
      </c>
    </row>
    <row r="1953" spans="32:34" x14ac:dyDescent="0.25">
      <c r="AF1953">
        <v>195</v>
      </c>
      <c r="AG1953">
        <v>3855.33</v>
      </c>
      <c r="AH1953">
        <f t="shared" si="40"/>
        <v>-5.5300000000002001</v>
      </c>
    </row>
    <row r="1954" spans="32:34" x14ac:dyDescent="0.25">
      <c r="AF1954">
        <v>195.1</v>
      </c>
      <c r="AG1954">
        <v>3855.3317999999999</v>
      </c>
      <c r="AH1954">
        <f t="shared" si="40"/>
        <v>-5.5282000000001972</v>
      </c>
    </row>
    <row r="1955" spans="32:34" x14ac:dyDescent="0.25">
      <c r="AF1955">
        <v>195.2</v>
      </c>
      <c r="AG1955">
        <v>3855.3335999999999</v>
      </c>
      <c r="AH1955">
        <f t="shared" si="40"/>
        <v>-5.5264000000001943</v>
      </c>
    </row>
    <row r="1956" spans="32:34" x14ac:dyDescent="0.25">
      <c r="AF1956">
        <v>195.3</v>
      </c>
      <c r="AG1956">
        <v>3855.3353999999999</v>
      </c>
      <c r="AH1956">
        <f t="shared" si="40"/>
        <v>-5.5246000000001914</v>
      </c>
    </row>
    <row r="1957" spans="32:34" x14ac:dyDescent="0.25">
      <c r="AF1957">
        <v>195.4</v>
      </c>
      <c r="AG1957">
        <v>3855.3371999999999</v>
      </c>
      <c r="AH1957">
        <f t="shared" si="40"/>
        <v>-5.5228000000001884</v>
      </c>
    </row>
    <row r="1958" spans="32:34" x14ac:dyDescent="0.25">
      <c r="AF1958">
        <v>195.5</v>
      </c>
      <c r="AG1958">
        <v>3855.3389999999999</v>
      </c>
      <c r="AH1958">
        <f t="shared" si="40"/>
        <v>-5.5210000000001855</v>
      </c>
    </row>
    <row r="1959" spans="32:34" x14ac:dyDescent="0.25">
      <c r="AF1959">
        <v>195.6</v>
      </c>
      <c r="AG1959">
        <v>3855.3407999999999</v>
      </c>
      <c r="AH1959">
        <f t="shared" si="40"/>
        <v>-5.5192000000001826</v>
      </c>
    </row>
    <row r="1960" spans="32:34" x14ac:dyDescent="0.25">
      <c r="AF1960">
        <v>195.7</v>
      </c>
      <c r="AG1960">
        <v>3855.3425999999999</v>
      </c>
      <c r="AH1960">
        <f t="shared" si="40"/>
        <v>-5.5174000000001797</v>
      </c>
    </row>
    <row r="1961" spans="32:34" x14ac:dyDescent="0.25">
      <c r="AF1961">
        <v>195.8</v>
      </c>
      <c r="AG1961">
        <v>3855.3444</v>
      </c>
      <c r="AH1961">
        <f t="shared" si="40"/>
        <v>-5.5156000000001768</v>
      </c>
    </row>
    <row r="1962" spans="32:34" x14ac:dyDescent="0.25">
      <c r="AF1962">
        <v>195.9</v>
      </c>
      <c r="AG1962">
        <v>3855.3462</v>
      </c>
      <c r="AH1962">
        <f t="shared" si="40"/>
        <v>-5.5138000000001739</v>
      </c>
    </row>
    <row r="1963" spans="32:34" x14ac:dyDescent="0.25">
      <c r="AF1963">
        <v>196</v>
      </c>
      <c r="AG1963">
        <v>3855.348</v>
      </c>
      <c r="AH1963">
        <f t="shared" si="40"/>
        <v>-5.512000000000171</v>
      </c>
    </row>
    <row r="1964" spans="32:34" x14ac:dyDescent="0.25">
      <c r="AF1964">
        <v>196.1</v>
      </c>
      <c r="AG1964">
        <v>3855.3498</v>
      </c>
      <c r="AH1964">
        <f t="shared" si="40"/>
        <v>-5.5102000000001681</v>
      </c>
    </row>
    <row r="1965" spans="32:34" x14ac:dyDescent="0.25">
      <c r="AF1965">
        <v>196.2</v>
      </c>
      <c r="AG1965">
        <v>3855.3516</v>
      </c>
      <c r="AH1965">
        <f t="shared" si="40"/>
        <v>-5.5084000000001652</v>
      </c>
    </row>
    <row r="1966" spans="32:34" x14ac:dyDescent="0.25">
      <c r="AF1966">
        <v>196.3</v>
      </c>
      <c r="AG1966">
        <v>3855.3534</v>
      </c>
      <c r="AH1966">
        <f t="shared" si="40"/>
        <v>-5.5066000000001623</v>
      </c>
    </row>
    <row r="1967" spans="32:34" x14ac:dyDescent="0.25">
      <c r="AF1967">
        <v>196.4</v>
      </c>
      <c r="AG1967">
        <v>3855.3552</v>
      </c>
      <c r="AH1967">
        <f t="shared" si="40"/>
        <v>-5.5048000000001593</v>
      </c>
    </row>
    <row r="1968" spans="32:34" x14ac:dyDescent="0.25">
      <c r="AF1968">
        <v>196.5</v>
      </c>
      <c r="AG1968">
        <v>3855.357</v>
      </c>
      <c r="AH1968">
        <f t="shared" si="40"/>
        <v>-5.5030000000001564</v>
      </c>
    </row>
    <row r="1969" spans="32:34" x14ac:dyDescent="0.25">
      <c r="AF1969">
        <v>196.6</v>
      </c>
      <c r="AG1969">
        <v>3855.3588</v>
      </c>
      <c r="AH1969">
        <f t="shared" si="40"/>
        <v>-5.5012000000001535</v>
      </c>
    </row>
    <row r="1970" spans="32:34" x14ac:dyDescent="0.25">
      <c r="AF1970">
        <v>196.7</v>
      </c>
      <c r="AG1970">
        <v>3855.3606</v>
      </c>
      <c r="AH1970">
        <f t="shared" si="40"/>
        <v>-5.4994000000001506</v>
      </c>
    </row>
    <row r="1971" spans="32:34" x14ac:dyDescent="0.25">
      <c r="AF1971">
        <v>196.8</v>
      </c>
      <c r="AG1971">
        <v>3855.3624</v>
      </c>
      <c r="AH1971">
        <f t="shared" si="40"/>
        <v>-5.4976000000001477</v>
      </c>
    </row>
    <row r="1972" spans="32:34" x14ac:dyDescent="0.25">
      <c r="AF1972">
        <v>196.9</v>
      </c>
      <c r="AG1972">
        <v>3855.3642</v>
      </c>
      <c r="AH1972">
        <f t="shared" si="40"/>
        <v>-5.4958000000001448</v>
      </c>
    </row>
    <row r="1973" spans="32:34" x14ac:dyDescent="0.25">
      <c r="AF1973">
        <v>197</v>
      </c>
      <c r="AG1973">
        <v>3855.366</v>
      </c>
      <c r="AH1973">
        <f t="shared" si="40"/>
        <v>-5.4940000000001419</v>
      </c>
    </row>
    <row r="1974" spans="32:34" x14ac:dyDescent="0.25">
      <c r="AF1974">
        <v>197.1</v>
      </c>
      <c r="AG1974">
        <v>3855.3678</v>
      </c>
      <c r="AH1974">
        <f t="shared" si="40"/>
        <v>-5.492200000000139</v>
      </c>
    </row>
    <row r="1975" spans="32:34" x14ac:dyDescent="0.25">
      <c r="AF1975">
        <v>197.2</v>
      </c>
      <c r="AG1975">
        <v>3855.3696</v>
      </c>
      <c r="AH1975">
        <f t="shared" si="40"/>
        <v>-5.4904000000001361</v>
      </c>
    </row>
    <row r="1976" spans="32:34" x14ac:dyDescent="0.25">
      <c r="AF1976">
        <v>197.3</v>
      </c>
      <c r="AG1976">
        <v>3855.3714</v>
      </c>
      <c r="AH1976">
        <f t="shared" si="40"/>
        <v>-5.4886000000001332</v>
      </c>
    </row>
    <row r="1977" spans="32:34" x14ac:dyDescent="0.25">
      <c r="AF1977">
        <v>197.4</v>
      </c>
      <c r="AG1977">
        <v>3855.3732</v>
      </c>
      <c r="AH1977">
        <f t="shared" si="40"/>
        <v>-5.4868000000001302</v>
      </c>
    </row>
    <row r="1978" spans="32:34" x14ac:dyDescent="0.25">
      <c r="AF1978">
        <v>197.5</v>
      </c>
      <c r="AG1978">
        <v>3855.375</v>
      </c>
      <c r="AH1978">
        <f t="shared" si="40"/>
        <v>-5.4850000000001273</v>
      </c>
    </row>
    <row r="1979" spans="32:34" x14ac:dyDescent="0.25">
      <c r="AF1979">
        <v>197.6</v>
      </c>
      <c r="AG1979">
        <v>3855.3768</v>
      </c>
      <c r="AH1979">
        <f t="shared" si="40"/>
        <v>-5.4832000000001244</v>
      </c>
    </row>
    <row r="1980" spans="32:34" x14ac:dyDescent="0.25">
      <c r="AF1980">
        <v>197.7</v>
      </c>
      <c r="AG1980">
        <v>3855.3786</v>
      </c>
      <c r="AH1980">
        <f t="shared" si="40"/>
        <v>-5.4814000000001215</v>
      </c>
    </row>
    <row r="1981" spans="32:34" x14ac:dyDescent="0.25">
      <c r="AF1981">
        <v>197.8</v>
      </c>
      <c r="AG1981">
        <v>3855.3804</v>
      </c>
      <c r="AH1981">
        <f t="shared" si="40"/>
        <v>-5.4796000000001186</v>
      </c>
    </row>
    <row r="1982" spans="32:34" x14ac:dyDescent="0.25">
      <c r="AF1982">
        <v>197.9</v>
      </c>
      <c r="AG1982">
        <v>3855.3822</v>
      </c>
      <c r="AH1982">
        <f t="shared" si="40"/>
        <v>-5.4778000000001157</v>
      </c>
    </row>
    <row r="1983" spans="32:34" x14ac:dyDescent="0.25">
      <c r="AF1983">
        <v>198</v>
      </c>
      <c r="AG1983">
        <v>3855.384</v>
      </c>
      <c r="AH1983">
        <f t="shared" si="40"/>
        <v>-5.4760000000001128</v>
      </c>
    </row>
    <row r="1984" spans="32:34" x14ac:dyDescent="0.25">
      <c r="AF1984">
        <v>198.1</v>
      </c>
      <c r="AG1984">
        <v>3855.3858</v>
      </c>
      <c r="AH1984">
        <f t="shared" si="40"/>
        <v>-5.4742000000001099</v>
      </c>
    </row>
    <row r="1985" spans="32:34" x14ac:dyDescent="0.25">
      <c r="AF1985">
        <v>198.2</v>
      </c>
      <c r="AG1985">
        <v>3855.3876</v>
      </c>
      <c r="AH1985">
        <f t="shared" si="40"/>
        <v>-5.472400000000107</v>
      </c>
    </row>
    <row r="1986" spans="32:34" x14ac:dyDescent="0.25">
      <c r="AF1986">
        <v>198.3</v>
      </c>
      <c r="AG1986">
        <v>3855.3894</v>
      </c>
      <c r="AH1986">
        <f t="shared" si="40"/>
        <v>-5.470600000000104</v>
      </c>
    </row>
    <row r="1987" spans="32:34" x14ac:dyDescent="0.25">
      <c r="AF1987">
        <v>198.4</v>
      </c>
      <c r="AG1987">
        <v>3855.3912</v>
      </c>
      <c r="AH1987">
        <f t="shared" si="40"/>
        <v>-5.4688000000001011</v>
      </c>
    </row>
    <row r="1988" spans="32:34" x14ac:dyDescent="0.25">
      <c r="AF1988">
        <v>198.5</v>
      </c>
      <c r="AG1988">
        <v>3855.393</v>
      </c>
      <c r="AH1988">
        <f t="shared" ref="AH1988:AH2051" si="41">AG1988-MAX($AG$3:$AG$2353)</f>
        <v>-5.4670000000000982</v>
      </c>
    </row>
    <row r="1989" spans="32:34" x14ac:dyDescent="0.25">
      <c r="AF1989">
        <v>198.6</v>
      </c>
      <c r="AG1989">
        <v>3855.3948</v>
      </c>
      <c r="AH1989">
        <f t="shared" si="41"/>
        <v>-5.4652000000000953</v>
      </c>
    </row>
    <row r="1990" spans="32:34" x14ac:dyDescent="0.25">
      <c r="AF1990">
        <v>198.7</v>
      </c>
      <c r="AG1990">
        <v>3855.3966</v>
      </c>
      <c r="AH1990">
        <f t="shared" si="41"/>
        <v>-5.4634000000000924</v>
      </c>
    </row>
    <row r="1991" spans="32:34" x14ac:dyDescent="0.25">
      <c r="AF1991">
        <v>198.8</v>
      </c>
      <c r="AG1991">
        <v>3855.3984</v>
      </c>
      <c r="AH1991">
        <f t="shared" si="41"/>
        <v>-5.4616000000000895</v>
      </c>
    </row>
    <row r="1992" spans="32:34" x14ac:dyDescent="0.25">
      <c r="AF1992">
        <v>198.9</v>
      </c>
      <c r="AG1992">
        <v>3855.4002</v>
      </c>
      <c r="AH1992">
        <f t="shared" si="41"/>
        <v>-5.4598000000000866</v>
      </c>
    </row>
    <row r="1993" spans="32:34" x14ac:dyDescent="0.25">
      <c r="AF1993">
        <v>199</v>
      </c>
      <c r="AG1993">
        <v>3855.402</v>
      </c>
      <c r="AH1993">
        <f t="shared" si="41"/>
        <v>-5.4580000000000837</v>
      </c>
    </row>
    <row r="1994" spans="32:34" x14ac:dyDescent="0.25">
      <c r="AF1994">
        <v>199.1</v>
      </c>
      <c r="AG1994">
        <v>3855.4038</v>
      </c>
      <c r="AH1994">
        <f t="shared" si="41"/>
        <v>-5.4562000000000808</v>
      </c>
    </row>
    <row r="1995" spans="32:34" x14ac:dyDescent="0.25">
      <c r="AF1995">
        <v>199.2</v>
      </c>
      <c r="AG1995">
        <v>3855.4056</v>
      </c>
      <c r="AH1995">
        <f t="shared" si="41"/>
        <v>-5.4544000000000779</v>
      </c>
    </row>
    <row r="1996" spans="32:34" x14ac:dyDescent="0.25">
      <c r="AF1996">
        <v>199.3</v>
      </c>
      <c r="AG1996">
        <v>3855.4074000000001</v>
      </c>
      <c r="AH1996">
        <f t="shared" si="41"/>
        <v>-5.4526000000000749</v>
      </c>
    </row>
    <row r="1997" spans="32:34" x14ac:dyDescent="0.25">
      <c r="AF1997">
        <v>199.4</v>
      </c>
      <c r="AG1997">
        <v>3855.4092000000001</v>
      </c>
      <c r="AH1997">
        <f t="shared" si="41"/>
        <v>-5.450800000000072</v>
      </c>
    </row>
    <row r="1998" spans="32:34" x14ac:dyDescent="0.25">
      <c r="AF1998">
        <v>199.5</v>
      </c>
      <c r="AG1998">
        <v>3855.4110000000001</v>
      </c>
      <c r="AH1998">
        <f t="shared" si="41"/>
        <v>-5.4490000000000691</v>
      </c>
    </row>
    <row r="1999" spans="32:34" x14ac:dyDescent="0.25">
      <c r="AF1999">
        <v>199.6</v>
      </c>
      <c r="AG1999">
        <v>3855.4128000000001</v>
      </c>
      <c r="AH1999">
        <f t="shared" si="41"/>
        <v>-5.4472000000000662</v>
      </c>
    </row>
    <row r="2000" spans="32:34" x14ac:dyDescent="0.25">
      <c r="AF2000">
        <v>199.7</v>
      </c>
      <c r="AG2000">
        <v>3855.4146000000001</v>
      </c>
      <c r="AH2000">
        <f t="shared" si="41"/>
        <v>-5.4454000000000633</v>
      </c>
    </row>
    <row r="2001" spans="32:34" x14ac:dyDescent="0.25">
      <c r="AF2001">
        <v>199.8</v>
      </c>
      <c r="AG2001">
        <v>3855.4164000000001</v>
      </c>
      <c r="AH2001">
        <f t="shared" si="41"/>
        <v>-5.4436000000000604</v>
      </c>
    </row>
    <row r="2002" spans="32:34" x14ac:dyDescent="0.25">
      <c r="AF2002">
        <v>199.9</v>
      </c>
      <c r="AG2002">
        <v>3855.4182000000001</v>
      </c>
      <c r="AH2002">
        <f t="shared" si="41"/>
        <v>-5.4418000000000575</v>
      </c>
    </row>
    <row r="2003" spans="32:34" x14ac:dyDescent="0.25">
      <c r="AF2003">
        <v>200</v>
      </c>
      <c r="AG2003">
        <v>3855.42</v>
      </c>
      <c r="AH2003">
        <f t="shared" si="41"/>
        <v>-5.4400000000000546</v>
      </c>
    </row>
    <row r="2004" spans="32:34" x14ac:dyDescent="0.25">
      <c r="AF2004">
        <v>200.1</v>
      </c>
      <c r="AG2004">
        <v>3855.4187999999999</v>
      </c>
      <c r="AH2004">
        <f t="shared" si="41"/>
        <v>-5.4412000000002081</v>
      </c>
    </row>
    <row r="2005" spans="32:34" x14ac:dyDescent="0.25">
      <c r="AF2005">
        <v>200.2</v>
      </c>
      <c r="AG2005">
        <v>3855.4176000000002</v>
      </c>
      <c r="AH2005">
        <f t="shared" si="41"/>
        <v>-5.4423999999999069</v>
      </c>
    </row>
    <row r="2006" spans="32:34" x14ac:dyDescent="0.25">
      <c r="AF2006">
        <v>200.3</v>
      </c>
      <c r="AG2006">
        <v>3855.4164000000001</v>
      </c>
      <c r="AH2006">
        <f t="shared" si="41"/>
        <v>-5.4436000000000604</v>
      </c>
    </row>
    <row r="2007" spans="32:34" x14ac:dyDescent="0.25">
      <c r="AF2007">
        <v>200.4</v>
      </c>
      <c r="AG2007">
        <v>3855.4151999999999</v>
      </c>
      <c r="AH2007">
        <f t="shared" si="41"/>
        <v>-5.4448000000002139</v>
      </c>
    </row>
    <row r="2008" spans="32:34" x14ac:dyDescent="0.25">
      <c r="AF2008">
        <v>200.5</v>
      </c>
      <c r="AG2008">
        <v>3855.4140000000002</v>
      </c>
      <c r="AH2008">
        <f t="shared" si="41"/>
        <v>-5.4459999999999127</v>
      </c>
    </row>
    <row r="2009" spans="32:34" x14ac:dyDescent="0.25">
      <c r="AF2009">
        <v>200.6</v>
      </c>
      <c r="AG2009">
        <v>3855.4128000000001</v>
      </c>
      <c r="AH2009">
        <f t="shared" si="41"/>
        <v>-5.4472000000000662</v>
      </c>
    </row>
    <row r="2010" spans="32:34" x14ac:dyDescent="0.25">
      <c r="AF2010">
        <v>200.7</v>
      </c>
      <c r="AG2010">
        <v>3855.4115999999999</v>
      </c>
      <c r="AH2010">
        <f t="shared" si="41"/>
        <v>-5.4484000000002197</v>
      </c>
    </row>
    <row r="2011" spans="32:34" x14ac:dyDescent="0.25">
      <c r="AF2011">
        <v>200.8</v>
      </c>
      <c r="AG2011">
        <v>3855.4104000000002</v>
      </c>
      <c r="AH2011">
        <f t="shared" si="41"/>
        <v>-5.4495999999999185</v>
      </c>
    </row>
    <row r="2012" spans="32:34" x14ac:dyDescent="0.25">
      <c r="AF2012">
        <v>200.9</v>
      </c>
      <c r="AG2012">
        <v>3855.4092000000001</v>
      </c>
      <c r="AH2012">
        <f t="shared" si="41"/>
        <v>-5.450800000000072</v>
      </c>
    </row>
    <row r="2013" spans="32:34" x14ac:dyDescent="0.25">
      <c r="AF2013">
        <v>201</v>
      </c>
      <c r="AG2013">
        <v>3855.4079999999999</v>
      </c>
      <c r="AH2013">
        <f t="shared" si="41"/>
        <v>-5.4520000000002256</v>
      </c>
    </row>
    <row r="2014" spans="32:34" x14ac:dyDescent="0.25">
      <c r="AF2014">
        <v>201.1</v>
      </c>
      <c r="AG2014">
        <v>3855.4068000000002</v>
      </c>
      <c r="AH2014">
        <f t="shared" si="41"/>
        <v>-5.4531999999999243</v>
      </c>
    </row>
    <row r="2015" spans="32:34" x14ac:dyDescent="0.25">
      <c r="AF2015">
        <v>201.2</v>
      </c>
      <c r="AG2015">
        <v>3855.4056</v>
      </c>
      <c r="AH2015">
        <f t="shared" si="41"/>
        <v>-5.4544000000000779</v>
      </c>
    </row>
    <row r="2016" spans="32:34" x14ac:dyDescent="0.25">
      <c r="AF2016">
        <v>201.3</v>
      </c>
      <c r="AG2016">
        <v>3855.4043999999999</v>
      </c>
      <c r="AH2016">
        <f t="shared" si="41"/>
        <v>-5.4556000000002314</v>
      </c>
    </row>
    <row r="2017" spans="32:34" x14ac:dyDescent="0.25">
      <c r="AF2017">
        <v>201.4</v>
      </c>
      <c r="AG2017">
        <v>3855.4032000000002</v>
      </c>
      <c r="AH2017">
        <f t="shared" si="41"/>
        <v>-5.4567999999999302</v>
      </c>
    </row>
    <row r="2018" spans="32:34" x14ac:dyDescent="0.25">
      <c r="AF2018">
        <v>201.5</v>
      </c>
      <c r="AG2018">
        <v>3855.402</v>
      </c>
      <c r="AH2018">
        <f t="shared" si="41"/>
        <v>-5.4580000000000837</v>
      </c>
    </row>
    <row r="2019" spans="32:34" x14ac:dyDescent="0.25">
      <c r="AF2019">
        <v>201.6</v>
      </c>
      <c r="AG2019">
        <v>3855.4007999999999</v>
      </c>
      <c r="AH2019">
        <f t="shared" si="41"/>
        <v>-5.4592000000002372</v>
      </c>
    </row>
    <row r="2020" spans="32:34" x14ac:dyDescent="0.25">
      <c r="AF2020">
        <v>201.7</v>
      </c>
      <c r="AG2020">
        <v>3855.3996000000002</v>
      </c>
      <c r="AH2020">
        <f t="shared" si="41"/>
        <v>-5.460399999999936</v>
      </c>
    </row>
    <row r="2021" spans="32:34" x14ac:dyDescent="0.25">
      <c r="AF2021">
        <v>201.8</v>
      </c>
      <c r="AG2021">
        <v>3855.3984</v>
      </c>
      <c r="AH2021">
        <f t="shared" si="41"/>
        <v>-5.4616000000000895</v>
      </c>
    </row>
    <row r="2022" spans="32:34" x14ac:dyDescent="0.25">
      <c r="AF2022">
        <v>201.9</v>
      </c>
      <c r="AG2022">
        <v>3855.3971999999999</v>
      </c>
      <c r="AH2022">
        <f t="shared" si="41"/>
        <v>-5.462800000000243</v>
      </c>
    </row>
    <row r="2023" spans="32:34" x14ac:dyDescent="0.25">
      <c r="AF2023">
        <v>202</v>
      </c>
      <c r="AG2023">
        <v>3855.3960000000002</v>
      </c>
      <c r="AH2023">
        <f t="shared" si="41"/>
        <v>-5.4639999999999418</v>
      </c>
    </row>
    <row r="2024" spans="32:34" x14ac:dyDescent="0.25">
      <c r="AF2024">
        <v>202.1</v>
      </c>
      <c r="AG2024">
        <v>3855.3948</v>
      </c>
      <c r="AH2024">
        <f t="shared" si="41"/>
        <v>-5.4652000000000953</v>
      </c>
    </row>
    <row r="2025" spans="32:34" x14ac:dyDescent="0.25">
      <c r="AF2025">
        <v>202.2</v>
      </c>
      <c r="AG2025">
        <v>3855.3935999999999</v>
      </c>
      <c r="AH2025">
        <f t="shared" si="41"/>
        <v>-5.4664000000002488</v>
      </c>
    </row>
    <row r="2026" spans="32:34" x14ac:dyDescent="0.25">
      <c r="AF2026">
        <v>202.3</v>
      </c>
      <c r="AG2026">
        <v>3855.3924000000002</v>
      </c>
      <c r="AH2026">
        <f t="shared" si="41"/>
        <v>-5.4675999999999476</v>
      </c>
    </row>
    <row r="2027" spans="32:34" x14ac:dyDescent="0.25">
      <c r="AF2027">
        <v>202.4</v>
      </c>
      <c r="AG2027">
        <v>3855.3912</v>
      </c>
      <c r="AH2027">
        <f t="shared" si="41"/>
        <v>-5.4688000000001011</v>
      </c>
    </row>
    <row r="2028" spans="32:34" x14ac:dyDescent="0.25">
      <c r="AF2028">
        <v>202.5</v>
      </c>
      <c r="AG2028">
        <v>3855.39</v>
      </c>
      <c r="AH2028">
        <f t="shared" si="41"/>
        <v>-5.4700000000002547</v>
      </c>
    </row>
    <row r="2029" spans="32:34" x14ac:dyDescent="0.25">
      <c r="AF2029">
        <v>202.6</v>
      </c>
      <c r="AG2029">
        <v>3855.3888000000002</v>
      </c>
      <c r="AH2029">
        <f t="shared" si="41"/>
        <v>-5.4711999999999534</v>
      </c>
    </row>
    <row r="2030" spans="32:34" x14ac:dyDescent="0.25">
      <c r="AF2030">
        <v>202.7</v>
      </c>
      <c r="AG2030">
        <v>3855.3876</v>
      </c>
      <c r="AH2030">
        <f t="shared" si="41"/>
        <v>-5.472400000000107</v>
      </c>
    </row>
    <row r="2031" spans="32:34" x14ac:dyDescent="0.25">
      <c r="AF2031">
        <v>202.8</v>
      </c>
      <c r="AG2031">
        <v>3855.3863999999999</v>
      </c>
      <c r="AH2031">
        <f t="shared" si="41"/>
        <v>-5.4736000000002605</v>
      </c>
    </row>
    <row r="2032" spans="32:34" x14ac:dyDescent="0.25">
      <c r="AF2032">
        <v>202.9</v>
      </c>
      <c r="AG2032">
        <v>3855.3852000000002</v>
      </c>
      <c r="AH2032">
        <f t="shared" si="41"/>
        <v>-5.4747999999999593</v>
      </c>
    </row>
    <row r="2033" spans="32:34" x14ac:dyDescent="0.25">
      <c r="AF2033">
        <v>203</v>
      </c>
      <c r="AG2033">
        <v>3855.384</v>
      </c>
      <c r="AH2033">
        <f t="shared" si="41"/>
        <v>-5.4760000000001128</v>
      </c>
    </row>
    <row r="2034" spans="32:34" x14ac:dyDescent="0.25">
      <c r="AF2034">
        <v>203.1</v>
      </c>
      <c r="AG2034">
        <v>3855.3827999999999</v>
      </c>
      <c r="AH2034">
        <f t="shared" si="41"/>
        <v>-5.4772000000002663</v>
      </c>
    </row>
    <row r="2035" spans="32:34" x14ac:dyDescent="0.25">
      <c r="AF2035">
        <v>203.2</v>
      </c>
      <c r="AG2035">
        <v>3855.3816000000002</v>
      </c>
      <c r="AH2035">
        <f t="shared" si="41"/>
        <v>-5.4783999999999651</v>
      </c>
    </row>
    <row r="2036" spans="32:34" x14ac:dyDescent="0.25">
      <c r="AF2036">
        <v>203.3</v>
      </c>
      <c r="AG2036">
        <v>3855.3804</v>
      </c>
      <c r="AH2036">
        <f t="shared" si="41"/>
        <v>-5.4796000000001186</v>
      </c>
    </row>
    <row r="2037" spans="32:34" x14ac:dyDescent="0.25">
      <c r="AF2037">
        <v>203.4</v>
      </c>
      <c r="AG2037">
        <v>3855.3791999999999</v>
      </c>
      <c r="AH2037">
        <f t="shared" si="41"/>
        <v>-5.4808000000002721</v>
      </c>
    </row>
    <row r="2038" spans="32:34" x14ac:dyDescent="0.25">
      <c r="AF2038">
        <v>203.5</v>
      </c>
      <c r="AG2038">
        <v>3855.3780000000002</v>
      </c>
      <c r="AH2038">
        <f t="shared" si="41"/>
        <v>-5.4819999999999709</v>
      </c>
    </row>
    <row r="2039" spans="32:34" x14ac:dyDescent="0.25">
      <c r="AF2039">
        <v>203.6</v>
      </c>
      <c r="AG2039">
        <v>3855.3768</v>
      </c>
      <c r="AH2039">
        <f t="shared" si="41"/>
        <v>-5.4832000000001244</v>
      </c>
    </row>
    <row r="2040" spans="32:34" x14ac:dyDescent="0.25">
      <c r="AF2040">
        <v>203.7</v>
      </c>
      <c r="AG2040">
        <v>3855.3755999999998</v>
      </c>
      <c r="AH2040">
        <f t="shared" si="41"/>
        <v>-5.4844000000002779</v>
      </c>
    </row>
    <row r="2041" spans="32:34" x14ac:dyDescent="0.25">
      <c r="AF2041">
        <v>203.8</v>
      </c>
      <c r="AG2041">
        <v>3855.3744000000002</v>
      </c>
      <c r="AH2041">
        <f t="shared" si="41"/>
        <v>-5.4855999999999767</v>
      </c>
    </row>
    <row r="2042" spans="32:34" x14ac:dyDescent="0.25">
      <c r="AF2042">
        <v>203.9</v>
      </c>
      <c r="AG2042">
        <v>3855.3732</v>
      </c>
      <c r="AH2042">
        <f t="shared" si="41"/>
        <v>-5.4868000000001302</v>
      </c>
    </row>
    <row r="2043" spans="32:34" x14ac:dyDescent="0.25">
      <c r="AF2043">
        <v>204</v>
      </c>
      <c r="AG2043">
        <v>3855.3719999999998</v>
      </c>
      <c r="AH2043">
        <f t="shared" si="41"/>
        <v>-5.4880000000002838</v>
      </c>
    </row>
    <row r="2044" spans="32:34" x14ac:dyDescent="0.25">
      <c r="AF2044">
        <v>204.1</v>
      </c>
      <c r="AG2044">
        <v>3855.3708000000001</v>
      </c>
      <c r="AH2044">
        <f t="shared" si="41"/>
        <v>-5.4891999999999825</v>
      </c>
    </row>
    <row r="2045" spans="32:34" x14ac:dyDescent="0.25">
      <c r="AF2045">
        <v>204.2</v>
      </c>
      <c r="AG2045">
        <v>3855.3696</v>
      </c>
      <c r="AH2045">
        <f t="shared" si="41"/>
        <v>-5.4904000000001361</v>
      </c>
    </row>
    <row r="2046" spans="32:34" x14ac:dyDescent="0.25">
      <c r="AF2046">
        <v>204.3</v>
      </c>
      <c r="AG2046">
        <v>3855.3683999999998</v>
      </c>
      <c r="AH2046">
        <f t="shared" si="41"/>
        <v>-5.4916000000002896</v>
      </c>
    </row>
    <row r="2047" spans="32:34" x14ac:dyDescent="0.25">
      <c r="AF2047">
        <v>204.4</v>
      </c>
      <c r="AG2047">
        <v>3855.3672000000001</v>
      </c>
      <c r="AH2047">
        <f t="shared" si="41"/>
        <v>-5.4927999999999884</v>
      </c>
    </row>
    <row r="2048" spans="32:34" x14ac:dyDescent="0.25">
      <c r="AF2048">
        <v>204.5</v>
      </c>
      <c r="AG2048">
        <v>3855.366</v>
      </c>
      <c r="AH2048">
        <f t="shared" si="41"/>
        <v>-5.4940000000001419</v>
      </c>
    </row>
    <row r="2049" spans="32:34" x14ac:dyDescent="0.25">
      <c r="AF2049">
        <v>204.6</v>
      </c>
      <c r="AG2049">
        <v>3855.3647999999998</v>
      </c>
      <c r="AH2049">
        <f t="shared" si="41"/>
        <v>-5.4952000000002954</v>
      </c>
    </row>
    <row r="2050" spans="32:34" x14ac:dyDescent="0.25">
      <c r="AF2050">
        <v>204.7</v>
      </c>
      <c r="AG2050">
        <v>3855.3636000000001</v>
      </c>
      <c r="AH2050">
        <f t="shared" si="41"/>
        <v>-5.4963999999999942</v>
      </c>
    </row>
    <row r="2051" spans="32:34" x14ac:dyDescent="0.25">
      <c r="AF2051">
        <v>204.8</v>
      </c>
      <c r="AG2051">
        <v>3855.3624</v>
      </c>
      <c r="AH2051">
        <f t="shared" si="41"/>
        <v>-5.4976000000001477</v>
      </c>
    </row>
    <row r="2052" spans="32:34" x14ac:dyDescent="0.25">
      <c r="AF2052">
        <v>204.9</v>
      </c>
      <c r="AG2052">
        <v>3855.3611999999998</v>
      </c>
      <c r="AH2052">
        <f t="shared" ref="AH2052:AH2115" si="42">AG2052-MAX($AG$3:$AG$2353)</f>
        <v>-5.4988000000003012</v>
      </c>
    </row>
    <row r="2053" spans="32:34" x14ac:dyDescent="0.25">
      <c r="AF2053">
        <v>205</v>
      </c>
      <c r="AG2053">
        <v>3855.36</v>
      </c>
      <c r="AH2053">
        <f t="shared" si="42"/>
        <v>-5.5</v>
      </c>
    </row>
    <row r="2054" spans="32:34" x14ac:dyDescent="0.25">
      <c r="AF2054">
        <v>205.1</v>
      </c>
      <c r="AG2054">
        <v>3855.3424</v>
      </c>
      <c r="AH2054">
        <f t="shared" si="42"/>
        <v>-5.5176000000001295</v>
      </c>
    </row>
    <row r="2055" spans="32:34" x14ac:dyDescent="0.25">
      <c r="AF2055">
        <v>205.2</v>
      </c>
      <c r="AG2055">
        <v>3855.3247999999999</v>
      </c>
      <c r="AH2055">
        <f t="shared" si="42"/>
        <v>-5.535200000000259</v>
      </c>
    </row>
    <row r="2056" spans="32:34" x14ac:dyDescent="0.25">
      <c r="AF2056">
        <v>205.3</v>
      </c>
      <c r="AG2056">
        <v>3855.3072000000002</v>
      </c>
      <c r="AH2056">
        <f t="shared" si="42"/>
        <v>-5.5527999999999338</v>
      </c>
    </row>
    <row r="2057" spans="32:34" x14ac:dyDescent="0.25">
      <c r="AF2057">
        <v>205.4</v>
      </c>
      <c r="AG2057">
        <v>3855.2896000000001</v>
      </c>
      <c r="AH2057">
        <f t="shared" si="42"/>
        <v>-5.5704000000000633</v>
      </c>
    </row>
    <row r="2058" spans="32:34" x14ac:dyDescent="0.25">
      <c r="AF2058">
        <v>205.5</v>
      </c>
      <c r="AG2058">
        <v>3855.2719999999999</v>
      </c>
      <c r="AH2058">
        <f t="shared" si="42"/>
        <v>-5.5880000000001928</v>
      </c>
    </row>
    <row r="2059" spans="32:34" x14ac:dyDescent="0.25">
      <c r="AF2059">
        <v>205.6</v>
      </c>
      <c r="AG2059">
        <v>3855.2543999999998</v>
      </c>
      <c r="AH2059">
        <f t="shared" si="42"/>
        <v>-5.6056000000003223</v>
      </c>
    </row>
    <row r="2060" spans="32:34" x14ac:dyDescent="0.25">
      <c r="AF2060">
        <v>205.7</v>
      </c>
      <c r="AG2060">
        <v>3855.2368000000001</v>
      </c>
      <c r="AH2060">
        <f t="shared" si="42"/>
        <v>-5.6231999999999971</v>
      </c>
    </row>
    <row r="2061" spans="32:34" x14ac:dyDescent="0.25">
      <c r="AF2061">
        <v>205.8</v>
      </c>
      <c r="AG2061">
        <v>3855.2192</v>
      </c>
      <c r="AH2061">
        <f t="shared" si="42"/>
        <v>-5.6408000000001266</v>
      </c>
    </row>
    <row r="2062" spans="32:34" x14ac:dyDescent="0.25">
      <c r="AF2062">
        <v>205.9</v>
      </c>
      <c r="AG2062">
        <v>3855.2015999999999</v>
      </c>
      <c r="AH2062">
        <f t="shared" si="42"/>
        <v>-5.6584000000002561</v>
      </c>
    </row>
    <row r="2063" spans="32:34" x14ac:dyDescent="0.25">
      <c r="AF2063">
        <v>206</v>
      </c>
      <c r="AG2063">
        <v>3855.1840000000002</v>
      </c>
      <c r="AH2063">
        <f t="shared" si="42"/>
        <v>-5.6759999999999309</v>
      </c>
    </row>
    <row r="2064" spans="32:34" x14ac:dyDescent="0.25">
      <c r="AF2064">
        <v>206.1</v>
      </c>
      <c r="AG2064">
        <v>3855.1664000000001</v>
      </c>
      <c r="AH2064">
        <f t="shared" si="42"/>
        <v>-5.6936000000000604</v>
      </c>
    </row>
    <row r="2065" spans="32:34" x14ac:dyDescent="0.25">
      <c r="AF2065">
        <v>206.2</v>
      </c>
      <c r="AG2065">
        <v>3855.1487999999999</v>
      </c>
      <c r="AH2065">
        <f t="shared" si="42"/>
        <v>-5.7112000000001899</v>
      </c>
    </row>
    <row r="2066" spans="32:34" x14ac:dyDescent="0.25">
      <c r="AF2066">
        <v>206.3</v>
      </c>
      <c r="AG2066">
        <v>3855.1311999999998</v>
      </c>
      <c r="AH2066">
        <f t="shared" si="42"/>
        <v>-5.7288000000003194</v>
      </c>
    </row>
    <row r="2067" spans="32:34" x14ac:dyDescent="0.25">
      <c r="AF2067">
        <v>206.4</v>
      </c>
      <c r="AG2067">
        <v>3855.1136000000001</v>
      </c>
      <c r="AH2067">
        <f t="shared" si="42"/>
        <v>-5.7463999999999942</v>
      </c>
    </row>
    <row r="2068" spans="32:34" x14ac:dyDescent="0.25">
      <c r="AF2068">
        <v>206.5</v>
      </c>
      <c r="AG2068">
        <v>3855.096</v>
      </c>
      <c r="AH2068">
        <f t="shared" si="42"/>
        <v>-5.7640000000001237</v>
      </c>
    </row>
    <row r="2069" spans="32:34" x14ac:dyDescent="0.25">
      <c r="AF2069">
        <v>206.6</v>
      </c>
      <c r="AG2069">
        <v>3855.0783999999999</v>
      </c>
      <c r="AH2069">
        <f t="shared" si="42"/>
        <v>-5.7816000000002532</v>
      </c>
    </row>
    <row r="2070" spans="32:34" x14ac:dyDescent="0.25">
      <c r="AF2070">
        <v>206.7</v>
      </c>
      <c r="AG2070">
        <v>3855.0608000000002</v>
      </c>
      <c r="AH2070">
        <f t="shared" si="42"/>
        <v>-5.799199999999928</v>
      </c>
    </row>
    <row r="2071" spans="32:34" x14ac:dyDescent="0.25">
      <c r="AF2071">
        <v>206.8</v>
      </c>
      <c r="AG2071">
        <v>3855.0432000000001</v>
      </c>
      <c r="AH2071">
        <f t="shared" si="42"/>
        <v>-5.8168000000000575</v>
      </c>
    </row>
    <row r="2072" spans="32:34" x14ac:dyDescent="0.25">
      <c r="AF2072">
        <v>206.9</v>
      </c>
      <c r="AG2072">
        <v>3855.0255999999999</v>
      </c>
      <c r="AH2072">
        <f t="shared" si="42"/>
        <v>-5.834400000000187</v>
      </c>
    </row>
    <row r="2073" spans="32:34" x14ac:dyDescent="0.25">
      <c r="AF2073">
        <v>207</v>
      </c>
      <c r="AG2073">
        <v>3855.0079999999998</v>
      </c>
      <c r="AH2073">
        <f t="shared" si="42"/>
        <v>-5.8520000000003165</v>
      </c>
    </row>
    <row r="2074" spans="32:34" x14ac:dyDescent="0.25">
      <c r="AF2074">
        <v>207.1</v>
      </c>
      <c r="AG2074">
        <v>3854.9904000000001</v>
      </c>
      <c r="AH2074">
        <f t="shared" si="42"/>
        <v>-5.8695999999999913</v>
      </c>
    </row>
    <row r="2075" spans="32:34" x14ac:dyDescent="0.25">
      <c r="AF2075">
        <v>207.2</v>
      </c>
      <c r="AG2075">
        <v>3854.9728</v>
      </c>
      <c r="AH2075">
        <f t="shared" si="42"/>
        <v>-5.8872000000001208</v>
      </c>
    </row>
    <row r="2076" spans="32:34" x14ac:dyDescent="0.25">
      <c r="AF2076">
        <v>207.3</v>
      </c>
      <c r="AG2076">
        <v>3854.9551999999999</v>
      </c>
      <c r="AH2076">
        <f t="shared" si="42"/>
        <v>-5.9048000000002503</v>
      </c>
    </row>
    <row r="2077" spans="32:34" x14ac:dyDescent="0.25">
      <c r="AF2077">
        <v>207.4</v>
      </c>
      <c r="AG2077">
        <v>3854.9376000000002</v>
      </c>
      <c r="AH2077">
        <f t="shared" si="42"/>
        <v>-5.9223999999999251</v>
      </c>
    </row>
    <row r="2078" spans="32:34" x14ac:dyDescent="0.25">
      <c r="AF2078">
        <v>207.5</v>
      </c>
      <c r="AG2078">
        <v>3854.92</v>
      </c>
      <c r="AH2078">
        <f t="shared" si="42"/>
        <v>-5.9400000000000546</v>
      </c>
    </row>
    <row r="2079" spans="32:34" x14ac:dyDescent="0.25">
      <c r="AF2079">
        <v>207.6</v>
      </c>
      <c r="AG2079">
        <v>3854.9023999999999</v>
      </c>
      <c r="AH2079">
        <f t="shared" si="42"/>
        <v>-5.9576000000001841</v>
      </c>
    </row>
    <row r="2080" spans="32:34" x14ac:dyDescent="0.25">
      <c r="AF2080">
        <v>207.7</v>
      </c>
      <c r="AG2080">
        <v>3854.8847999999998</v>
      </c>
      <c r="AH2080">
        <f t="shared" si="42"/>
        <v>-5.9752000000003136</v>
      </c>
    </row>
    <row r="2081" spans="32:34" x14ac:dyDescent="0.25">
      <c r="AF2081">
        <v>207.8</v>
      </c>
      <c r="AG2081">
        <v>3854.8672000000001</v>
      </c>
      <c r="AH2081">
        <f t="shared" si="42"/>
        <v>-5.9927999999999884</v>
      </c>
    </row>
    <row r="2082" spans="32:34" x14ac:dyDescent="0.25">
      <c r="AF2082">
        <v>207.9</v>
      </c>
      <c r="AG2082">
        <v>3854.8496</v>
      </c>
      <c r="AH2082">
        <f t="shared" si="42"/>
        <v>-6.0104000000001179</v>
      </c>
    </row>
    <row r="2083" spans="32:34" x14ac:dyDescent="0.25">
      <c r="AF2083">
        <v>208</v>
      </c>
      <c r="AG2083">
        <v>3854.8319999999999</v>
      </c>
      <c r="AH2083">
        <f t="shared" si="42"/>
        <v>-6.0280000000002474</v>
      </c>
    </row>
    <row r="2084" spans="32:34" x14ac:dyDescent="0.25">
      <c r="AF2084">
        <v>208.1</v>
      </c>
      <c r="AG2084">
        <v>3854.8144000000002</v>
      </c>
      <c r="AH2084">
        <f t="shared" si="42"/>
        <v>-6.0455999999999221</v>
      </c>
    </row>
    <row r="2085" spans="32:34" x14ac:dyDescent="0.25">
      <c r="AF2085">
        <v>208.2</v>
      </c>
      <c r="AG2085">
        <v>3854.7968000000001</v>
      </c>
      <c r="AH2085">
        <f t="shared" si="42"/>
        <v>-6.0632000000000517</v>
      </c>
    </row>
    <row r="2086" spans="32:34" x14ac:dyDescent="0.25">
      <c r="AF2086">
        <v>208.3</v>
      </c>
      <c r="AG2086">
        <v>3854.7791999999999</v>
      </c>
      <c r="AH2086">
        <f t="shared" si="42"/>
        <v>-6.0808000000001812</v>
      </c>
    </row>
    <row r="2087" spans="32:34" x14ac:dyDescent="0.25">
      <c r="AF2087">
        <v>208.4</v>
      </c>
      <c r="AG2087">
        <v>3854.7615999999998</v>
      </c>
      <c r="AH2087">
        <f t="shared" si="42"/>
        <v>-6.0984000000003107</v>
      </c>
    </row>
    <row r="2088" spans="32:34" x14ac:dyDescent="0.25">
      <c r="AF2088">
        <v>208.5</v>
      </c>
      <c r="AG2088">
        <v>3854.7440000000001</v>
      </c>
      <c r="AH2088">
        <f t="shared" si="42"/>
        <v>-6.1159999999999854</v>
      </c>
    </row>
    <row r="2089" spans="32:34" x14ac:dyDescent="0.25">
      <c r="AF2089">
        <v>208.6</v>
      </c>
      <c r="AG2089">
        <v>3854.7264</v>
      </c>
      <c r="AH2089">
        <f t="shared" si="42"/>
        <v>-6.133600000000115</v>
      </c>
    </row>
    <row r="2090" spans="32:34" x14ac:dyDescent="0.25">
      <c r="AF2090">
        <v>208.7</v>
      </c>
      <c r="AG2090">
        <v>3854.7087999999999</v>
      </c>
      <c r="AH2090">
        <f t="shared" si="42"/>
        <v>-6.1512000000002445</v>
      </c>
    </row>
    <row r="2091" spans="32:34" x14ac:dyDescent="0.25">
      <c r="AF2091">
        <v>208.8</v>
      </c>
      <c r="AG2091">
        <v>3854.6912000000002</v>
      </c>
      <c r="AH2091">
        <f t="shared" si="42"/>
        <v>-6.1687999999999192</v>
      </c>
    </row>
    <row r="2092" spans="32:34" x14ac:dyDescent="0.25">
      <c r="AF2092">
        <v>208.9</v>
      </c>
      <c r="AG2092">
        <v>3854.6736000000001</v>
      </c>
      <c r="AH2092">
        <f t="shared" si="42"/>
        <v>-6.1864000000000487</v>
      </c>
    </row>
    <row r="2093" spans="32:34" x14ac:dyDescent="0.25">
      <c r="AF2093">
        <v>209</v>
      </c>
      <c r="AG2093">
        <v>3854.6559999999999</v>
      </c>
      <c r="AH2093">
        <f t="shared" si="42"/>
        <v>-6.2040000000001783</v>
      </c>
    </row>
    <row r="2094" spans="32:34" x14ac:dyDescent="0.25">
      <c r="AF2094">
        <v>209.1</v>
      </c>
      <c r="AG2094">
        <v>3854.6383999999998</v>
      </c>
      <c r="AH2094">
        <f t="shared" si="42"/>
        <v>-6.2216000000003078</v>
      </c>
    </row>
    <row r="2095" spans="32:34" x14ac:dyDescent="0.25">
      <c r="AF2095">
        <v>209.2</v>
      </c>
      <c r="AG2095">
        <v>3854.6208000000001</v>
      </c>
      <c r="AH2095">
        <f t="shared" si="42"/>
        <v>-6.2391999999999825</v>
      </c>
    </row>
    <row r="2096" spans="32:34" x14ac:dyDescent="0.25">
      <c r="AF2096">
        <v>209.3</v>
      </c>
      <c r="AG2096">
        <v>3854.6032</v>
      </c>
      <c r="AH2096">
        <f t="shared" si="42"/>
        <v>-6.256800000000112</v>
      </c>
    </row>
    <row r="2097" spans="32:34" x14ac:dyDescent="0.25">
      <c r="AF2097">
        <v>209.4</v>
      </c>
      <c r="AG2097">
        <v>3854.5855999999999</v>
      </c>
      <c r="AH2097">
        <f t="shared" si="42"/>
        <v>-6.2744000000002416</v>
      </c>
    </row>
    <row r="2098" spans="32:34" x14ac:dyDescent="0.25">
      <c r="AF2098">
        <v>209.5</v>
      </c>
      <c r="AG2098">
        <v>3854.5680000000002</v>
      </c>
      <c r="AH2098">
        <f t="shared" si="42"/>
        <v>-6.2919999999999163</v>
      </c>
    </row>
    <row r="2099" spans="32:34" x14ac:dyDescent="0.25">
      <c r="AF2099">
        <v>209.6</v>
      </c>
      <c r="AG2099">
        <v>3854.5504000000001</v>
      </c>
      <c r="AH2099">
        <f t="shared" si="42"/>
        <v>-6.3096000000000458</v>
      </c>
    </row>
    <row r="2100" spans="32:34" x14ac:dyDescent="0.25">
      <c r="AF2100">
        <v>209.7</v>
      </c>
      <c r="AG2100">
        <v>3854.5328</v>
      </c>
      <c r="AH2100">
        <f t="shared" si="42"/>
        <v>-6.3272000000001754</v>
      </c>
    </row>
    <row r="2101" spans="32:34" x14ac:dyDescent="0.25">
      <c r="AF2101">
        <v>209.8</v>
      </c>
      <c r="AG2101">
        <v>3854.5151999999998</v>
      </c>
      <c r="AH2101">
        <f t="shared" si="42"/>
        <v>-6.3448000000003049</v>
      </c>
    </row>
    <row r="2102" spans="32:34" x14ac:dyDescent="0.25">
      <c r="AF2102">
        <v>209.9</v>
      </c>
      <c r="AG2102">
        <v>3854.4976000000001</v>
      </c>
      <c r="AH2102">
        <f t="shared" si="42"/>
        <v>-6.3623999999999796</v>
      </c>
    </row>
    <row r="2103" spans="32:34" x14ac:dyDescent="0.25">
      <c r="AF2103">
        <v>210</v>
      </c>
      <c r="AG2103">
        <v>3854.48</v>
      </c>
      <c r="AH2103">
        <f t="shared" si="42"/>
        <v>-6.3800000000001091</v>
      </c>
    </row>
    <row r="2104" spans="32:34" x14ac:dyDescent="0.25">
      <c r="AF2104">
        <v>210.1</v>
      </c>
      <c r="AG2104">
        <v>3854.4735999999998</v>
      </c>
      <c r="AH2104">
        <f t="shared" si="42"/>
        <v>-6.3864000000003216</v>
      </c>
    </row>
    <row r="2105" spans="32:34" x14ac:dyDescent="0.25">
      <c r="AF2105">
        <v>210.2</v>
      </c>
      <c r="AG2105">
        <v>3854.4672</v>
      </c>
      <c r="AH2105">
        <f t="shared" si="42"/>
        <v>-6.3928000000000793</v>
      </c>
    </row>
    <row r="2106" spans="32:34" x14ac:dyDescent="0.25">
      <c r="AF2106">
        <v>210.3</v>
      </c>
      <c r="AG2106">
        <v>3854.4607999999998</v>
      </c>
      <c r="AH2106">
        <f t="shared" si="42"/>
        <v>-6.3992000000002918</v>
      </c>
    </row>
    <row r="2107" spans="32:34" x14ac:dyDescent="0.25">
      <c r="AF2107">
        <v>210.4</v>
      </c>
      <c r="AG2107">
        <v>3854.4544000000001</v>
      </c>
      <c r="AH2107">
        <f t="shared" si="42"/>
        <v>-6.4056000000000495</v>
      </c>
    </row>
    <row r="2108" spans="32:34" x14ac:dyDescent="0.25">
      <c r="AF2108">
        <v>210.5</v>
      </c>
      <c r="AG2108">
        <v>3854.4479999999999</v>
      </c>
      <c r="AH2108">
        <f t="shared" si="42"/>
        <v>-6.4120000000002619</v>
      </c>
    </row>
    <row r="2109" spans="32:34" x14ac:dyDescent="0.25">
      <c r="AF2109">
        <v>210.6</v>
      </c>
      <c r="AG2109">
        <v>3854.4416000000001</v>
      </c>
      <c r="AH2109">
        <f t="shared" si="42"/>
        <v>-6.4184000000000196</v>
      </c>
    </row>
    <row r="2110" spans="32:34" x14ac:dyDescent="0.25">
      <c r="AF2110">
        <v>210.7</v>
      </c>
      <c r="AG2110">
        <v>3854.4351999999999</v>
      </c>
      <c r="AH2110">
        <f t="shared" si="42"/>
        <v>-6.4248000000002321</v>
      </c>
    </row>
    <row r="2111" spans="32:34" x14ac:dyDescent="0.25">
      <c r="AF2111">
        <v>210.8</v>
      </c>
      <c r="AG2111">
        <v>3854.4288000000001</v>
      </c>
      <c r="AH2111">
        <f t="shared" si="42"/>
        <v>-6.4311999999999898</v>
      </c>
    </row>
    <row r="2112" spans="32:34" x14ac:dyDescent="0.25">
      <c r="AF2112">
        <v>210.9</v>
      </c>
      <c r="AG2112">
        <v>3854.4223999999999</v>
      </c>
      <c r="AH2112">
        <f t="shared" si="42"/>
        <v>-6.4376000000002023</v>
      </c>
    </row>
    <row r="2113" spans="32:34" x14ac:dyDescent="0.25">
      <c r="AF2113">
        <v>211</v>
      </c>
      <c r="AG2113">
        <v>3854.4160000000002</v>
      </c>
      <c r="AH2113">
        <f t="shared" si="42"/>
        <v>-6.44399999999996</v>
      </c>
    </row>
    <row r="2114" spans="32:34" x14ac:dyDescent="0.25">
      <c r="AF2114">
        <v>211.1</v>
      </c>
      <c r="AG2114">
        <v>3854.4096</v>
      </c>
      <c r="AH2114">
        <f t="shared" si="42"/>
        <v>-6.4504000000001724</v>
      </c>
    </row>
    <row r="2115" spans="32:34" x14ac:dyDescent="0.25">
      <c r="AF2115">
        <v>211.2</v>
      </c>
      <c r="AG2115">
        <v>3854.4032000000002</v>
      </c>
      <c r="AH2115">
        <f t="shared" si="42"/>
        <v>-6.4567999999999302</v>
      </c>
    </row>
    <row r="2116" spans="32:34" x14ac:dyDescent="0.25">
      <c r="AF2116">
        <v>211.3</v>
      </c>
      <c r="AG2116">
        <v>3854.3968</v>
      </c>
      <c r="AH2116">
        <f t="shared" ref="AH2116:AH2179" si="43">AG2116-MAX($AG$3:$AG$2353)</f>
        <v>-6.4632000000001426</v>
      </c>
    </row>
    <row r="2117" spans="32:34" x14ac:dyDescent="0.25">
      <c r="AF2117">
        <v>211.4</v>
      </c>
      <c r="AG2117">
        <v>3854.3903999999902</v>
      </c>
      <c r="AH2117">
        <f t="shared" si="43"/>
        <v>-6.4696000000099048</v>
      </c>
    </row>
    <row r="2118" spans="32:34" x14ac:dyDescent="0.25">
      <c r="AF2118">
        <v>211.5</v>
      </c>
      <c r="AG2118">
        <v>3854.384</v>
      </c>
      <c r="AH2118">
        <f t="shared" si="43"/>
        <v>-6.4760000000001128</v>
      </c>
    </row>
    <row r="2119" spans="32:34" x14ac:dyDescent="0.25">
      <c r="AF2119">
        <v>211.6</v>
      </c>
      <c r="AG2119">
        <v>3854.3775999999998</v>
      </c>
      <c r="AH2119">
        <f t="shared" si="43"/>
        <v>-6.4824000000003252</v>
      </c>
    </row>
    <row r="2120" spans="32:34" x14ac:dyDescent="0.25">
      <c r="AF2120">
        <v>211.7</v>
      </c>
      <c r="AG2120">
        <v>3854.3712</v>
      </c>
      <c r="AH2120">
        <f t="shared" si="43"/>
        <v>-6.4888000000000829</v>
      </c>
    </row>
    <row r="2121" spans="32:34" x14ac:dyDescent="0.25">
      <c r="AF2121">
        <v>211.8</v>
      </c>
      <c r="AG2121">
        <v>3854.3647999999998</v>
      </c>
      <c r="AH2121">
        <f t="shared" si="43"/>
        <v>-6.4952000000002954</v>
      </c>
    </row>
    <row r="2122" spans="32:34" x14ac:dyDescent="0.25">
      <c r="AF2122">
        <v>211.9</v>
      </c>
      <c r="AG2122">
        <v>3854.3584000000001</v>
      </c>
      <c r="AH2122">
        <f t="shared" si="43"/>
        <v>-6.5016000000000531</v>
      </c>
    </row>
    <row r="2123" spans="32:34" x14ac:dyDescent="0.25">
      <c r="AF2123">
        <v>212</v>
      </c>
      <c r="AG2123">
        <v>3854.3519999999999</v>
      </c>
      <c r="AH2123">
        <f t="shared" si="43"/>
        <v>-6.5080000000002656</v>
      </c>
    </row>
    <row r="2124" spans="32:34" x14ac:dyDescent="0.25">
      <c r="AF2124">
        <v>212.1</v>
      </c>
      <c r="AG2124">
        <v>3854.3456000000001</v>
      </c>
      <c r="AH2124">
        <f t="shared" si="43"/>
        <v>-6.5144000000000233</v>
      </c>
    </row>
    <row r="2125" spans="32:34" x14ac:dyDescent="0.25">
      <c r="AF2125">
        <v>212.2</v>
      </c>
      <c r="AG2125">
        <v>3854.3391999999999</v>
      </c>
      <c r="AH2125">
        <f t="shared" si="43"/>
        <v>-6.5208000000002357</v>
      </c>
    </row>
    <row r="2126" spans="32:34" x14ac:dyDescent="0.25">
      <c r="AF2126">
        <v>212.3</v>
      </c>
      <c r="AG2126">
        <v>3854.3328000000001</v>
      </c>
      <c r="AH2126">
        <f t="shared" si="43"/>
        <v>-6.5271999999999935</v>
      </c>
    </row>
    <row r="2127" spans="32:34" x14ac:dyDescent="0.25">
      <c r="AF2127">
        <v>212.4</v>
      </c>
      <c r="AG2127">
        <v>3854.3263999999999</v>
      </c>
      <c r="AH2127">
        <f t="shared" si="43"/>
        <v>-6.5336000000002059</v>
      </c>
    </row>
    <row r="2128" spans="32:34" x14ac:dyDescent="0.25">
      <c r="AF2128">
        <v>212.5</v>
      </c>
      <c r="AG2128">
        <v>3854.3199999999902</v>
      </c>
      <c r="AH2128">
        <f t="shared" si="43"/>
        <v>-6.5400000000099681</v>
      </c>
    </row>
    <row r="2129" spans="32:34" x14ac:dyDescent="0.25">
      <c r="AF2129">
        <v>212.6</v>
      </c>
      <c r="AG2129">
        <v>3854.3136</v>
      </c>
      <c r="AH2129">
        <f t="shared" si="43"/>
        <v>-6.5464000000001761</v>
      </c>
    </row>
    <row r="2130" spans="32:34" x14ac:dyDescent="0.25">
      <c r="AF2130">
        <v>212.7</v>
      </c>
      <c r="AG2130">
        <v>3854.3071999999902</v>
      </c>
      <c r="AH2130">
        <f t="shared" si="43"/>
        <v>-6.5528000000099382</v>
      </c>
    </row>
    <row r="2131" spans="32:34" x14ac:dyDescent="0.25">
      <c r="AF2131">
        <v>212.8</v>
      </c>
      <c r="AG2131">
        <v>3854.3008</v>
      </c>
      <c r="AH2131">
        <f t="shared" si="43"/>
        <v>-6.5592000000001462</v>
      </c>
    </row>
    <row r="2132" spans="32:34" x14ac:dyDescent="0.25">
      <c r="AF2132">
        <v>212.9</v>
      </c>
      <c r="AG2132">
        <v>3854.2943999999902</v>
      </c>
      <c r="AH2132">
        <f t="shared" si="43"/>
        <v>-6.5656000000099084</v>
      </c>
    </row>
    <row r="2133" spans="32:34" x14ac:dyDescent="0.25">
      <c r="AF2133">
        <v>213</v>
      </c>
      <c r="AG2133">
        <v>3854.288</v>
      </c>
      <c r="AH2133">
        <f t="shared" si="43"/>
        <v>-6.5720000000001164</v>
      </c>
    </row>
    <row r="2134" spans="32:34" x14ac:dyDescent="0.25">
      <c r="AF2134">
        <v>213.1</v>
      </c>
      <c r="AG2134">
        <v>3854.2815999999998</v>
      </c>
      <c r="AH2134">
        <f t="shared" si="43"/>
        <v>-6.5784000000003289</v>
      </c>
    </row>
    <row r="2135" spans="32:34" x14ac:dyDescent="0.25">
      <c r="AF2135">
        <v>213.2</v>
      </c>
      <c r="AG2135">
        <v>3854.2752</v>
      </c>
      <c r="AH2135">
        <f t="shared" si="43"/>
        <v>-6.5848000000000866</v>
      </c>
    </row>
    <row r="2136" spans="32:34" x14ac:dyDescent="0.25">
      <c r="AF2136">
        <v>213.3</v>
      </c>
      <c r="AG2136">
        <v>3854.2687999999998</v>
      </c>
      <c r="AH2136">
        <f t="shared" si="43"/>
        <v>-6.591200000000299</v>
      </c>
    </row>
    <row r="2137" spans="32:34" x14ac:dyDescent="0.25">
      <c r="AF2137">
        <v>213.4</v>
      </c>
      <c r="AG2137">
        <v>3854.2624000000001</v>
      </c>
      <c r="AH2137">
        <f t="shared" si="43"/>
        <v>-6.5976000000000568</v>
      </c>
    </row>
    <row r="2138" spans="32:34" x14ac:dyDescent="0.25">
      <c r="AF2138">
        <v>213.5</v>
      </c>
      <c r="AG2138">
        <v>3854.2559999999999</v>
      </c>
      <c r="AH2138">
        <f t="shared" si="43"/>
        <v>-6.6040000000002692</v>
      </c>
    </row>
    <row r="2139" spans="32:34" x14ac:dyDescent="0.25">
      <c r="AF2139">
        <v>213.6</v>
      </c>
      <c r="AG2139">
        <v>3854.2496000000001</v>
      </c>
      <c r="AH2139">
        <f t="shared" si="43"/>
        <v>-6.6104000000000269</v>
      </c>
    </row>
    <row r="2140" spans="32:34" x14ac:dyDescent="0.25">
      <c r="AF2140">
        <v>213.7</v>
      </c>
      <c r="AG2140">
        <v>3854.2431999999999</v>
      </c>
      <c r="AH2140">
        <f t="shared" si="43"/>
        <v>-6.6168000000002394</v>
      </c>
    </row>
    <row r="2141" spans="32:34" x14ac:dyDescent="0.25">
      <c r="AF2141">
        <v>213.8</v>
      </c>
      <c r="AG2141">
        <v>3854.2367999999901</v>
      </c>
      <c r="AH2141">
        <f t="shared" si="43"/>
        <v>-6.6232000000100015</v>
      </c>
    </row>
    <row r="2142" spans="32:34" x14ac:dyDescent="0.25">
      <c r="AF2142">
        <v>213.9</v>
      </c>
      <c r="AG2142">
        <v>3854.2303999999999</v>
      </c>
      <c r="AH2142">
        <f t="shared" si="43"/>
        <v>-6.6296000000002095</v>
      </c>
    </row>
    <row r="2143" spans="32:34" x14ac:dyDescent="0.25">
      <c r="AF2143">
        <v>214</v>
      </c>
      <c r="AG2143">
        <v>3854.2239999999902</v>
      </c>
      <c r="AH2143">
        <f t="shared" si="43"/>
        <v>-6.6360000000099717</v>
      </c>
    </row>
    <row r="2144" spans="32:34" x14ac:dyDescent="0.25">
      <c r="AF2144">
        <v>214.1</v>
      </c>
      <c r="AG2144">
        <v>3854.2175999999999</v>
      </c>
      <c r="AH2144">
        <f t="shared" si="43"/>
        <v>-6.6424000000001797</v>
      </c>
    </row>
    <row r="2145" spans="32:34" x14ac:dyDescent="0.25">
      <c r="AF2145">
        <v>214.2</v>
      </c>
      <c r="AG2145">
        <v>3854.2111999999902</v>
      </c>
      <c r="AH2145">
        <f t="shared" si="43"/>
        <v>-6.6488000000099419</v>
      </c>
    </row>
    <row r="2146" spans="32:34" x14ac:dyDescent="0.25">
      <c r="AF2146">
        <v>214.3</v>
      </c>
      <c r="AG2146">
        <v>3854.2048</v>
      </c>
      <c r="AH2146">
        <f t="shared" si="43"/>
        <v>-6.6552000000001499</v>
      </c>
    </row>
    <row r="2147" spans="32:34" x14ac:dyDescent="0.25">
      <c r="AF2147">
        <v>214.4</v>
      </c>
      <c r="AG2147">
        <v>3854.1983999999902</v>
      </c>
      <c r="AH2147">
        <f t="shared" si="43"/>
        <v>-6.661600000009912</v>
      </c>
    </row>
    <row r="2148" spans="32:34" x14ac:dyDescent="0.25">
      <c r="AF2148">
        <v>214.5</v>
      </c>
      <c r="AG2148">
        <v>3854.192</v>
      </c>
      <c r="AH2148">
        <f t="shared" si="43"/>
        <v>-6.6680000000001201</v>
      </c>
    </row>
    <row r="2149" spans="32:34" x14ac:dyDescent="0.25">
      <c r="AF2149">
        <v>214.6</v>
      </c>
      <c r="AG2149">
        <v>3854.1855999999998</v>
      </c>
      <c r="AH2149">
        <f t="shared" si="43"/>
        <v>-6.6744000000003325</v>
      </c>
    </row>
    <row r="2150" spans="32:34" x14ac:dyDescent="0.25">
      <c r="AF2150">
        <v>214.7</v>
      </c>
      <c r="AG2150">
        <v>3854.1792</v>
      </c>
      <c r="AH2150">
        <f t="shared" si="43"/>
        <v>-6.6808000000000902</v>
      </c>
    </row>
    <row r="2151" spans="32:34" x14ac:dyDescent="0.25">
      <c r="AF2151">
        <v>214.8</v>
      </c>
      <c r="AG2151">
        <v>3854.1727999999998</v>
      </c>
      <c r="AH2151">
        <f t="shared" si="43"/>
        <v>-6.6872000000003027</v>
      </c>
    </row>
    <row r="2152" spans="32:34" x14ac:dyDescent="0.25">
      <c r="AF2152">
        <v>214.9</v>
      </c>
      <c r="AG2152">
        <v>3854.1664000000001</v>
      </c>
      <c r="AH2152">
        <f t="shared" si="43"/>
        <v>-6.6936000000000604</v>
      </c>
    </row>
    <row r="2153" spans="32:34" x14ac:dyDescent="0.25">
      <c r="AF2153">
        <v>215</v>
      </c>
      <c r="AG2153">
        <v>3854.16</v>
      </c>
      <c r="AH2153">
        <f t="shared" si="43"/>
        <v>-6.7000000000002728</v>
      </c>
    </row>
    <row r="2154" spans="32:34" x14ac:dyDescent="0.25">
      <c r="AF2154">
        <v>215.1</v>
      </c>
      <c r="AG2154">
        <v>3854.1392000000001</v>
      </c>
      <c r="AH2154">
        <f t="shared" si="43"/>
        <v>-6.7208000000000538</v>
      </c>
    </row>
    <row r="2155" spans="32:34" x14ac:dyDescent="0.25">
      <c r="AF2155">
        <v>215.2</v>
      </c>
      <c r="AG2155">
        <v>3854.1183999999998</v>
      </c>
      <c r="AH2155">
        <f t="shared" si="43"/>
        <v>-6.7416000000002896</v>
      </c>
    </row>
    <row r="2156" spans="32:34" x14ac:dyDescent="0.25">
      <c r="AF2156">
        <v>215.3</v>
      </c>
      <c r="AG2156">
        <v>3854.0976000000001</v>
      </c>
      <c r="AH2156">
        <f t="shared" si="43"/>
        <v>-6.7624000000000706</v>
      </c>
    </row>
    <row r="2157" spans="32:34" x14ac:dyDescent="0.25">
      <c r="AF2157">
        <v>215.4</v>
      </c>
      <c r="AG2157">
        <v>3854.0767999999998</v>
      </c>
      <c r="AH2157">
        <f t="shared" si="43"/>
        <v>-6.7832000000003063</v>
      </c>
    </row>
    <row r="2158" spans="32:34" x14ac:dyDescent="0.25">
      <c r="AF2158">
        <v>215.5</v>
      </c>
      <c r="AG2158">
        <v>3854.056</v>
      </c>
      <c r="AH2158">
        <f t="shared" si="43"/>
        <v>-6.8040000000000873</v>
      </c>
    </row>
    <row r="2159" spans="32:34" x14ac:dyDescent="0.25">
      <c r="AF2159">
        <v>215.6</v>
      </c>
      <c r="AG2159">
        <v>3854.0351999999998</v>
      </c>
      <c r="AH2159">
        <f t="shared" si="43"/>
        <v>-6.8248000000003231</v>
      </c>
    </row>
    <row r="2160" spans="32:34" x14ac:dyDescent="0.25">
      <c r="AF2160">
        <v>215.7</v>
      </c>
      <c r="AG2160">
        <v>3854.0144</v>
      </c>
      <c r="AH2160">
        <f t="shared" si="43"/>
        <v>-6.845600000000104</v>
      </c>
    </row>
    <row r="2161" spans="32:34" x14ac:dyDescent="0.25">
      <c r="AF2161">
        <v>215.8</v>
      </c>
      <c r="AG2161">
        <v>3853.9935999999998</v>
      </c>
      <c r="AH2161">
        <f t="shared" si="43"/>
        <v>-6.8664000000003398</v>
      </c>
    </row>
    <row r="2162" spans="32:34" x14ac:dyDescent="0.25">
      <c r="AF2162">
        <v>215.9</v>
      </c>
      <c r="AG2162">
        <v>3853.9728</v>
      </c>
      <c r="AH2162">
        <f t="shared" si="43"/>
        <v>-6.8872000000001208</v>
      </c>
    </row>
    <row r="2163" spans="32:34" x14ac:dyDescent="0.25">
      <c r="AF2163">
        <v>216</v>
      </c>
      <c r="AG2163">
        <v>3853.9519999999902</v>
      </c>
      <c r="AH2163">
        <f t="shared" si="43"/>
        <v>-6.9080000000099062</v>
      </c>
    </row>
    <row r="2164" spans="32:34" x14ac:dyDescent="0.25">
      <c r="AF2164">
        <v>216.1</v>
      </c>
      <c r="AG2164">
        <v>3853.9312</v>
      </c>
      <c r="AH2164">
        <f t="shared" si="43"/>
        <v>-6.9288000000001375</v>
      </c>
    </row>
    <row r="2165" spans="32:34" x14ac:dyDescent="0.25">
      <c r="AF2165">
        <v>216.2</v>
      </c>
      <c r="AG2165">
        <v>3853.9103999999902</v>
      </c>
      <c r="AH2165">
        <f t="shared" si="43"/>
        <v>-6.949600000009923</v>
      </c>
    </row>
    <row r="2166" spans="32:34" x14ac:dyDescent="0.25">
      <c r="AF2166">
        <v>216.3</v>
      </c>
      <c r="AG2166">
        <v>3853.8896</v>
      </c>
      <c r="AH2166">
        <f t="shared" si="43"/>
        <v>-6.9704000000001543</v>
      </c>
    </row>
    <row r="2167" spans="32:34" x14ac:dyDescent="0.25">
      <c r="AF2167">
        <v>216.4</v>
      </c>
      <c r="AG2167">
        <v>3853.8687999999902</v>
      </c>
      <c r="AH2167">
        <f t="shared" si="43"/>
        <v>-6.9912000000099397</v>
      </c>
    </row>
    <row r="2168" spans="32:34" x14ac:dyDescent="0.25">
      <c r="AF2168">
        <v>216.5</v>
      </c>
      <c r="AG2168">
        <v>3853.848</v>
      </c>
      <c r="AH2168">
        <f t="shared" si="43"/>
        <v>-7.012000000000171</v>
      </c>
    </row>
    <row r="2169" spans="32:34" x14ac:dyDescent="0.25">
      <c r="AF2169">
        <v>216.6</v>
      </c>
      <c r="AG2169">
        <v>3853.8271999999902</v>
      </c>
      <c r="AH2169">
        <f t="shared" si="43"/>
        <v>-7.0328000000099564</v>
      </c>
    </row>
    <row r="2170" spans="32:34" x14ac:dyDescent="0.25">
      <c r="AF2170">
        <v>216.7</v>
      </c>
      <c r="AG2170">
        <v>3853.8063999999999</v>
      </c>
      <c r="AH2170">
        <f t="shared" si="43"/>
        <v>-7.0536000000001877</v>
      </c>
    </row>
    <row r="2171" spans="32:34" x14ac:dyDescent="0.25">
      <c r="AF2171">
        <v>216.8</v>
      </c>
      <c r="AG2171">
        <v>3853.7855999999902</v>
      </c>
      <c r="AH2171">
        <f t="shared" si="43"/>
        <v>-7.0744000000099732</v>
      </c>
    </row>
    <row r="2172" spans="32:34" x14ac:dyDescent="0.25">
      <c r="AF2172">
        <v>216.9</v>
      </c>
      <c r="AG2172">
        <v>3853.7647999999999</v>
      </c>
      <c r="AH2172">
        <f t="shared" si="43"/>
        <v>-7.0952000000002045</v>
      </c>
    </row>
    <row r="2173" spans="32:34" x14ac:dyDescent="0.25">
      <c r="AF2173">
        <v>217</v>
      </c>
      <c r="AG2173">
        <v>3853.7439999999901</v>
      </c>
      <c r="AH2173">
        <f t="shared" si="43"/>
        <v>-7.1160000000099899</v>
      </c>
    </row>
    <row r="2174" spans="32:34" x14ac:dyDescent="0.25">
      <c r="AF2174">
        <v>217.1</v>
      </c>
      <c r="AG2174">
        <v>3853.7231999999999</v>
      </c>
      <c r="AH2174">
        <f t="shared" si="43"/>
        <v>-7.1368000000002212</v>
      </c>
    </row>
    <row r="2175" spans="32:34" x14ac:dyDescent="0.25">
      <c r="AF2175">
        <v>217.2</v>
      </c>
      <c r="AG2175">
        <v>3853.7023999999901</v>
      </c>
      <c r="AH2175">
        <f t="shared" si="43"/>
        <v>-7.1576000000100066</v>
      </c>
    </row>
    <row r="2176" spans="32:34" x14ac:dyDescent="0.25">
      <c r="AF2176">
        <v>217.3</v>
      </c>
      <c r="AG2176">
        <v>3853.6815999999999</v>
      </c>
      <c r="AH2176">
        <f t="shared" si="43"/>
        <v>-7.1784000000002379</v>
      </c>
    </row>
    <row r="2177" spans="32:34" x14ac:dyDescent="0.25">
      <c r="AF2177">
        <v>217.4</v>
      </c>
      <c r="AG2177">
        <v>3853.6607999999901</v>
      </c>
      <c r="AH2177">
        <f t="shared" si="43"/>
        <v>-7.1992000000100234</v>
      </c>
    </row>
    <row r="2178" spans="32:34" x14ac:dyDescent="0.25">
      <c r="AF2178">
        <v>217.5</v>
      </c>
      <c r="AG2178">
        <v>3853.64</v>
      </c>
      <c r="AH2178">
        <f t="shared" si="43"/>
        <v>-7.2200000000002547</v>
      </c>
    </row>
    <row r="2179" spans="32:34" x14ac:dyDescent="0.25">
      <c r="AF2179">
        <v>217.6</v>
      </c>
      <c r="AG2179">
        <v>3853.6192000000001</v>
      </c>
      <c r="AH2179">
        <f t="shared" si="43"/>
        <v>-7.2408000000000357</v>
      </c>
    </row>
    <row r="2180" spans="32:34" x14ac:dyDescent="0.25">
      <c r="AF2180">
        <v>217.7</v>
      </c>
      <c r="AG2180">
        <v>3853.5983999999999</v>
      </c>
      <c r="AH2180">
        <f t="shared" ref="AH2180:AH2243" si="44">AG2180-MAX($AG$3:$AG$2353)</f>
        <v>-7.2616000000002714</v>
      </c>
    </row>
    <row r="2181" spans="32:34" x14ac:dyDescent="0.25">
      <c r="AF2181">
        <v>217.8</v>
      </c>
      <c r="AG2181">
        <v>3853.5776000000001</v>
      </c>
      <c r="AH2181">
        <f t="shared" si="44"/>
        <v>-7.2824000000000524</v>
      </c>
    </row>
    <row r="2182" spans="32:34" x14ac:dyDescent="0.25">
      <c r="AF2182">
        <v>217.9</v>
      </c>
      <c r="AG2182">
        <v>3853.5567999999998</v>
      </c>
      <c r="AH2182">
        <f t="shared" si="44"/>
        <v>-7.3032000000002881</v>
      </c>
    </row>
    <row r="2183" spans="32:34" x14ac:dyDescent="0.25">
      <c r="AF2183">
        <v>218</v>
      </c>
      <c r="AG2183">
        <v>3853.5360000000001</v>
      </c>
      <c r="AH2183">
        <f t="shared" si="44"/>
        <v>-7.3240000000000691</v>
      </c>
    </row>
    <row r="2184" spans="32:34" x14ac:dyDescent="0.25">
      <c r="AF2184">
        <v>218.1</v>
      </c>
      <c r="AG2184">
        <v>3853.5151999999998</v>
      </c>
      <c r="AH2184">
        <f t="shared" si="44"/>
        <v>-7.3448000000003049</v>
      </c>
    </row>
    <row r="2185" spans="32:34" x14ac:dyDescent="0.25">
      <c r="AF2185">
        <v>218.2</v>
      </c>
      <c r="AG2185">
        <v>3853.4944</v>
      </c>
      <c r="AH2185">
        <f t="shared" si="44"/>
        <v>-7.3656000000000859</v>
      </c>
    </row>
    <row r="2186" spans="32:34" x14ac:dyDescent="0.25">
      <c r="AF2186">
        <v>218.3</v>
      </c>
      <c r="AG2186">
        <v>3853.4735999999998</v>
      </c>
      <c r="AH2186">
        <f t="shared" si="44"/>
        <v>-7.3864000000003216</v>
      </c>
    </row>
    <row r="2187" spans="32:34" x14ac:dyDescent="0.25">
      <c r="AF2187">
        <v>218.4</v>
      </c>
      <c r="AG2187">
        <v>3853.4528</v>
      </c>
      <c r="AH2187">
        <f t="shared" si="44"/>
        <v>-7.4072000000001026</v>
      </c>
    </row>
    <row r="2188" spans="32:34" x14ac:dyDescent="0.25">
      <c r="AF2188">
        <v>218.5</v>
      </c>
      <c r="AG2188">
        <v>3853.4319999999998</v>
      </c>
      <c r="AH2188">
        <f t="shared" si="44"/>
        <v>-7.4280000000003383</v>
      </c>
    </row>
    <row r="2189" spans="32:34" x14ac:dyDescent="0.25">
      <c r="AF2189">
        <v>218.6</v>
      </c>
      <c r="AG2189">
        <v>3853.4112</v>
      </c>
      <c r="AH2189">
        <f t="shared" si="44"/>
        <v>-7.4488000000001193</v>
      </c>
    </row>
    <row r="2190" spans="32:34" x14ac:dyDescent="0.25">
      <c r="AF2190">
        <v>218.7</v>
      </c>
      <c r="AG2190">
        <v>3853.3903999999902</v>
      </c>
      <c r="AH2190">
        <f t="shared" si="44"/>
        <v>-7.4696000000099048</v>
      </c>
    </row>
    <row r="2191" spans="32:34" x14ac:dyDescent="0.25">
      <c r="AF2191">
        <v>218.8</v>
      </c>
      <c r="AG2191">
        <v>3853.3696</v>
      </c>
      <c r="AH2191">
        <f t="shared" si="44"/>
        <v>-7.4904000000001361</v>
      </c>
    </row>
    <row r="2192" spans="32:34" x14ac:dyDescent="0.25">
      <c r="AF2192">
        <v>218.9</v>
      </c>
      <c r="AG2192">
        <v>3853.3487999999902</v>
      </c>
      <c r="AH2192">
        <f t="shared" si="44"/>
        <v>-7.5112000000099215</v>
      </c>
    </row>
    <row r="2193" spans="32:34" x14ac:dyDescent="0.25">
      <c r="AF2193">
        <v>219</v>
      </c>
      <c r="AG2193">
        <v>3853.328</v>
      </c>
      <c r="AH2193">
        <f t="shared" si="44"/>
        <v>-7.5320000000001528</v>
      </c>
    </row>
    <row r="2194" spans="32:34" x14ac:dyDescent="0.25">
      <c r="AF2194">
        <v>219.1</v>
      </c>
      <c r="AG2194">
        <v>3853.3071999999902</v>
      </c>
      <c r="AH2194">
        <f t="shared" si="44"/>
        <v>-7.5528000000099382</v>
      </c>
    </row>
    <row r="2195" spans="32:34" x14ac:dyDescent="0.25">
      <c r="AF2195">
        <v>219.2</v>
      </c>
      <c r="AG2195">
        <v>3853.2864</v>
      </c>
      <c r="AH2195">
        <f t="shared" si="44"/>
        <v>-7.5736000000001695</v>
      </c>
    </row>
    <row r="2196" spans="32:34" x14ac:dyDescent="0.25">
      <c r="AF2196">
        <v>219.3</v>
      </c>
      <c r="AG2196">
        <v>3853.2655999999902</v>
      </c>
      <c r="AH2196">
        <f t="shared" si="44"/>
        <v>-7.594400000009955</v>
      </c>
    </row>
    <row r="2197" spans="32:34" x14ac:dyDescent="0.25">
      <c r="AF2197">
        <v>219.4</v>
      </c>
      <c r="AG2197">
        <v>3853.2447999999999</v>
      </c>
      <c r="AH2197">
        <f t="shared" si="44"/>
        <v>-7.6152000000001863</v>
      </c>
    </row>
    <row r="2198" spans="32:34" x14ac:dyDescent="0.25">
      <c r="AF2198">
        <v>219.5</v>
      </c>
      <c r="AG2198">
        <v>3853.2239999999902</v>
      </c>
      <c r="AH2198">
        <f t="shared" si="44"/>
        <v>-7.6360000000099717</v>
      </c>
    </row>
    <row r="2199" spans="32:34" x14ac:dyDescent="0.25">
      <c r="AF2199">
        <v>219.6</v>
      </c>
      <c r="AG2199">
        <v>3853.2031999999999</v>
      </c>
      <c r="AH2199">
        <f t="shared" si="44"/>
        <v>-7.656800000000203</v>
      </c>
    </row>
    <row r="2200" spans="32:34" x14ac:dyDescent="0.25">
      <c r="AF2200">
        <v>219.7</v>
      </c>
      <c r="AG2200">
        <v>3853.1823999999901</v>
      </c>
      <c r="AH2200">
        <f t="shared" si="44"/>
        <v>-7.6776000000099884</v>
      </c>
    </row>
    <row r="2201" spans="32:34" x14ac:dyDescent="0.25">
      <c r="AF2201">
        <v>219.8</v>
      </c>
      <c r="AG2201">
        <v>3853.1615999999999</v>
      </c>
      <c r="AH2201">
        <f t="shared" si="44"/>
        <v>-7.6984000000002197</v>
      </c>
    </row>
    <row r="2202" spans="32:34" x14ac:dyDescent="0.25">
      <c r="AF2202">
        <v>219.9</v>
      </c>
      <c r="AG2202">
        <v>3853.1407999999901</v>
      </c>
      <c r="AH2202">
        <f t="shared" si="44"/>
        <v>-7.7192000000100052</v>
      </c>
    </row>
    <row r="2203" spans="32:34" x14ac:dyDescent="0.25">
      <c r="AF2203">
        <v>220</v>
      </c>
      <c r="AG2203">
        <v>3853.12</v>
      </c>
      <c r="AH2203">
        <f t="shared" si="44"/>
        <v>-7.7400000000002365</v>
      </c>
    </row>
    <row r="2204" spans="32:34" x14ac:dyDescent="0.25">
      <c r="AF2204">
        <v>220.1</v>
      </c>
      <c r="AG2204">
        <v>3853.1171999999901</v>
      </c>
      <c r="AH2204">
        <f t="shared" si="44"/>
        <v>-7.7428000000099928</v>
      </c>
    </row>
    <row r="2205" spans="32:34" x14ac:dyDescent="0.25">
      <c r="AF2205">
        <v>220.2</v>
      </c>
      <c r="AG2205">
        <v>3853.1143999999999</v>
      </c>
      <c r="AH2205">
        <f t="shared" si="44"/>
        <v>-7.745600000000195</v>
      </c>
    </row>
    <row r="2206" spans="32:34" x14ac:dyDescent="0.25">
      <c r="AF2206">
        <v>220.3</v>
      </c>
      <c r="AG2206">
        <v>3853.1115999999902</v>
      </c>
      <c r="AH2206">
        <f t="shared" si="44"/>
        <v>-7.7484000000099513</v>
      </c>
    </row>
    <row r="2207" spans="32:34" x14ac:dyDescent="0.25">
      <c r="AF2207">
        <v>220.4</v>
      </c>
      <c r="AG2207">
        <v>3853.1088</v>
      </c>
      <c r="AH2207">
        <f t="shared" si="44"/>
        <v>-7.7512000000001535</v>
      </c>
    </row>
    <row r="2208" spans="32:34" x14ac:dyDescent="0.25">
      <c r="AF2208">
        <v>220.5</v>
      </c>
      <c r="AG2208">
        <v>3853.1059999999902</v>
      </c>
      <c r="AH2208">
        <f t="shared" si="44"/>
        <v>-7.7540000000099099</v>
      </c>
    </row>
    <row r="2209" spans="32:34" x14ac:dyDescent="0.25">
      <c r="AF2209">
        <v>220.6</v>
      </c>
      <c r="AG2209">
        <v>3853.1032</v>
      </c>
      <c r="AH2209">
        <f t="shared" si="44"/>
        <v>-7.756800000000112</v>
      </c>
    </row>
    <row r="2210" spans="32:34" x14ac:dyDescent="0.25">
      <c r="AF2210">
        <v>220.7</v>
      </c>
      <c r="AG2210">
        <v>3853.1003999999998</v>
      </c>
      <c r="AH2210">
        <f t="shared" si="44"/>
        <v>-7.7596000000003187</v>
      </c>
    </row>
    <row r="2211" spans="32:34" x14ac:dyDescent="0.25">
      <c r="AF2211">
        <v>220.8</v>
      </c>
      <c r="AG2211">
        <v>3853.0976000000001</v>
      </c>
      <c r="AH2211">
        <f t="shared" si="44"/>
        <v>-7.7624000000000706</v>
      </c>
    </row>
    <row r="2212" spans="32:34" x14ac:dyDescent="0.25">
      <c r="AF2212">
        <v>220.9</v>
      </c>
      <c r="AG2212">
        <v>3853.0947999999999</v>
      </c>
      <c r="AH2212">
        <f t="shared" si="44"/>
        <v>-7.7652000000002772</v>
      </c>
    </row>
    <row r="2213" spans="32:34" x14ac:dyDescent="0.25">
      <c r="AF2213">
        <v>221</v>
      </c>
      <c r="AG2213">
        <v>3853.0920000000001</v>
      </c>
      <c r="AH2213">
        <f t="shared" si="44"/>
        <v>-7.7680000000000291</v>
      </c>
    </row>
    <row r="2214" spans="32:34" x14ac:dyDescent="0.25">
      <c r="AF2214">
        <v>221.1</v>
      </c>
      <c r="AG2214">
        <v>3853.0891999999999</v>
      </c>
      <c r="AH2214">
        <f t="shared" si="44"/>
        <v>-7.7708000000002357</v>
      </c>
    </row>
    <row r="2215" spans="32:34" x14ac:dyDescent="0.25">
      <c r="AF2215">
        <v>221.2</v>
      </c>
      <c r="AG2215">
        <v>3853.0864000000001</v>
      </c>
      <c r="AH2215">
        <f t="shared" si="44"/>
        <v>-7.7735999999999876</v>
      </c>
    </row>
    <row r="2216" spans="32:34" x14ac:dyDescent="0.25">
      <c r="AF2216">
        <v>221.3</v>
      </c>
      <c r="AG2216">
        <v>3853.0835999999999</v>
      </c>
      <c r="AH2216">
        <f t="shared" si="44"/>
        <v>-7.7764000000001943</v>
      </c>
    </row>
    <row r="2217" spans="32:34" x14ac:dyDescent="0.25">
      <c r="AF2217">
        <v>221.4</v>
      </c>
      <c r="AG2217">
        <v>3853.0807999999902</v>
      </c>
      <c r="AH2217">
        <f t="shared" si="44"/>
        <v>-7.7792000000099506</v>
      </c>
    </row>
    <row r="2218" spans="32:34" x14ac:dyDescent="0.25">
      <c r="AF2218">
        <v>221.5</v>
      </c>
      <c r="AG2218">
        <v>3853.078</v>
      </c>
      <c r="AH2218">
        <f t="shared" si="44"/>
        <v>-7.7820000000001528</v>
      </c>
    </row>
    <row r="2219" spans="32:34" x14ac:dyDescent="0.25">
      <c r="AF2219">
        <v>221.6</v>
      </c>
      <c r="AG2219">
        <v>3853.0751999999902</v>
      </c>
      <c r="AH2219">
        <f t="shared" si="44"/>
        <v>-7.7848000000099091</v>
      </c>
    </row>
    <row r="2220" spans="32:34" x14ac:dyDescent="0.25">
      <c r="AF2220">
        <v>221.7</v>
      </c>
      <c r="AG2220">
        <v>3853.0724</v>
      </c>
      <c r="AH2220">
        <f t="shared" si="44"/>
        <v>-7.7876000000001113</v>
      </c>
    </row>
    <row r="2221" spans="32:34" x14ac:dyDescent="0.25">
      <c r="AF2221">
        <v>221.8</v>
      </c>
      <c r="AG2221">
        <v>3853.0695999999998</v>
      </c>
      <c r="AH2221">
        <f t="shared" si="44"/>
        <v>-7.790400000000318</v>
      </c>
    </row>
    <row r="2222" spans="32:34" x14ac:dyDescent="0.25">
      <c r="AF2222">
        <v>221.9</v>
      </c>
      <c r="AG2222">
        <v>3853.0668000000001</v>
      </c>
      <c r="AH2222">
        <f t="shared" si="44"/>
        <v>-7.7932000000000698</v>
      </c>
    </row>
    <row r="2223" spans="32:34" x14ac:dyDescent="0.25">
      <c r="AF2223">
        <v>222</v>
      </c>
      <c r="AG2223">
        <v>3853.0639999999999</v>
      </c>
      <c r="AH2223">
        <f t="shared" si="44"/>
        <v>-7.7960000000002765</v>
      </c>
    </row>
    <row r="2224" spans="32:34" x14ac:dyDescent="0.25">
      <c r="AF2224">
        <v>222.1</v>
      </c>
      <c r="AG2224">
        <v>3853.0612000000001</v>
      </c>
      <c r="AH2224">
        <f t="shared" si="44"/>
        <v>-7.7988000000000284</v>
      </c>
    </row>
    <row r="2225" spans="32:34" x14ac:dyDescent="0.25">
      <c r="AF2225">
        <v>222.2</v>
      </c>
      <c r="AG2225">
        <v>3853.0583999999999</v>
      </c>
      <c r="AH2225">
        <f t="shared" si="44"/>
        <v>-7.801600000000235</v>
      </c>
    </row>
    <row r="2226" spans="32:34" x14ac:dyDescent="0.25">
      <c r="AF2226">
        <v>222.3</v>
      </c>
      <c r="AG2226">
        <v>3853.0556000000001</v>
      </c>
      <c r="AH2226">
        <f t="shared" si="44"/>
        <v>-7.8043999999999869</v>
      </c>
    </row>
    <row r="2227" spans="32:34" x14ac:dyDescent="0.25">
      <c r="AF2227">
        <v>222.4</v>
      </c>
      <c r="AG2227">
        <v>3853.0527999999999</v>
      </c>
      <c r="AH2227">
        <f t="shared" si="44"/>
        <v>-7.8072000000001935</v>
      </c>
    </row>
    <row r="2228" spans="32:34" x14ac:dyDescent="0.25">
      <c r="AF2228">
        <v>222.5</v>
      </c>
      <c r="AG2228">
        <v>3853.05</v>
      </c>
      <c r="AH2228">
        <f t="shared" si="44"/>
        <v>-7.8099999999999454</v>
      </c>
    </row>
    <row r="2229" spans="32:34" x14ac:dyDescent="0.25">
      <c r="AF2229">
        <v>222.6</v>
      </c>
      <c r="AG2229">
        <v>3853.0472</v>
      </c>
      <c r="AH2229">
        <f t="shared" si="44"/>
        <v>-7.8128000000001521</v>
      </c>
    </row>
    <row r="2230" spans="32:34" x14ac:dyDescent="0.25">
      <c r="AF2230">
        <v>222.7</v>
      </c>
      <c r="AG2230">
        <v>3853.0443999999902</v>
      </c>
      <c r="AH2230">
        <f t="shared" si="44"/>
        <v>-7.8156000000099084</v>
      </c>
    </row>
    <row r="2231" spans="32:34" x14ac:dyDescent="0.25">
      <c r="AF2231">
        <v>222.8</v>
      </c>
      <c r="AG2231">
        <v>3853.0416</v>
      </c>
      <c r="AH2231">
        <f t="shared" si="44"/>
        <v>-7.8184000000001106</v>
      </c>
    </row>
    <row r="2232" spans="32:34" x14ac:dyDescent="0.25">
      <c r="AF2232">
        <v>222.9</v>
      </c>
      <c r="AG2232">
        <v>3853.0387999999998</v>
      </c>
      <c r="AH2232">
        <f t="shared" si="44"/>
        <v>-7.8212000000003172</v>
      </c>
    </row>
    <row r="2233" spans="32:34" x14ac:dyDescent="0.25">
      <c r="AF2233">
        <v>223</v>
      </c>
      <c r="AG2233">
        <v>3853.0360000000001</v>
      </c>
      <c r="AH2233">
        <f t="shared" si="44"/>
        <v>-7.8240000000000691</v>
      </c>
    </row>
    <row r="2234" spans="32:34" x14ac:dyDescent="0.25">
      <c r="AF2234">
        <v>223.1</v>
      </c>
      <c r="AG2234">
        <v>3853.0331999999999</v>
      </c>
      <c r="AH2234">
        <f t="shared" si="44"/>
        <v>-7.8268000000002758</v>
      </c>
    </row>
    <row r="2235" spans="32:34" x14ac:dyDescent="0.25">
      <c r="AF2235">
        <v>223.2</v>
      </c>
      <c r="AG2235">
        <v>3853.0304000000001</v>
      </c>
      <c r="AH2235">
        <f t="shared" si="44"/>
        <v>-7.8296000000000276</v>
      </c>
    </row>
    <row r="2236" spans="32:34" x14ac:dyDescent="0.25">
      <c r="AF2236">
        <v>223.3</v>
      </c>
      <c r="AG2236">
        <v>3853.0275999999999</v>
      </c>
      <c r="AH2236">
        <f t="shared" si="44"/>
        <v>-7.8324000000002343</v>
      </c>
    </row>
    <row r="2237" spans="32:34" x14ac:dyDescent="0.25">
      <c r="AF2237">
        <v>223.4</v>
      </c>
      <c r="AG2237">
        <v>3853.0248000000001</v>
      </c>
      <c r="AH2237">
        <f t="shared" si="44"/>
        <v>-7.8351999999999862</v>
      </c>
    </row>
    <row r="2238" spans="32:34" x14ac:dyDescent="0.25">
      <c r="AF2238">
        <v>223.5</v>
      </c>
      <c r="AG2238">
        <v>3853.0219999999999</v>
      </c>
      <c r="AH2238">
        <f t="shared" si="44"/>
        <v>-7.8380000000001928</v>
      </c>
    </row>
    <row r="2239" spans="32:34" x14ac:dyDescent="0.25">
      <c r="AF2239">
        <v>223.6</v>
      </c>
      <c r="AG2239">
        <v>3853.0192000000002</v>
      </c>
      <c r="AH2239">
        <f t="shared" si="44"/>
        <v>-7.8407999999999447</v>
      </c>
    </row>
    <row r="2240" spans="32:34" x14ac:dyDescent="0.25">
      <c r="AF2240">
        <v>223.7</v>
      </c>
      <c r="AG2240">
        <v>3853.0164</v>
      </c>
      <c r="AH2240">
        <f t="shared" si="44"/>
        <v>-7.8436000000001513</v>
      </c>
    </row>
    <row r="2241" spans="32:34" x14ac:dyDescent="0.25">
      <c r="AF2241">
        <v>223.8</v>
      </c>
      <c r="AG2241">
        <v>3853.0135999999902</v>
      </c>
      <c r="AH2241">
        <f t="shared" si="44"/>
        <v>-7.8464000000099077</v>
      </c>
    </row>
    <row r="2242" spans="32:34" x14ac:dyDescent="0.25">
      <c r="AF2242">
        <v>223.9</v>
      </c>
      <c r="AG2242">
        <v>3853.0108</v>
      </c>
      <c r="AH2242">
        <f t="shared" si="44"/>
        <v>-7.8492000000001099</v>
      </c>
    </row>
    <row r="2243" spans="32:34" x14ac:dyDescent="0.25">
      <c r="AF2243">
        <v>224</v>
      </c>
      <c r="AG2243">
        <v>3853.0079999999998</v>
      </c>
      <c r="AH2243">
        <f t="shared" si="44"/>
        <v>-7.8520000000003165</v>
      </c>
    </row>
    <row r="2244" spans="32:34" x14ac:dyDescent="0.25">
      <c r="AF2244">
        <v>224.1</v>
      </c>
      <c r="AG2244">
        <v>3853.0052000000001</v>
      </c>
      <c r="AH2244">
        <f t="shared" ref="AH2244:AH2307" si="45">AG2244-MAX($AG$3:$AG$2353)</f>
        <v>-7.8548000000000684</v>
      </c>
    </row>
    <row r="2245" spans="32:34" x14ac:dyDescent="0.25">
      <c r="AF2245">
        <v>224.2</v>
      </c>
      <c r="AG2245">
        <v>3853.0023999999999</v>
      </c>
      <c r="AH2245">
        <f t="shared" si="45"/>
        <v>-7.857600000000275</v>
      </c>
    </row>
    <row r="2246" spans="32:34" x14ac:dyDescent="0.25">
      <c r="AF2246">
        <v>224.3</v>
      </c>
      <c r="AG2246">
        <v>3852.9996000000001</v>
      </c>
      <c r="AH2246">
        <f t="shared" si="45"/>
        <v>-7.8604000000000269</v>
      </c>
    </row>
    <row r="2247" spans="32:34" x14ac:dyDescent="0.25">
      <c r="AF2247">
        <v>224.4</v>
      </c>
      <c r="AG2247">
        <v>3852.9967999999999</v>
      </c>
      <c r="AH2247">
        <f t="shared" si="45"/>
        <v>-7.8632000000002336</v>
      </c>
    </row>
    <row r="2248" spans="32:34" x14ac:dyDescent="0.25">
      <c r="AF2248">
        <v>224.5</v>
      </c>
      <c r="AG2248">
        <v>3852.9940000000001</v>
      </c>
      <c r="AH2248">
        <f t="shared" si="45"/>
        <v>-7.8659999999999854</v>
      </c>
    </row>
    <row r="2249" spans="32:34" x14ac:dyDescent="0.25">
      <c r="AF2249">
        <v>224.6</v>
      </c>
      <c r="AG2249">
        <v>3852.9911999999999</v>
      </c>
      <c r="AH2249">
        <f t="shared" si="45"/>
        <v>-7.8688000000001921</v>
      </c>
    </row>
    <row r="2250" spans="32:34" x14ac:dyDescent="0.25">
      <c r="AF2250">
        <v>224.7</v>
      </c>
      <c r="AG2250">
        <v>3852.9884000000002</v>
      </c>
      <c r="AH2250">
        <f t="shared" si="45"/>
        <v>-7.871599999999944</v>
      </c>
    </row>
    <row r="2251" spans="32:34" x14ac:dyDescent="0.25">
      <c r="AF2251">
        <v>224.8</v>
      </c>
      <c r="AG2251">
        <v>3852.9856</v>
      </c>
      <c r="AH2251">
        <f t="shared" si="45"/>
        <v>-7.8744000000001506</v>
      </c>
    </row>
    <row r="2252" spans="32:34" x14ac:dyDescent="0.25">
      <c r="AF2252">
        <v>224.9</v>
      </c>
      <c r="AG2252">
        <v>3852.9828000000002</v>
      </c>
      <c r="AH2252">
        <f t="shared" si="45"/>
        <v>-7.8771999999999025</v>
      </c>
    </row>
    <row r="2253" spans="32:34" x14ac:dyDescent="0.25">
      <c r="AF2253">
        <v>225</v>
      </c>
      <c r="AG2253">
        <v>3852.98</v>
      </c>
      <c r="AH2253">
        <f t="shared" si="45"/>
        <v>-7.8800000000001091</v>
      </c>
    </row>
    <row r="2254" spans="32:34" x14ac:dyDescent="0.25">
      <c r="AF2254">
        <v>225.1</v>
      </c>
      <c r="AG2254">
        <v>3852.9751999999999</v>
      </c>
      <c r="AH2254">
        <f t="shared" si="45"/>
        <v>-7.8848000000002685</v>
      </c>
    </row>
    <row r="2255" spans="32:34" x14ac:dyDescent="0.25">
      <c r="AF2255">
        <v>225.2</v>
      </c>
      <c r="AG2255">
        <v>3852.9704000000002</v>
      </c>
      <c r="AH2255">
        <f t="shared" si="45"/>
        <v>-7.8895999999999731</v>
      </c>
    </row>
    <row r="2256" spans="32:34" x14ac:dyDescent="0.25">
      <c r="AF2256">
        <v>225.3</v>
      </c>
      <c r="AG2256">
        <v>3852.9656</v>
      </c>
      <c r="AH2256">
        <f t="shared" si="45"/>
        <v>-7.8944000000001324</v>
      </c>
    </row>
    <row r="2257" spans="32:34" x14ac:dyDescent="0.25">
      <c r="AF2257">
        <v>225.4</v>
      </c>
      <c r="AG2257">
        <v>3852.9607999999998</v>
      </c>
      <c r="AH2257">
        <f t="shared" si="45"/>
        <v>-7.8992000000002918</v>
      </c>
    </row>
    <row r="2258" spans="32:34" x14ac:dyDescent="0.25">
      <c r="AF2258">
        <v>225.5</v>
      </c>
      <c r="AG2258">
        <v>3852.9560000000001</v>
      </c>
      <c r="AH2258">
        <f t="shared" si="45"/>
        <v>-7.9039999999999964</v>
      </c>
    </row>
    <row r="2259" spans="32:34" x14ac:dyDescent="0.25">
      <c r="AF2259">
        <v>225.6</v>
      </c>
      <c r="AG2259">
        <v>3852.9512</v>
      </c>
      <c r="AH2259">
        <f t="shared" si="45"/>
        <v>-7.9088000000001557</v>
      </c>
    </row>
    <row r="2260" spans="32:34" x14ac:dyDescent="0.25">
      <c r="AF2260">
        <v>225.7</v>
      </c>
      <c r="AG2260">
        <v>3852.9463999999998</v>
      </c>
      <c r="AH2260">
        <f t="shared" si="45"/>
        <v>-7.913600000000315</v>
      </c>
    </row>
    <row r="2261" spans="32:34" x14ac:dyDescent="0.25">
      <c r="AF2261">
        <v>225.8</v>
      </c>
      <c r="AG2261">
        <v>3852.9416000000001</v>
      </c>
      <c r="AH2261">
        <f t="shared" si="45"/>
        <v>-7.9184000000000196</v>
      </c>
    </row>
    <row r="2262" spans="32:34" x14ac:dyDescent="0.25">
      <c r="AF2262">
        <v>225.9</v>
      </c>
      <c r="AG2262">
        <v>3852.9367999999999</v>
      </c>
      <c r="AH2262">
        <f t="shared" si="45"/>
        <v>-7.923200000000179</v>
      </c>
    </row>
    <row r="2263" spans="32:34" x14ac:dyDescent="0.25">
      <c r="AF2263">
        <v>226</v>
      </c>
      <c r="AG2263">
        <v>3852.9319999999998</v>
      </c>
      <c r="AH2263">
        <f t="shared" si="45"/>
        <v>-7.9280000000003383</v>
      </c>
    </row>
    <row r="2264" spans="32:34" x14ac:dyDescent="0.25">
      <c r="AF2264">
        <v>226.1</v>
      </c>
      <c r="AG2264">
        <v>3852.9272000000001</v>
      </c>
      <c r="AH2264">
        <f t="shared" si="45"/>
        <v>-7.9328000000000429</v>
      </c>
    </row>
    <row r="2265" spans="32:34" x14ac:dyDescent="0.25">
      <c r="AF2265">
        <v>226.2</v>
      </c>
      <c r="AG2265">
        <v>3852.9223999999999</v>
      </c>
      <c r="AH2265">
        <f t="shared" si="45"/>
        <v>-7.9376000000002023</v>
      </c>
    </row>
    <row r="2266" spans="32:34" x14ac:dyDescent="0.25">
      <c r="AF2266">
        <v>226.3</v>
      </c>
      <c r="AG2266">
        <v>3852.9175999999902</v>
      </c>
      <c r="AH2266">
        <f t="shared" si="45"/>
        <v>-7.9424000000099113</v>
      </c>
    </row>
    <row r="2267" spans="32:34" x14ac:dyDescent="0.25">
      <c r="AF2267">
        <v>226.4</v>
      </c>
      <c r="AG2267">
        <v>3852.9128000000001</v>
      </c>
      <c r="AH2267">
        <f t="shared" si="45"/>
        <v>-7.9472000000000662</v>
      </c>
    </row>
    <row r="2268" spans="32:34" x14ac:dyDescent="0.25">
      <c r="AF2268">
        <v>226.5</v>
      </c>
      <c r="AG2268">
        <v>3852.9079999999999</v>
      </c>
      <c r="AH2268">
        <f t="shared" si="45"/>
        <v>-7.9520000000002256</v>
      </c>
    </row>
    <row r="2269" spans="32:34" x14ac:dyDescent="0.25">
      <c r="AF2269">
        <v>226.6</v>
      </c>
      <c r="AG2269">
        <v>3852.9031999999902</v>
      </c>
      <c r="AH2269">
        <f t="shared" si="45"/>
        <v>-7.9568000000099346</v>
      </c>
    </row>
    <row r="2270" spans="32:34" x14ac:dyDescent="0.25">
      <c r="AF2270">
        <v>226.7</v>
      </c>
      <c r="AG2270">
        <v>3852.8984</v>
      </c>
      <c r="AH2270">
        <f t="shared" si="45"/>
        <v>-7.9616000000000895</v>
      </c>
    </row>
    <row r="2271" spans="32:34" x14ac:dyDescent="0.25">
      <c r="AF2271">
        <v>226.8</v>
      </c>
      <c r="AG2271">
        <v>3852.8935999999999</v>
      </c>
      <c r="AH2271">
        <f t="shared" si="45"/>
        <v>-7.9664000000002488</v>
      </c>
    </row>
    <row r="2272" spans="32:34" x14ac:dyDescent="0.25">
      <c r="AF2272">
        <v>226.9</v>
      </c>
      <c r="AG2272">
        <v>3852.8887999999902</v>
      </c>
      <c r="AH2272">
        <f t="shared" si="45"/>
        <v>-7.9712000000099579</v>
      </c>
    </row>
    <row r="2273" spans="32:34" x14ac:dyDescent="0.25">
      <c r="AF2273">
        <v>227</v>
      </c>
      <c r="AG2273">
        <v>3852.884</v>
      </c>
      <c r="AH2273">
        <f t="shared" si="45"/>
        <v>-7.9760000000001128</v>
      </c>
    </row>
    <row r="2274" spans="32:34" x14ac:dyDescent="0.25">
      <c r="AF2274">
        <v>227.1</v>
      </c>
      <c r="AG2274">
        <v>3852.8791999999999</v>
      </c>
      <c r="AH2274">
        <f t="shared" si="45"/>
        <v>-7.9808000000002721</v>
      </c>
    </row>
    <row r="2275" spans="32:34" x14ac:dyDescent="0.25">
      <c r="AF2275">
        <v>227.2</v>
      </c>
      <c r="AG2275">
        <v>3852.8743999999901</v>
      </c>
      <c r="AH2275">
        <f t="shared" si="45"/>
        <v>-7.9856000000099812</v>
      </c>
    </row>
    <row r="2276" spans="32:34" x14ac:dyDescent="0.25">
      <c r="AF2276">
        <v>227.3</v>
      </c>
      <c r="AG2276">
        <v>3852.8696</v>
      </c>
      <c r="AH2276">
        <f t="shared" si="45"/>
        <v>-7.9904000000001361</v>
      </c>
    </row>
    <row r="2277" spans="32:34" x14ac:dyDescent="0.25">
      <c r="AF2277">
        <v>227.4</v>
      </c>
      <c r="AG2277">
        <v>3852.8647999999998</v>
      </c>
      <c r="AH2277">
        <f t="shared" si="45"/>
        <v>-7.9952000000002954</v>
      </c>
    </row>
    <row r="2278" spans="32:34" x14ac:dyDescent="0.25">
      <c r="AF2278">
        <v>227.5</v>
      </c>
      <c r="AG2278">
        <v>3852.8599999999901</v>
      </c>
      <c r="AH2278">
        <f t="shared" si="45"/>
        <v>-8.0000000000100044</v>
      </c>
    </row>
    <row r="2279" spans="32:34" x14ac:dyDescent="0.25">
      <c r="AF2279">
        <v>227.6</v>
      </c>
      <c r="AG2279">
        <v>3852.8552</v>
      </c>
      <c r="AH2279">
        <f t="shared" si="45"/>
        <v>-8.0048000000001593</v>
      </c>
    </row>
    <row r="2280" spans="32:34" x14ac:dyDescent="0.25">
      <c r="AF2280">
        <v>227.7</v>
      </c>
      <c r="AG2280">
        <v>3852.8503999999998</v>
      </c>
      <c r="AH2280">
        <f t="shared" si="45"/>
        <v>-8.0096000000003187</v>
      </c>
    </row>
    <row r="2281" spans="32:34" x14ac:dyDescent="0.25">
      <c r="AF2281">
        <v>227.8</v>
      </c>
      <c r="AG2281">
        <v>3852.8456000000001</v>
      </c>
      <c r="AH2281">
        <f t="shared" si="45"/>
        <v>-8.0144000000000233</v>
      </c>
    </row>
    <row r="2282" spans="32:34" x14ac:dyDescent="0.25">
      <c r="AF2282">
        <v>227.9</v>
      </c>
      <c r="AG2282">
        <v>3852.8407999999999</v>
      </c>
      <c r="AH2282">
        <f t="shared" si="45"/>
        <v>-8.0192000000001826</v>
      </c>
    </row>
    <row r="2283" spans="32:34" x14ac:dyDescent="0.25">
      <c r="AF2283">
        <v>228</v>
      </c>
      <c r="AG2283">
        <v>3852.8359999999998</v>
      </c>
      <c r="AH2283">
        <f t="shared" si="45"/>
        <v>-8.024000000000342</v>
      </c>
    </row>
    <row r="2284" spans="32:34" x14ac:dyDescent="0.25">
      <c r="AF2284">
        <v>228.1</v>
      </c>
      <c r="AG2284">
        <v>3852.8312000000001</v>
      </c>
      <c r="AH2284">
        <f t="shared" si="45"/>
        <v>-8.0288000000000466</v>
      </c>
    </row>
    <row r="2285" spans="32:34" x14ac:dyDescent="0.25">
      <c r="AF2285">
        <v>228.2</v>
      </c>
      <c r="AG2285">
        <v>3852.8263999999999</v>
      </c>
      <c r="AH2285">
        <f t="shared" si="45"/>
        <v>-8.0336000000002059</v>
      </c>
    </row>
    <row r="2286" spans="32:34" x14ac:dyDescent="0.25">
      <c r="AF2286">
        <v>228.3</v>
      </c>
      <c r="AG2286">
        <v>3852.8215999999902</v>
      </c>
      <c r="AH2286">
        <f t="shared" si="45"/>
        <v>-8.0384000000099149</v>
      </c>
    </row>
    <row r="2287" spans="32:34" x14ac:dyDescent="0.25">
      <c r="AF2287">
        <v>228.4</v>
      </c>
      <c r="AG2287">
        <v>3852.8168000000001</v>
      </c>
      <c r="AH2287">
        <f t="shared" si="45"/>
        <v>-8.0432000000000698</v>
      </c>
    </row>
    <row r="2288" spans="32:34" x14ac:dyDescent="0.25">
      <c r="AF2288">
        <v>228.5</v>
      </c>
      <c r="AG2288">
        <v>3852.8119999999999</v>
      </c>
      <c r="AH2288">
        <f t="shared" si="45"/>
        <v>-8.0480000000002292</v>
      </c>
    </row>
    <row r="2289" spans="32:34" x14ac:dyDescent="0.25">
      <c r="AF2289">
        <v>228.6</v>
      </c>
      <c r="AG2289">
        <v>3852.8071999999902</v>
      </c>
      <c r="AH2289">
        <f t="shared" si="45"/>
        <v>-8.0528000000099382</v>
      </c>
    </row>
    <row r="2290" spans="32:34" x14ac:dyDescent="0.25">
      <c r="AF2290">
        <v>228.7</v>
      </c>
      <c r="AG2290">
        <v>3852.8024</v>
      </c>
      <c r="AH2290">
        <f t="shared" si="45"/>
        <v>-8.0576000000000931</v>
      </c>
    </row>
    <row r="2291" spans="32:34" x14ac:dyDescent="0.25">
      <c r="AF2291">
        <v>228.8</v>
      </c>
      <c r="AG2291">
        <v>3852.7975999999999</v>
      </c>
      <c r="AH2291">
        <f t="shared" si="45"/>
        <v>-8.0624000000002525</v>
      </c>
    </row>
    <row r="2292" spans="32:34" x14ac:dyDescent="0.25">
      <c r="AF2292">
        <v>228.9</v>
      </c>
      <c r="AG2292">
        <v>3852.7927999999902</v>
      </c>
      <c r="AH2292">
        <f t="shared" si="45"/>
        <v>-8.0672000000099615</v>
      </c>
    </row>
    <row r="2293" spans="32:34" x14ac:dyDescent="0.25">
      <c r="AF2293">
        <v>229</v>
      </c>
      <c r="AG2293">
        <v>3852.788</v>
      </c>
      <c r="AH2293">
        <f t="shared" si="45"/>
        <v>-8.0720000000001164</v>
      </c>
    </row>
    <row r="2294" spans="32:34" x14ac:dyDescent="0.25">
      <c r="AF2294">
        <v>229.1</v>
      </c>
      <c r="AG2294">
        <v>3852.7831999999999</v>
      </c>
      <c r="AH2294">
        <f t="shared" si="45"/>
        <v>-8.0768000000002758</v>
      </c>
    </row>
    <row r="2295" spans="32:34" x14ac:dyDescent="0.25">
      <c r="AF2295">
        <v>229.2</v>
      </c>
      <c r="AG2295">
        <v>3852.7783999999901</v>
      </c>
      <c r="AH2295">
        <f t="shared" si="45"/>
        <v>-8.0816000000099848</v>
      </c>
    </row>
    <row r="2296" spans="32:34" x14ac:dyDescent="0.25">
      <c r="AF2296">
        <v>229.3</v>
      </c>
      <c r="AG2296">
        <v>3852.7736</v>
      </c>
      <c r="AH2296">
        <f t="shared" si="45"/>
        <v>-8.0864000000001397</v>
      </c>
    </row>
    <row r="2297" spans="32:34" x14ac:dyDescent="0.25">
      <c r="AF2297">
        <v>229.4</v>
      </c>
      <c r="AG2297">
        <v>3852.7687999999998</v>
      </c>
      <c r="AH2297">
        <f t="shared" si="45"/>
        <v>-8.091200000000299</v>
      </c>
    </row>
    <row r="2298" spans="32:34" x14ac:dyDescent="0.25">
      <c r="AF2298">
        <v>229.5</v>
      </c>
      <c r="AG2298">
        <v>3852.7639999999901</v>
      </c>
      <c r="AH2298">
        <f t="shared" si="45"/>
        <v>-8.0960000000100081</v>
      </c>
    </row>
    <row r="2299" spans="32:34" x14ac:dyDescent="0.25">
      <c r="AF2299">
        <v>229.6</v>
      </c>
      <c r="AG2299">
        <v>3852.7592</v>
      </c>
      <c r="AH2299">
        <f t="shared" si="45"/>
        <v>-8.100800000000163</v>
      </c>
    </row>
    <row r="2300" spans="32:34" x14ac:dyDescent="0.25">
      <c r="AF2300">
        <v>229.7</v>
      </c>
      <c r="AG2300">
        <v>3852.7543999999998</v>
      </c>
      <c r="AH2300">
        <f t="shared" si="45"/>
        <v>-8.1056000000003223</v>
      </c>
    </row>
    <row r="2301" spans="32:34" x14ac:dyDescent="0.25">
      <c r="AF2301">
        <v>229.8</v>
      </c>
      <c r="AG2301">
        <v>3852.7495999999901</v>
      </c>
      <c r="AH2301">
        <f t="shared" si="45"/>
        <v>-8.1104000000100314</v>
      </c>
    </row>
    <row r="2302" spans="32:34" x14ac:dyDescent="0.25">
      <c r="AF2302">
        <v>229.9</v>
      </c>
      <c r="AG2302">
        <v>3852.7447999999999</v>
      </c>
      <c r="AH2302">
        <f t="shared" si="45"/>
        <v>-8.1152000000001863</v>
      </c>
    </row>
    <row r="2303" spans="32:34" x14ac:dyDescent="0.25">
      <c r="AF2303">
        <v>230</v>
      </c>
      <c r="AG2303">
        <v>3852.74</v>
      </c>
      <c r="AH2303">
        <f t="shared" si="45"/>
        <v>-8.1200000000003456</v>
      </c>
    </row>
    <row r="2304" spans="32:34" x14ac:dyDescent="0.25">
      <c r="AF2304">
        <v>230.1</v>
      </c>
      <c r="AG2304">
        <v>3852.7367999999901</v>
      </c>
      <c r="AH2304">
        <f t="shared" si="45"/>
        <v>-8.1232000000100015</v>
      </c>
    </row>
    <row r="2305" spans="32:34" x14ac:dyDescent="0.25">
      <c r="AF2305">
        <v>230.2</v>
      </c>
      <c r="AG2305">
        <v>3852.73359999999</v>
      </c>
      <c r="AH2305">
        <f t="shared" si="45"/>
        <v>-8.1264000000101078</v>
      </c>
    </row>
    <row r="2306" spans="32:34" x14ac:dyDescent="0.25">
      <c r="AF2306">
        <v>230.3</v>
      </c>
      <c r="AG2306">
        <v>3852.7303999999999</v>
      </c>
      <c r="AH2306">
        <f t="shared" si="45"/>
        <v>-8.1296000000002095</v>
      </c>
    </row>
    <row r="2307" spans="32:34" x14ac:dyDescent="0.25">
      <c r="AF2307">
        <v>230.4</v>
      </c>
      <c r="AG2307">
        <v>3852.7271999999998</v>
      </c>
      <c r="AH2307">
        <f t="shared" si="45"/>
        <v>-8.1328000000003158</v>
      </c>
    </row>
    <row r="2308" spans="32:34" x14ac:dyDescent="0.25">
      <c r="AF2308">
        <v>230.5</v>
      </c>
      <c r="AG2308">
        <v>3852.7239999999902</v>
      </c>
      <c r="AH2308">
        <f t="shared" ref="AH2308:AH2353" si="46">AG2308-MAX($AG$3:$AG$2353)</f>
        <v>-8.1360000000099717</v>
      </c>
    </row>
    <row r="2309" spans="32:34" x14ac:dyDescent="0.25">
      <c r="AF2309">
        <v>230.6</v>
      </c>
      <c r="AG2309">
        <v>3852.72079999999</v>
      </c>
      <c r="AH2309">
        <f t="shared" si="46"/>
        <v>-8.1392000000100779</v>
      </c>
    </row>
    <row r="2310" spans="32:34" x14ac:dyDescent="0.25">
      <c r="AF2310">
        <v>230.7</v>
      </c>
      <c r="AG2310">
        <v>3852.7175999999999</v>
      </c>
      <c r="AH2310">
        <f t="shared" si="46"/>
        <v>-8.1424000000001797</v>
      </c>
    </row>
    <row r="2311" spans="32:34" x14ac:dyDescent="0.25">
      <c r="AF2311">
        <v>230.8</v>
      </c>
      <c r="AG2311">
        <v>3852.7143999999998</v>
      </c>
      <c r="AH2311">
        <f t="shared" si="46"/>
        <v>-8.1456000000002859</v>
      </c>
    </row>
    <row r="2312" spans="32:34" x14ac:dyDescent="0.25">
      <c r="AF2312">
        <v>230.9</v>
      </c>
      <c r="AG2312">
        <v>3852.7111999999902</v>
      </c>
      <c r="AH2312">
        <f t="shared" si="46"/>
        <v>-8.1488000000099419</v>
      </c>
    </row>
    <row r="2313" spans="32:34" x14ac:dyDescent="0.25">
      <c r="AF2313">
        <v>231</v>
      </c>
      <c r="AG2313">
        <v>3852.7079999999901</v>
      </c>
      <c r="AH2313">
        <f t="shared" si="46"/>
        <v>-8.1520000000100481</v>
      </c>
    </row>
    <row r="2314" spans="32:34" x14ac:dyDescent="0.25">
      <c r="AF2314">
        <v>231.1</v>
      </c>
      <c r="AG2314">
        <v>3852.7048</v>
      </c>
      <c r="AH2314">
        <f t="shared" si="46"/>
        <v>-8.1552000000001499</v>
      </c>
    </row>
    <row r="2315" spans="32:34" x14ac:dyDescent="0.25">
      <c r="AF2315">
        <v>231.2</v>
      </c>
      <c r="AG2315">
        <v>3852.7015999999999</v>
      </c>
      <c r="AH2315">
        <f t="shared" si="46"/>
        <v>-8.1584000000002561</v>
      </c>
    </row>
    <row r="2316" spans="32:34" x14ac:dyDescent="0.25">
      <c r="AF2316">
        <v>231.3</v>
      </c>
      <c r="AG2316">
        <v>3852.6983999999902</v>
      </c>
      <c r="AH2316">
        <f t="shared" si="46"/>
        <v>-8.161600000009912</v>
      </c>
    </row>
    <row r="2317" spans="32:34" x14ac:dyDescent="0.25">
      <c r="AF2317">
        <v>231.4</v>
      </c>
      <c r="AG2317">
        <v>3852.6951999999901</v>
      </c>
      <c r="AH2317">
        <f t="shared" si="46"/>
        <v>-8.1648000000100183</v>
      </c>
    </row>
    <row r="2318" spans="32:34" x14ac:dyDescent="0.25">
      <c r="AF2318">
        <v>231.5</v>
      </c>
      <c r="AG2318">
        <v>3852.692</v>
      </c>
      <c r="AH2318">
        <f t="shared" si="46"/>
        <v>-8.1680000000001201</v>
      </c>
    </row>
    <row r="2319" spans="32:34" x14ac:dyDescent="0.25">
      <c r="AF2319">
        <v>231.6</v>
      </c>
      <c r="AG2319">
        <v>3852.6887999999999</v>
      </c>
      <c r="AH2319">
        <f t="shared" si="46"/>
        <v>-8.1712000000002263</v>
      </c>
    </row>
    <row r="2320" spans="32:34" x14ac:dyDescent="0.25">
      <c r="AF2320">
        <v>231.7</v>
      </c>
      <c r="AG2320">
        <v>3852.6855999999998</v>
      </c>
      <c r="AH2320">
        <f t="shared" si="46"/>
        <v>-8.1744000000003325</v>
      </c>
    </row>
    <row r="2321" spans="32:34" x14ac:dyDescent="0.25">
      <c r="AF2321">
        <v>231.8</v>
      </c>
      <c r="AG2321">
        <v>3852.6823999999901</v>
      </c>
      <c r="AH2321">
        <f t="shared" si="46"/>
        <v>-8.1776000000099884</v>
      </c>
    </row>
    <row r="2322" spans="32:34" x14ac:dyDescent="0.25">
      <c r="AF2322">
        <v>231.9</v>
      </c>
      <c r="AG2322">
        <v>3852.6792</v>
      </c>
      <c r="AH2322">
        <f t="shared" si="46"/>
        <v>-8.1808000000000902</v>
      </c>
    </row>
    <row r="2323" spans="32:34" x14ac:dyDescent="0.25">
      <c r="AF2323">
        <v>232</v>
      </c>
      <c r="AG2323">
        <v>3852.6759999999999</v>
      </c>
      <c r="AH2323">
        <f t="shared" si="46"/>
        <v>-8.1840000000001965</v>
      </c>
    </row>
    <row r="2324" spans="32:34" x14ac:dyDescent="0.25">
      <c r="AF2324">
        <v>232.1</v>
      </c>
      <c r="AG2324">
        <v>3852.6727999999998</v>
      </c>
      <c r="AH2324">
        <f t="shared" si="46"/>
        <v>-8.1872000000003027</v>
      </c>
    </row>
    <row r="2325" spans="32:34" x14ac:dyDescent="0.25">
      <c r="AF2325">
        <v>232.2</v>
      </c>
      <c r="AG2325">
        <v>3852.6695999999902</v>
      </c>
      <c r="AH2325">
        <f t="shared" si="46"/>
        <v>-8.1904000000099586</v>
      </c>
    </row>
    <row r="2326" spans="32:34" x14ac:dyDescent="0.25">
      <c r="AF2326">
        <v>232.3</v>
      </c>
      <c r="AG2326">
        <v>3852.6664000000001</v>
      </c>
      <c r="AH2326">
        <f t="shared" si="46"/>
        <v>-8.1936000000000604</v>
      </c>
    </row>
    <row r="2327" spans="32:34" x14ac:dyDescent="0.25">
      <c r="AF2327">
        <v>232.4</v>
      </c>
      <c r="AG2327">
        <v>3852.6632</v>
      </c>
      <c r="AH2327">
        <f t="shared" si="46"/>
        <v>-8.1968000000001666</v>
      </c>
    </row>
    <row r="2328" spans="32:34" x14ac:dyDescent="0.25">
      <c r="AF2328">
        <v>232.5</v>
      </c>
      <c r="AG2328">
        <v>3852.66</v>
      </c>
      <c r="AH2328">
        <f t="shared" si="46"/>
        <v>-8.2000000000002728</v>
      </c>
    </row>
    <row r="2329" spans="32:34" x14ac:dyDescent="0.25">
      <c r="AF2329">
        <v>232.6</v>
      </c>
      <c r="AG2329">
        <v>3852.6567999999902</v>
      </c>
      <c r="AH2329">
        <f t="shared" si="46"/>
        <v>-8.2032000000099288</v>
      </c>
    </row>
    <row r="2330" spans="32:34" x14ac:dyDescent="0.25">
      <c r="AF2330">
        <v>232.7</v>
      </c>
      <c r="AG2330">
        <v>3852.6535999999901</v>
      </c>
      <c r="AH2330">
        <f t="shared" si="46"/>
        <v>-8.206400000010035</v>
      </c>
    </row>
    <row r="2331" spans="32:34" x14ac:dyDescent="0.25">
      <c r="AF2331">
        <v>232.8</v>
      </c>
      <c r="AG2331">
        <v>3852.6504</v>
      </c>
      <c r="AH2331">
        <f t="shared" si="46"/>
        <v>-8.2096000000001368</v>
      </c>
    </row>
    <row r="2332" spans="32:34" x14ac:dyDescent="0.25">
      <c r="AF2332">
        <v>232.9</v>
      </c>
      <c r="AG2332">
        <v>3852.6471999999999</v>
      </c>
      <c r="AH2332">
        <f t="shared" si="46"/>
        <v>-8.212800000000243</v>
      </c>
    </row>
    <row r="2333" spans="32:34" x14ac:dyDescent="0.25">
      <c r="AF2333">
        <v>233</v>
      </c>
      <c r="AG2333">
        <v>3852.6439999999998</v>
      </c>
      <c r="AH2333">
        <f t="shared" si="46"/>
        <v>-8.2160000000003492</v>
      </c>
    </row>
    <row r="2334" spans="32:34" x14ac:dyDescent="0.25">
      <c r="AF2334">
        <v>233.1</v>
      </c>
      <c r="AG2334">
        <v>3852.6407999999901</v>
      </c>
      <c r="AH2334">
        <f t="shared" si="46"/>
        <v>-8.2192000000100052</v>
      </c>
    </row>
    <row r="2335" spans="32:34" x14ac:dyDescent="0.25">
      <c r="AF2335">
        <v>233.2</v>
      </c>
      <c r="AG2335">
        <v>3852.6376</v>
      </c>
      <c r="AH2335">
        <f t="shared" si="46"/>
        <v>-8.222400000000107</v>
      </c>
    </row>
    <row r="2336" spans="32:34" x14ac:dyDescent="0.25">
      <c r="AF2336">
        <v>233.3</v>
      </c>
      <c r="AG2336">
        <v>3852.6343999999999</v>
      </c>
      <c r="AH2336">
        <f t="shared" si="46"/>
        <v>-8.2256000000002132</v>
      </c>
    </row>
    <row r="2337" spans="32:34" x14ac:dyDescent="0.25">
      <c r="AF2337">
        <v>233.4</v>
      </c>
      <c r="AG2337">
        <v>3852.6311999999998</v>
      </c>
      <c r="AH2337">
        <f t="shared" si="46"/>
        <v>-8.2288000000003194</v>
      </c>
    </row>
    <row r="2338" spans="32:34" x14ac:dyDescent="0.25">
      <c r="AF2338">
        <v>233.5</v>
      </c>
      <c r="AG2338">
        <v>3852.6279999999902</v>
      </c>
      <c r="AH2338">
        <f t="shared" si="46"/>
        <v>-8.2320000000099753</v>
      </c>
    </row>
    <row r="2339" spans="32:34" x14ac:dyDescent="0.25">
      <c r="AF2339">
        <v>233.6</v>
      </c>
      <c r="AG2339">
        <v>3852.6248000000001</v>
      </c>
      <c r="AH2339">
        <f t="shared" si="46"/>
        <v>-8.2352000000000771</v>
      </c>
    </row>
    <row r="2340" spans="32:34" x14ac:dyDescent="0.25">
      <c r="AF2340">
        <v>233.7</v>
      </c>
      <c r="AG2340">
        <v>3852.6215999999999</v>
      </c>
      <c r="AH2340">
        <f t="shared" si="46"/>
        <v>-8.2384000000001834</v>
      </c>
    </row>
    <row r="2341" spans="32:34" x14ac:dyDescent="0.25">
      <c r="AF2341">
        <v>233.8</v>
      </c>
      <c r="AG2341">
        <v>3852.6183999999998</v>
      </c>
      <c r="AH2341">
        <f t="shared" si="46"/>
        <v>-8.2416000000002896</v>
      </c>
    </row>
    <row r="2342" spans="32:34" x14ac:dyDescent="0.25">
      <c r="AF2342">
        <v>233.9</v>
      </c>
      <c r="AG2342">
        <v>3852.6151999999902</v>
      </c>
      <c r="AH2342">
        <f t="shared" si="46"/>
        <v>-8.2448000000099455</v>
      </c>
    </row>
    <row r="2343" spans="32:34" x14ac:dyDescent="0.25">
      <c r="AF2343">
        <v>234</v>
      </c>
      <c r="AG2343">
        <v>3852.6120000000001</v>
      </c>
      <c r="AH2343">
        <f t="shared" si="46"/>
        <v>-8.2480000000000473</v>
      </c>
    </row>
    <row r="2344" spans="32:34" x14ac:dyDescent="0.25">
      <c r="AF2344">
        <v>234.1</v>
      </c>
      <c r="AG2344">
        <v>3852.6088</v>
      </c>
      <c r="AH2344">
        <f t="shared" si="46"/>
        <v>-8.2512000000001535</v>
      </c>
    </row>
    <row r="2345" spans="32:34" x14ac:dyDescent="0.25">
      <c r="AF2345">
        <v>234.2</v>
      </c>
      <c r="AG2345">
        <v>3852.6055999999999</v>
      </c>
      <c r="AH2345">
        <f t="shared" si="46"/>
        <v>-8.2544000000002598</v>
      </c>
    </row>
    <row r="2346" spans="32:34" x14ac:dyDescent="0.25">
      <c r="AF2346">
        <v>234.3</v>
      </c>
      <c r="AG2346">
        <v>3852.6023999999902</v>
      </c>
      <c r="AH2346">
        <f t="shared" si="46"/>
        <v>-8.2576000000099157</v>
      </c>
    </row>
    <row r="2347" spans="32:34" x14ac:dyDescent="0.25">
      <c r="AF2347">
        <v>234.4</v>
      </c>
      <c r="AG2347">
        <v>3852.5992000000001</v>
      </c>
      <c r="AH2347">
        <f t="shared" si="46"/>
        <v>-8.2608000000000175</v>
      </c>
    </row>
    <row r="2348" spans="32:34" x14ac:dyDescent="0.25">
      <c r="AF2348">
        <v>234.5</v>
      </c>
      <c r="AG2348">
        <v>3852.596</v>
      </c>
      <c r="AH2348">
        <f t="shared" si="46"/>
        <v>-8.2640000000001237</v>
      </c>
    </row>
    <row r="2349" spans="32:34" x14ac:dyDescent="0.25">
      <c r="AF2349">
        <v>234.6</v>
      </c>
      <c r="AG2349">
        <v>3852.5927999999999</v>
      </c>
      <c r="AH2349">
        <f t="shared" si="46"/>
        <v>-8.2672000000002299</v>
      </c>
    </row>
    <row r="2350" spans="32:34" x14ac:dyDescent="0.25">
      <c r="AF2350">
        <v>234.7</v>
      </c>
      <c r="AG2350">
        <v>3852.5895999999998</v>
      </c>
      <c r="AH2350">
        <f t="shared" si="46"/>
        <v>-8.2704000000003361</v>
      </c>
    </row>
    <row r="2351" spans="32:34" x14ac:dyDescent="0.25">
      <c r="AF2351">
        <v>234.8</v>
      </c>
      <c r="AG2351">
        <v>3852.5864000000001</v>
      </c>
      <c r="AH2351">
        <f t="shared" si="46"/>
        <v>-8.2735999999999876</v>
      </c>
    </row>
    <row r="2352" spans="32:34" x14ac:dyDescent="0.25">
      <c r="AF2352">
        <v>234.9</v>
      </c>
      <c r="AG2352">
        <v>3852.5832</v>
      </c>
      <c r="AH2352">
        <f t="shared" si="46"/>
        <v>-8.2768000000000939</v>
      </c>
    </row>
    <row r="2353" spans="32:34" x14ac:dyDescent="0.25">
      <c r="AF2353">
        <v>235</v>
      </c>
      <c r="AG2353">
        <v>3852.58</v>
      </c>
      <c r="AH2353">
        <f t="shared" si="46"/>
        <v>-8.2800000000002001</v>
      </c>
    </row>
  </sheetData>
  <autoFilter ref="AF3:AH2353" xr:uid="{46996F86-296D-45BA-9DAB-79D31FDE72F5}"/>
  <mergeCells count="3">
    <mergeCell ref="C3:D3"/>
    <mergeCell ref="G3:I3"/>
    <mergeCell ref="J3:K3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48F1-EE5A-4103-A496-F1A9A74E5C93}">
  <dimension ref="A1:AC52"/>
  <sheetViews>
    <sheetView topLeftCell="C1" workbookViewId="0">
      <selection activeCell="I4" sqref="I4"/>
    </sheetView>
  </sheetViews>
  <sheetFormatPr defaultRowHeight="15" x14ac:dyDescent="0.25"/>
  <sheetData>
    <row r="1" spans="1:29" ht="21" x14ac:dyDescent="0.35">
      <c r="A1" s="30" t="s">
        <v>228</v>
      </c>
      <c r="D1" s="146" t="s">
        <v>216</v>
      </c>
      <c r="E1" s="146"/>
      <c r="F1" s="146" t="s">
        <v>4</v>
      </c>
      <c r="G1" s="146"/>
      <c r="H1" s="146"/>
      <c r="I1" s="1" t="s">
        <v>229</v>
      </c>
      <c r="K1" t="s">
        <v>231</v>
      </c>
      <c r="M1" t="s">
        <v>232</v>
      </c>
      <c r="O1" t="s">
        <v>216</v>
      </c>
      <c r="Q1" t="s">
        <v>4</v>
      </c>
      <c r="T1" t="s">
        <v>4</v>
      </c>
    </row>
    <row r="2" spans="1:29" s="1" customFormat="1" x14ac:dyDescent="0.25">
      <c r="A2" s="1" t="s">
        <v>226</v>
      </c>
      <c r="C2" s="1" t="s">
        <v>222</v>
      </c>
      <c r="D2" s="1" t="s">
        <v>2</v>
      </c>
      <c r="E2" s="1" t="s">
        <v>3</v>
      </c>
      <c r="F2" s="1" t="s">
        <v>230</v>
      </c>
      <c r="G2" s="1" t="s">
        <v>2</v>
      </c>
      <c r="H2" s="1" t="s">
        <v>3</v>
      </c>
      <c r="I2" s="1" t="s">
        <v>2</v>
      </c>
      <c r="J2" s="1" t="s">
        <v>3</v>
      </c>
      <c r="T2" s="1">
        <v>70</v>
      </c>
      <c r="U2" s="1">
        <v>-3.5</v>
      </c>
      <c r="V2" s="1">
        <f>U2</f>
        <v>-3.5</v>
      </c>
      <c r="AB2"/>
      <c r="AC2"/>
    </row>
    <row r="3" spans="1:29" x14ac:dyDescent="0.25">
      <c r="A3" t="s">
        <v>227</v>
      </c>
      <c r="C3" t="s">
        <v>5</v>
      </c>
      <c r="D3">
        <v>0</v>
      </c>
      <c r="E3">
        <v>3534.2060000000001</v>
      </c>
      <c r="I3" s="31">
        <v>0</v>
      </c>
      <c r="J3">
        <f>E3</f>
        <v>3534.2060000000001</v>
      </c>
      <c r="O3" s="12">
        <f>I3</f>
        <v>0</v>
      </c>
      <c r="P3">
        <f>J3-MAX($J$3:$J$50)</f>
        <v>-6.2419999999997344</v>
      </c>
      <c r="T3">
        <v>72.5</v>
      </c>
      <c r="U3">
        <v>-3.28</v>
      </c>
      <c r="V3" s="1">
        <f t="shared" ref="V3:V52" si="0">U3</f>
        <v>-3.28</v>
      </c>
      <c r="X3" s="12"/>
    </row>
    <row r="4" spans="1:29" x14ac:dyDescent="0.25">
      <c r="C4" t="s">
        <v>6</v>
      </c>
      <c r="D4">
        <v>5</v>
      </c>
      <c r="E4">
        <v>3534.0630000000001</v>
      </c>
      <c r="I4" s="31">
        <f>I3+(SQRT((D4-D3)^2-(E4-E3)^2))</f>
        <v>4.9979546816672906</v>
      </c>
      <c r="J4">
        <f t="shared" ref="J4:J50" si="1">E4</f>
        <v>3534.0630000000001</v>
      </c>
      <c r="K4" s="32"/>
      <c r="O4" s="12">
        <f t="shared" ref="O4:O50" si="2">I4</f>
        <v>4.9979546816672906</v>
      </c>
      <c r="P4">
        <f t="shared" ref="P4:P50" si="3">J4-MAX($J$3:$J$50)</f>
        <v>-6.3849999999997635</v>
      </c>
      <c r="T4">
        <v>75</v>
      </c>
      <c r="U4">
        <v>-3.05</v>
      </c>
      <c r="V4" s="1">
        <f t="shared" si="0"/>
        <v>-3.05</v>
      </c>
      <c r="X4" s="12"/>
    </row>
    <row r="5" spans="1:29" x14ac:dyDescent="0.25">
      <c r="A5" t="s">
        <v>216</v>
      </c>
      <c r="C5" t="s">
        <v>7</v>
      </c>
      <c r="D5">
        <v>10</v>
      </c>
      <c r="E5">
        <v>3534.913</v>
      </c>
      <c r="I5" s="31">
        <f t="shared" ref="I5:I50" si="4">I4+(SQRT((D5-D4)^2-(E5-E4)^2))</f>
        <v>9.925174993364358</v>
      </c>
      <c r="J5">
        <f t="shared" si="1"/>
        <v>3534.913</v>
      </c>
      <c r="K5" s="32"/>
      <c r="O5" s="12">
        <f t="shared" si="2"/>
        <v>9.925174993364358</v>
      </c>
      <c r="P5">
        <f t="shared" si="3"/>
        <v>-5.5349999999998545</v>
      </c>
      <c r="T5">
        <v>76.48</v>
      </c>
      <c r="U5">
        <v>-2.81</v>
      </c>
      <c r="V5" s="1">
        <f t="shared" si="0"/>
        <v>-2.81</v>
      </c>
      <c r="X5" s="12"/>
    </row>
    <row r="6" spans="1:29" x14ac:dyDescent="0.25">
      <c r="C6" t="s">
        <v>8</v>
      </c>
      <c r="D6">
        <v>15</v>
      </c>
      <c r="E6">
        <v>3534.4050000000002</v>
      </c>
      <c r="I6" s="31">
        <f t="shared" si="4"/>
        <v>14.899301650376641</v>
      </c>
      <c r="J6">
        <f t="shared" si="1"/>
        <v>3534.4050000000002</v>
      </c>
      <c r="K6" s="32"/>
      <c r="O6" s="12">
        <f t="shared" si="2"/>
        <v>14.899301650376641</v>
      </c>
      <c r="P6">
        <f t="shared" si="3"/>
        <v>-6.0429999999996653</v>
      </c>
      <c r="T6">
        <v>77.959999999999994</v>
      </c>
      <c r="U6">
        <v>-2.57</v>
      </c>
      <c r="V6" s="1">
        <f t="shared" si="0"/>
        <v>-2.57</v>
      </c>
      <c r="X6" s="12"/>
    </row>
    <row r="7" spans="1:29" x14ac:dyDescent="0.25">
      <c r="C7" t="s">
        <v>9</v>
      </c>
      <c r="D7">
        <v>20</v>
      </c>
      <c r="E7">
        <v>3534.6619999999998</v>
      </c>
      <c r="I7" s="31">
        <f t="shared" si="4"/>
        <v>19.89269238213399</v>
      </c>
      <c r="J7">
        <f t="shared" si="1"/>
        <v>3534.6619999999998</v>
      </c>
      <c r="K7" s="32"/>
      <c r="O7" s="12">
        <f t="shared" si="2"/>
        <v>19.89269238213399</v>
      </c>
      <c r="P7">
        <f t="shared" si="3"/>
        <v>-5.7860000000000582</v>
      </c>
      <c r="T7">
        <v>79.459999999999994</v>
      </c>
      <c r="U7">
        <v>-2.4300000000000002</v>
      </c>
      <c r="V7" s="1">
        <f t="shared" si="0"/>
        <v>-2.4300000000000002</v>
      </c>
      <c r="X7" s="12"/>
    </row>
    <row r="8" spans="1:29" x14ac:dyDescent="0.25">
      <c r="C8" t="s">
        <v>10</v>
      </c>
      <c r="D8">
        <v>25</v>
      </c>
      <c r="E8">
        <v>3535.6979999999999</v>
      </c>
      <c r="I8" s="31">
        <f t="shared" si="4"/>
        <v>24.784185405741393</v>
      </c>
      <c r="J8">
        <f t="shared" si="1"/>
        <v>3535.6979999999999</v>
      </c>
      <c r="K8" s="32"/>
      <c r="O8" s="12">
        <f t="shared" si="2"/>
        <v>24.784185405741393</v>
      </c>
      <c r="P8">
        <f t="shared" si="3"/>
        <v>-4.75</v>
      </c>
      <c r="T8">
        <v>80.959999999999994</v>
      </c>
      <c r="U8">
        <v>-2.2999999999999998</v>
      </c>
      <c r="V8" s="1">
        <f t="shared" si="0"/>
        <v>-2.2999999999999998</v>
      </c>
      <c r="X8" s="12"/>
    </row>
    <row r="9" spans="1:29" x14ac:dyDescent="0.25">
      <c r="C9" t="s">
        <v>11</v>
      </c>
      <c r="D9">
        <v>30</v>
      </c>
      <c r="E9">
        <v>3536.0680000000002</v>
      </c>
      <c r="I9" s="31">
        <f t="shared" si="4"/>
        <v>29.77047661264054</v>
      </c>
      <c r="J9">
        <f t="shared" si="1"/>
        <v>3536.0680000000002</v>
      </c>
      <c r="K9" s="32"/>
      <c r="O9" s="12">
        <f t="shared" si="2"/>
        <v>29.77047661264054</v>
      </c>
      <c r="P9">
        <f t="shared" si="3"/>
        <v>-4.3799999999996544</v>
      </c>
      <c r="T9">
        <v>82.44</v>
      </c>
      <c r="U9">
        <v>-2.5499999999999998</v>
      </c>
      <c r="V9" s="1">
        <f t="shared" si="0"/>
        <v>-2.5499999999999998</v>
      </c>
      <c r="X9" s="12"/>
    </row>
    <row r="10" spans="1:29" x14ac:dyDescent="0.25">
      <c r="C10" t="s">
        <v>12</v>
      </c>
      <c r="D10">
        <v>35</v>
      </c>
      <c r="E10">
        <v>3536.3969999999999</v>
      </c>
      <c r="I10" s="31">
        <f t="shared" si="4"/>
        <v>34.759640771094354</v>
      </c>
      <c r="J10">
        <f t="shared" si="1"/>
        <v>3536.3969999999999</v>
      </c>
      <c r="K10" s="32"/>
      <c r="O10" s="12">
        <f t="shared" si="2"/>
        <v>34.759640771094354</v>
      </c>
      <c r="P10">
        <f t="shared" si="3"/>
        <v>-4.0509999999999309</v>
      </c>
      <c r="T10">
        <v>83.93</v>
      </c>
      <c r="U10">
        <v>-2.9980000000000002</v>
      </c>
      <c r="V10" s="1">
        <f t="shared" si="0"/>
        <v>-2.9980000000000002</v>
      </c>
      <c r="X10" s="12"/>
    </row>
    <row r="11" spans="1:29" x14ac:dyDescent="0.25">
      <c r="C11" t="s">
        <v>13</v>
      </c>
      <c r="D11">
        <v>40</v>
      </c>
      <c r="E11">
        <v>3535.9960000000001</v>
      </c>
      <c r="I11" s="31">
        <f t="shared" si="4"/>
        <v>39.743534730640455</v>
      </c>
      <c r="J11">
        <f t="shared" si="1"/>
        <v>3535.9960000000001</v>
      </c>
      <c r="K11" s="32"/>
      <c r="O11" s="12">
        <f t="shared" si="2"/>
        <v>39.743534730640455</v>
      </c>
      <c r="P11">
        <f t="shared" si="3"/>
        <v>-4.4519999999997708</v>
      </c>
      <c r="T11">
        <v>85.43</v>
      </c>
      <c r="U11">
        <v>-2.85</v>
      </c>
      <c r="V11" s="1">
        <f t="shared" si="0"/>
        <v>-2.85</v>
      </c>
      <c r="X11" s="12"/>
    </row>
    <row r="12" spans="1:29" x14ac:dyDescent="0.25">
      <c r="C12" t="s">
        <v>14</v>
      </c>
      <c r="D12">
        <v>45</v>
      </c>
      <c r="E12">
        <v>3535.806</v>
      </c>
      <c r="I12" s="31">
        <f t="shared" si="4"/>
        <v>44.739923426488687</v>
      </c>
      <c r="J12">
        <f t="shared" si="1"/>
        <v>3535.806</v>
      </c>
      <c r="K12" s="32"/>
      <c r="O12" s="12">
        <f t="shared" si="2"/>
        <v>44.739923426488687</v>
      </c>
      <c r="P12">
        <f t="shared" si="3"/>
        <v>-4.6419999999998254</v>
      </c>
      <c r="T12">
        <v>86.93</v>
      </c>
      <c r="U12">
        <v>-2.83</v>
      </c>
      <c r="V12" s="1">
        <f t="shared" si="0"/>
        <v>-2.83</v>
      </c>
      <c r="X12" s="12"/>
    </row>
    <row r="13" spans="1:29" x14ac:dyDescent="0.25">
      <c r="C13" t="s">
        <v>15</v>
      </c>
      <c r="D13">
        <v>50</v>
      </c>
      <c r="E13">
        <v>3536.835</v>
      </c>
      <c r="I13" s="31">
        <f t="shared" si="4"/>
        <v>49.632893792227684</v>
      </c>
      <c r="J13">
        <f t="shared" si="1"/>
        <v>3536.835</v>
      </c>
      <c r="K13" s="32"/>
      <c r="O13" s="12">
        <f t="shared" si="2"/>
        <v>49.632893792227684</v>
      </c>
      <c r="P13">
        <f t="shared" si="3"/>
        <v>-3.612999999999829</v>
      </c>
      <c r="T13">
        <v>88.43</v>
      </c>
      <c r="U13">
        <v>-2.72</v>
      </c>
      <c r="V13" s="1">
        <f t="shared" si="0"/>
        <v>-2.72</v>
      </c>
      <c r="X13" s="12"/>
    </row>
    <row r="14" spans="1:29" x14ac:dyDescent="0.25">
      <c r="C14" t="s">
        <v>16</v>
      </c>
      <c r="D14">
        <v>55</v>
      </c>
      <c r="E14">
        <v>3536.797</v>
      </c>
      <c r="I14" s="31">
        <f t="shared" si="4"/>
        <v>54.632749390142486</v>
      </c>
      <c r="J14">
        <f t="shared" si="1"/>
        <v>3536.797</v>
      </c>
      <c r="K14" s="32"/>
      <c r="O14" s="12">
        <f t="shared" si="2"/>
        <v>54.632749390142486</v>
      </c>
      <c r="P14">
        <f t="shared" si="3"/>
        <v>-3.6509999999998399</v>
      </c>
      <c r="T14">
        <v>89.92</v>
      </c>
      <c r="U14">
        <v>-2.61</v>
      </c>
      <c r="V14" s="1">
        <f t="shared" si="0"/>
        <v>-2.61</v>
      </c>
      <c r="X14" s="12"/>
    </row>
    <row r="15" spans="1:29" x14ac:dyDescent="0.25">
      <c r="C15" t="s">
        <v>17</v>
      </c>
      <c r="D15">
        <v>60</v>
      </c>
      <c r="E15">
        <v>3538.1640000000002</v>
      </c>
      <c r="I15" s="31">
        <f t="shared" si="4"/>
        <v>59.442251547330848</v>
      </c>
      <c r="J15">
        <f t="shared" si="1"/>
        <v>3538.1640000000002</v>
      </c>
      <c r="K15" s="32"/>
      <c r="O15" s="12">
        <f t="shared" si="2"/>
        <v>59.442251547330848</v>
      </c>
      <c r="P15">
        <f t="shared" si="3"/>
        <v>-2.2839999999996508</v>
      </c>
      <c r="T15">
        <v>91.4</v>
      </c>
      <c r="U15">
        <v>-2.36</v>
      </c>
      <c r="V15" s="1">
        <f t="shared" si="0"/>
        <v>-2.36</v>
      </c>
      <c r="X15" s="12"/>
    </row>
    <row r="16" spans="1:29" x14ac:dyDescent="0.25">
      <c r="C16" t="s">
        <v>18</v>
      </c>
      <c r="D16">
        <v>65</v>
      </c>
      <c r="E16">
        <v>3538.51</v>
      </c>
      <c r="I16" s="31">
        <f t="shared" si="4"/>
        <v>64.430265580991943</v>
      </c>
      <c r="J16">
        <f t="shared" si="1"/>
        <v>3538.51</v>
      </c>
      <c r="K16" s="32"/>
      <c r="O16" s="12">
        <f t="shared" si="2"/>
        <v>64.430265580991943</v>
      </c>
      <c r="P16">
        <f t="shared" si="3"/>
        <v>-1.9379999999996471</v>
      </c>
      <c r="S16" t="s">
        <v>288</v>
      </c>
      <c r="T16">
        <v>92.88</v>
      </c>
      <c r="U16">
        <v>-2.11</v>
      </c>
      <c r="V16" s="1">
        <f t="shared" si="0"/>
        <v>-2.11</v>
      </c>
      <c r="X16" s="12"/>
    </row>
    <row r="17" spans="3:24" x14ac:dyDescent="0.25">
      <c r="C17" t="s">
        <v>19</v>
      </c>
      <c r="D17">
        <v>70</v>
      </c>
      <c r="E17">
        <v>3536.7739999999999</v>
      </c>
      <c r="I17" s="31">
        <f t="shared" si="4"/>
        <v>69.119221115010035</v>
      </c>
      <c r="J17">
        <f t="shared" si="1"/>
        <v>3536.7739999999999</v>
      </c>
      <c r="K17" s="32"/>
      <c r="O17" s="12">
        <f t="shared" si="2"/>
        <v>69.119221115010035</v>
      </c>
      <c r="P17">
        <f t="shared" si="3"/>
        <v>-3.6739999999999782</v>
      </c>
      <c r="Q17">
        <v>70</v>
      </c>
      <c r="R17">
        <v>-3.5</v>
      </c>
      <c r="S17">
        <f>R17</f>
        <v>-3.5</v>
      </c>
      <c r="T17">
        <v>94.37</v>
      </c>
      <c r="U17">
        <v>-1.94</v>
      </c>
      <c r="V17" s="1">
        <f t="shared" si="0"/>
        <v>-1.94</v>
      </c>
      <c r="X17" s="12"/>
    </row>
    <row r="18" spans="3:24" x14ac:dyDescent="0.25">
      <c r="C18" t="s">
        <v>20</v>
      </c>
      <c r="D18">
        <v>75</v>
      </c>
      <c r="E18">
        <v>3537.3969999999999</v>
      </c>
      <c r="F18" t="s">
        <v>103</v>
      </c>
      <c r="G18">
        <v>75</v>
      </c>
      <c r="H18">
        <v>3537.3969999999999</v>
      </c>
      <c r="I18" s="31">
        <f t="shared" si="4"/>
        <v>74.080256390030755</v>
      </c>
      <c r="J18">
        <f t="shared" si="1"/>
        <v>3537.3969999999999</v>
      </c>
      <c r="K18">
        <v>75</v>
      </c>
      <c r="L18">
        <f>H18</f>
        <v>3537.3969999999999</v>
      </c>
      <c r="M18">
        <v>0</v>
      </c>
      <c r="N18">
        <f>L18</f>
        <v>3537.3969999999999</v>
      </c>
      <c r="O18" s="12">
        <f t="shared" si="2"/>
        <v>74.080256390030755</v>
      </c>
      <c r="P18">
        <f t="shared" si="3"/>
        <v>-3.0509999999999309</v>
      </c>
      <c r="Q18" s="12">
        <f>K18</f>
        <v>75</v>
      </c>
      <c r="R18">
        <f>L18-MAX($J$3:$J$50)</f>
        <v>-3.0509999999999309</v>
      </c>
      <c r="S18">
        <f t="shared" ref="S18:S42" si="5">R18</f>
        <v>-3.0509999999999309</v>
      </c>
      <c r="T18">
        <v>95.86</v>
      </c>
      <c r="U18">
        <v>-1.77</v>
      </c>
      <c r="V18" s="1">
        <f t="shared" si="0"/>
        <v>-1.77</v>
      </c>
      <c r="X18" s="12"/>
    </row>
    <row r="19" spans="3:24" x14ac:dyDescent="0.25">
      <c r="C19" t="s">
        <v>21</v>
      </c>
      <c r="D19">
        <v>80</v>
      </c>
      <c r="E19">
        <v>3538.1509999999998</v>
      </c>
      <c r="F19" t="s">
        <v>104</v>
      </c>
      <c r="G19">
        <f>G18+3</f>
        <v>78</v>
      </c>
      <c r="H19">
        <v>3537.88</v>
      </c>
      <c r="I19" s="31">
        <f t="shared" si="4"/>
        <v>79.023077851503956</v>
      </c>
      <c r="J19">
        <f t="shared" si="1"/>
        <v>3538.1509999999998</v>
      </c>
      <c r="K19" s="31">
        <f>K18+(SQRT((G19-G18)^2-(H19-H18)^2))</f>
        <v>77.960863218725208</v>
      </c>
      <c r="L19">
        <f t="shared" ref="L19:L41" si="6">H19</f>
        <v>3537.88</v>
      </c>
      <c r="M19" s="31">
        <f>M18+(SQRT((G19-G18)^2-(H19-H18)^2))</f>
        <v>2.9608632187252137</v>
      </c>
      <c r="N19">
        <f t="shared" ref="N19:N41" si="7">L19</f>
        <v>3537.88</v>
      </c>
      <c r="O19" s="12">
        <f t="shared" si="2"/>
        <v>79.023077851503956</v>
      </c>
      <c r="P19">
        <f>U7</f>
        <v>-2.4300000000000002</v>
      </c>
      <c r="Q19" s="12">
        <f t="shared" ref="Q19:Q41" si="8">K19</f>
        <v>77.960863218725208</v>
      </c>
      <c r="R19">
        <f t="shared" ref="R19:R40" si="9">L19-MAX($J$3:$J$50)</f>
        <v>-2.5679999999997563</v>
      </c>
      <c r="S19">
        <f t="shared" si="5"/>
        <v>-2.5679999999997563</v>
      </c>
      <c r="T19">
        <v>97.35</v>
      </c>
      <c r="U19">
        <v>-1.92</v>
      </c>
      <c r="V19" s="1">
        <f t="shared" si="0"/>
        <v>-1.92</v>
      </c>
      <c r="X19" s="12"/>
    </row>
    <row r="20" spans="3:24" x14ac:dyDescent="0.25">
      <c r="C20" t="s">
        <v>22</v>
      </c>
      <c r="D20">
        <v>85</v>
      </c>
      <c r="E20">
        <v>3537.45</v>
      </c>
      <c r="F20" t="s">
        <v>105</v>
      </c>
      <c r="G20">
        <f t="shared" ref="G20:G41" si="10">G19+3</f>
        <v>81</v>
      </c>
      <c r="H20">
        <v>3538.06</v>
      </c>
      <c r="I20" s="31">
        <f t="shared" si="4"/>
        <v>83.973693873778359</v>
      </c>
      <c r="J20">
        <f t="shared" si="1"/>
        <v>3537.45</v>
      </c>
      <c r="K20" s="31">
        <f t="shared" ref="K20:K41" si="11">K19+(SQRT((G20-G19)^2-(H20-H19)^2))</f>
        <v>80.955458349957482</v>
      </c>
      <c r="L20">
        <f t="shared" si="6"/>
        <v>3538.06</v>
      </c>
      <c r="M20" s="31">
        <f t="shared" ref="M20:M41" si="12">M19+(SQRT((G20-G19)^2-(H20-H19)^2))</f>
        <v>5.9554583499574907</v>
      </c>
      <c r="N20">
        <f t="shared" si="7"/>
        <v>3538.06</v>
      </c>
      <c r="O20" s="12">
        <f t="shared" si="2"/>
        <v>83.973693873778359</v>
      </c>
      <c r="P20">
        <f t="shared" si="3"/>
        <v>-2.9980000000000473</v>
      </c>
      <c r="Q20" s="12">
        <f t="shared" si="8"/>
        <v>80.955458349957482</v>
      </c>
      <c r="R20">
        <f t="shared" si="9"/>
        <v>-2.38799999999992</v>
      </c>
      <c r="S20">
        <f>P19</f>
        <v>-2.4300000000000002</v>
      </c>
      <c r="T20">
        <v>98.85</v>
      </c>
      <c r="U20">
        <v>-2.0699999999999998</v>
      </c>
      <c r="V20" s="1">
        <f t="shared" si="0"/>
        <v>-2.0699999999999998</v>
      </c>
      <c r="X20" s="12"/>
    </row>
    <row r="21" spans="3:24" x14ac:dyDescent="0.25">
      <c r="C21" t="s">
        <v>23</v>
      </c>
      <c r="D21">
        <v>90</v>
      </c>
      <c r="E21">
        <v>3537.8420000000001</v>
      </c>
      <c r="F21" t="s">
        <v>106</v>
      </c>
      <c r="G21">
        <f t="shared" si="10"/>
        <v>84</v>
      </c>
      <c r="H21">
        <v>3537.64</v>
      </c>
      <c r="I21" s="31">
        <f t="shared" si="4"/>
        <v>88.958303788305244</v>
      </c>
      <c r="J21">
        <f t="shared" si="1"/>
        <v>3537.8420000000001</v>
      </c>
      <c r="K21" s="31">
        <f t="shared" si="11"/>
        <v>83.925912860634241</v>
      </c>
      <c r="L21">
        <f t="shared" si="6"/>
        <v>3537.64</v>
      </c>
      <c r="M21" s="31">
        <f t="shared" si="12"/>
        <v>8.9259128606342557</v>
      </c>
      <c r="N21">
        <f t="shared" si="7"/>
        <v>3537.64</v>
      </c>
      <c r="O21" s="12">
        <f t="shared" si="2"/>
        <v>88.958303788305244</v>
      </c>
      <c r="P21">
        <f t="shared" si="3"/>
        <v>-2.6059999999997672</v>
      </c>
      <c r="Q21" s="12">
        <f t="shared" si="8"/>
        <v>83.925912860634241</v>
      </c>
      <c r="R21">
        <f t="shared" si="9"/>
        <v>-2.8079999999999927</v>
      </c>
      <c r="S21">
        <f t="shared" si="5"/>
        <v>-2.8079999999999927</v>
      </c>
      <c r="T21">
        <v>100.35</v>
      </c>
      <c r="U21">
        <v>-2.17</v>
      </c>
      <c r="V21" s="1">
        <f t="shared" si="0"/>
        <v>-2.17</v>
      </c>
      <c r="X21" s="12"/>
    </row>
    <row r="22" spans="3:24" x14ac:dyDescent="0.25">
      <c r="C22" t="s">
        <v>24</v>
      </c>
      <c r="D22">
        <v>95</v>
      </c>
      <c r="E22">
        <v>3538.6729999999998</v>
      </c>
      <c r="F22" t="s">
        <v>107</v>
      </c>
      <c r="G22">
        <f t="shared" si="10"/>
        <v>87</v>
      </c>
      <c r="H22">
        <v>3537.62</v>
      </c>
      <c r="I22" s="31">
        <f t="shared" si="4"/>
        <v>93.88876411164226</v>
      </c>
      <c r="J22">
        <f t="shared" si="1"/>
        <v>3538.6729999999998</v>
      </c>
      <c r="K22" s="31">
        <f t="shared" si="11"/>
        <v>86.925846193226818</v>
      </c>
      <c r="L22">
        <f t="shared" si="6"/>
        <v>3537.62</v>
      </c>
      <c r="M22" s="31">
        <f t="shared" si="12"/>
        <v>11.925846193226832</v>
      </c>
      <c r="N22">
        <f t="shared" si="7"/>
        <v>3537.62</v>
      </c>
      <c r="O22" s="12">
        <f t="shared" si="2"/>
        <v>93.88876411164226</v>
      </c>
      <c r="P22">
        <f>U17</f>
        <v>-1.94</v>
      </c>
      <c r="Q22" s="12">
        <f t="shared" si="8"/>
        <v>86.925846193226818</v>
      </c>
      <c r="R22">
        <f t="shared" si="9"/>
        <v>-2.8279999999999745</v>
      </c>
      <c r="S22">
        <f t="shared" si="5"/>
        <v>-2.8279999999999745</v>
      </c>
      <c r="T22">
        <v>101.85</v>
      </c>
      <c r="U22">
        <v>-2.27</v>
      </c>
      <c r="V22" s="1">
        <f t="shared" si="0"/>
        <v>-2.27</v>
      </c>
      <c r="X22" s="12"/>
    </row>
    <row r="23" spans="3:24" x14ac:dyDescent="0.25">
      <c r="C23" t="s">
        <v>25</v>
      </c>
      <c r="D23">
        <v>100</v>
      </c>
      <c r="E23">
        <v>3538.2620000000002</v>
      </c>
      <c r="F23" t="s">
        <v>108</v>
      </c>
      <c r="G23">
        <f t="shared" si="10"/>
        <v>90</v>
      </c>
      <c r="H23">
        <v>3537.8420000000001</v>
      </c>
      <c r="I23" s="31">
        <f t="shared" si="4"/>
        <v>98.871843380528148</v>
      </c>
      <c r="J23">
        <f t="shared" si="1"/>
        <v>3538.2620000000002</v>
      </c>
      <c r="K23" s="31">
        <f t="shared" si="11"/>
        <v>89.917620917366307</v>
      </c>
      <c r="L23">
        <f t="shared" si="6"/>
        <v>3537.8420000000001</v>
      </c>
      <c r="M23" s="31">
        <f t="shared" si="12"/>
        <v>14.917620917366319</v>
      </c>
      <c r="N23">
        <f t="shared" si="7"/>
        <v>3537.8420000000001</v>
      </c>
      <c r="O23" s="12">
        <f t="shared" si="2"/>
        <v>98.871843380528148</v>
      </c>
      <c r="P23">
        <f t="shared" si="3"/>
        <v>-2.1859999999996944</v>
      </c>
      <c r="Q23" s="12">
        <f t="shared" si="8"/>
        <v>89.917620917366307</v>
      </c>
      <c r="R23">
        <f t="shared" si="9"/>
        <v>-2.6059999999997672</v>
      </c>
      <c r="S23">
        <f t="shared" si="5"/>
        <v>-2.6059999999997672</v>
      </c>
      <c r="T23">
        <v>103.34</v>
      </c>
      <c r="U23">
        <v>-2.35</v>
      </c>
      <c r="V23" s="1">
        <f t="shared" si="0"/>
        <v>-2.35</v>
      </c>
      <c r="X23" s="12"/>
    </row>
    <row r="24" spans="3:24" x14ac:dyDescent="0.25">
      <c r="C24" t="s">
        <v>26</v>
      </c>
      <c r="D24">
        <v>105</v>
      </c>
      <c r="E24">
        <v>3538.0120000000002</v>
      </c>
      <c r="F24" t="s">
        <v>109</v>
      </c>
      <c r="G24">
        <f t="shared" si="10"/>
        <v>93</v>
      </c>
      <c r="H24">
        <v>3538.34</v>
      </c>
      <c r="I24" s="31">
        <f t="shared" si="4"/>
        <v>103.86558946938769</v>
      </c>
      <c r="J24">
        <f t="shared" si="1"/>
        <v>3538.0120000000002</v>
      </c>
      <c r="K24" s="31">
        <f t="shared" si="11"/>
        <v>92.875998175256171</v>
      </c>
      <c r="L24">
        <f t="shared" si="6"/>
        <v>3538.34</v>
      </c>
      <c r="M24" s="31">
        <f t="shared" si="12"/>
        <v>17.875998175256182</v>
      </c>
      <c r="N24">
        <f t="shared" si="7"/>
        <v>3538.34</v>
      </c>
      <c r="O24" s="12">
        <f t="shared" si="2"/>
        <v>103.86558946938769</v>
      </c>
      <c r="P24">
        <f t="shared" si="3"/>
        <v>-2.4359999999996944</v>
      </c>
      <c r="Q24" s="12">
        <f t="shared" si="8"/>
        <v>92.875998175256171</v>
      </c>
      <c r="R24">
        <f t="shared" si="9"/>
        <v>-2.1079999999997199</v>
      </c>
      <c r="S24">
        <f t="shared" si="5"/>
        <v>-2.1079999999997199</v>
      </c>
      <c r="T24">
        <v>104.84</v>
      </c>
      <c r="U24">
        <v>-2.44</v>
      </c>
      <c r="V24" s="1">
        <f t="shared" si="0"/>
        <v>-2.44</v>
      </c>
      <c r="X24" s="12"/>
    </row>
    <row r="25" spans="3:24" x14ac:dyDescent="0.25">
      <c r="C25" t="s">
        <v>27</v>
      </c>
      <c r="D25">
        <v>110</v>
      </c>
      <c r="E25">
        <v>3537.81</v>
      </c>
      <c r="F25" t="s">
        <v>110</v>
      </c>
      <c r="G25">
        <f t="shared" si="10"/>
        <v>96</v>
      </c>
      <c r="H25">
        <v>3538.62</v>
      </c>
      <c r="I25" s="31">
        <f t="shared" si="4"/>
        <v>108.86150740306113</v>
      </c>
      <c r="J25">
        <f t="shared" si="1"/>
        <v>3537.81</v>
      </c>
      <c r="K25" s="31">
        <f t="shared" si="11"/>
        <v>95.862902927671314</v>
      </c>
      <c r="L25">
        <f t="shared" si="6"/>
        <v>3538.62</v>
      </c>
      <c r="M25" s="31">
        <f t="shared" si="12"/>
        <v>20.862902927671321</v>
      </c>
      <c r="N25">
        <f t="shared" si="7"/>
        <v>3538.62</v>
      </c>
      <c r="O25" s="12">
        <f t="shared" si="2"/>
        <v>108.86150740306113</v>
      </c>
      <c r="P25">
        <f t="shared" si="3"/>
        <v>-2.63799999999992</v>
      </c>
      <c r="Q25" s="12">
        <f t="shared" si="8"/>
        <v>95.862902927671314</v>
      </c>
      <c r="R25">
        <f t="shared" si="9"/>
        <v>-1.8279999999999745</v>
      </c>
      <c r="S25">
        <f>P22</f>
        <v>-1.94</v>
      </c>
      <c r="T25">
        <v>106.34</v>
      </c>
      <c r="U25">
        <v>-2.5</v>
      </c>
      <c r="V25" s="1">
        <f t="shared" si="0"/>
        <v>-2.5</v>
      </c>
      <c r="X25" s="12"/>
    </row>
    <row r="26" spans="3:24" x14ac:dyDescent="0.25">
      <c r="C26" t="s">
        <v>28</v>
      </c>
      <c r="D26">
        <v>115</v>
      </c>
      <c r="E26">
        <v>3539.223</v>
      </c>
      <c r="F26" t="s">
        <v>111</v>
      </c>
      <c r="G26">
        <f t="shared" si="10"/>
        <v>99</v>
      </c>
      <c r="H26">
        <v>3538.38</v>
      </c>
      <c r="I26" s="31">
        <f t="shared" si="4"/>
        <v>113.65769661951204</v>
      </c>
      <c r="J26">
        <f t="shared" si="1"/>
        <v>3539.223</v>
      </c>
      <c r="K26" s="31">
        <f t="shared" si="11"/>
        <v>98.853287518321835</v>
      </c>
      <c r="L26">
        <f t="shared" si="6"/>
        <v>3538.38</v>
      </c>
      <c r="M26" s="31">
        <f t="shared" si="12"/>
        <v>23.853287518321846</v>
      </c>
      <c r="N26">
        <f t="shared" si="7"/>
        <v>3538.38</v>
      </c>
      <c r="O26" s="12">
        <f>T31</f>
        <v>115.2</v>
      </c>
      <c r="P26">
        <f t="shared" si="3"/>
        <v>-1.2249999999999091</v>
      </c>
      <c r="Q26" s="12">
        <f t="shared" si="8"/>
        <v>98.853287518321835</v>
      </c>
      <c r="R26">
        <f t="shared" si="9"/>
        <v>-2.0679999999997563</v>
      </c>
      <c r="S26">
        <f t="shared" si="5"/>
        <v>-2.0679999999997563</v>
      </c>
      <c r="T26">
        <v>107.84</v>
      </c>
      <c r="U26">
        <v>-2.57</v>
      </c>
      <c r="V26" s="1">
        <f t="shared" si="0"/>
        <v>-2.57</v>
      </c>
      <c r="X26" s="12"/>
    </row>
    <row r="27" spans="3:24" x14ac:dyDescent="0.25">
      <c r="C27" t="s">
        <v>29</v>
      </c>
      <c r="D27">
        <v>120</v>
      </c>
      <c r="E27">
        <v>3539.5369999999998</v>
      </c>
      <c r="F27" t="s">
        <v>112</v>
      </c>
      <c r="G27">
        <f t="shared" si="10"/>
        <v>102</v>
      </c>
      <c r="H27">
        <v>3538.18</v>
      </c>
      <c r="I27" s="31">
        <f t="shared" si="4"/>
        <v>118.64782727912407</v>
      </c>
      <c r="J27">
        <f t="shared" si="1"/>
        <v>3539.5369999999998</v>
      </c>
      <c r="K27" s="31">
        <f t="shared" si="11"/>
        <v>101.84661342774098</v>
      </c>
      <c r="L27">
        <f t="shared" si="6"/>
        <v>3538.18</v>
      </c>
      <c r="M27" s="31">
        <f t="shared" si="12"/>
        <v>26.84661342774098</v>
      </c>
      <c r="N27">
        <f t="shared" si="7"/>
        <v>3538.18</v>
      </c>
      <c r="O27" s="12">
        <f t="shared" si="2"/>
        <v>118.64782727912407</v>
      </c>
      <c r="P27">
        <f t="shared" si="3"/>
        <v>-0.91100000000005821</v>
      </c>
      <c r="Q27" s="12">
        <f t="shared" si="8"/>
        <v>101.84661342774098</v>
      </c>
      <c r="R27">
        <f t="shared" si="9"/>
        <v>-2.2680000000000291</v>
      </c>
      <c r="S27">
        <f t="shared" si="5"/>
        <v>-2.2680000000000291</v>
      </c>
      <c r="T27">
        <v>109.34</v>
      </c>
      <c r="U27">
        <v>-2.4700000000000002</v>
      </c>
      <c r="V27" s="1">
        <f t="shared" si="0"/>
        <v>-2.4700000000000002</v>
      </c>
      <c r="X27" s="12"/>
    </row>
    <row r="28" spans="3:24" x14ac:dyDescent="0.25">
      <c r="C28" t="s">
        <v>30</v>
      </c>
      <c r="D28">
        <v>125</v>
      </c>
      <c r="E28">
        <v>3540.1030000000001</v>
      </c>
      <c r="F28" t="s">
        <v>113</v>
      </c>
      <c r="G28">
        <f t="shared" si="10"/>
        <v>105</v>
      </c>
      <c r="H28">
        <v>3538.0120000000002</v>
      </c>
      <c r="I28" s="31">
        <f t="shared" si="4"/>
        <v>123.61568838829366</v>
      </c>
      <c r="J28">
        <f t="shared" si="1"/>
        <v>3540.1030000000001</v>
      </c>
      <c r="K28" s="31">
        <f t="shared" si="11"/>
        <v>104.84190573401095</v>
      </c>
      <c r="L28">
        <f t="shared" si="6"/>
        <v>3538.0120000000002</v>
      </c>
      <c r="M28" s="31">
        <f t="shared" si="12"/>
        <v>29.841905734010957</v>
      </c>
      <c r="N28">
        <f t="shared" si="7"/>
        <v>3538.0120000000002</v>
      </c>
      <c r="O28" s="12">
        <f t="shared" si="2"/>
        <v>123.61568838829366</v>
      </c>
      <c r="P28">
        <f>U37</f>
        <v>-0.44</v>
      </c>
      <c r="Q28" s="12">
        <f t="shared" si="8"/>
        <v>104.84190573401095</v>
      </c>
      <c r="R28">
        <f t="shared" si="9"/>
        <v>-2.4359999999996944</v>
      </c>
      <c r="S28">
        <f t="shared" si="5"/>
        <v>-2.4359999999996944</v>
      </c>
      <c r="T28">
        <v>110.83</v>
      </c>
      <c r="U28">
        <v>-2.37</v>
      </c>
      <c r="V28" s="1">
        <f t="shared" si="0"/>
        <v>-2.37</v>
      </c>
      <c r="X28" s="12"/>
    </row>
    <row r="29" spans="3:24" x14ac:dyDescent="0.25">
      <c r="C29" t="s">
        <v>31</v>
      </c>
      <c r="D29">
        <v>130</v>
      </c>
      <c r="E29">
        <v>3540.4479999999999</v>
      </c>
      <c r="F29" t="s">
        <v>114</v>
      </c>
      <c r="G29">
        <f t="shared" si="10"/>
        <v>108</v>
      </c>
      <c r="H29">
        <v>3537.88</v>
      </c>
      <c r="I29" s="31">
        <f t="shared" si="4"/>
        <v>128.60377168751793</v>
      </c>
      <c r="J29">
        <f t="shared" si="1"/>
        <v>3540.4479999999999</v>
      </c>
      <c r="K29" s="31">
        <f t="shared" si="11"/>
        <v>107.83900032711274</v>
      </c>
      <c r="L29">
        <f t="shared" si="6"/>
        <v>3537.88</v>
      </c>
      <c r="M29" s="31">
        <f t="shared" si="12"/>
        <v>32.83900032711275</v>
      </c>
      <c r="N29">
        <f t="shared" si="7"/>
        <v>3537.88</v>
      </c>
      <c r="O29" s="12">
        <f t="shared" si="2"/>
        <v>128.60377168751793</v>
      </c>
      <c r="P29">
        <v>-0.11</v>
      </c>
      <c r="Q29" s="12">
        <f t="shared" si="8"/>
        <v>107.83900032711274</v>
      </c>
      <c r="R29">
        <f t="shared" si="9"/>
        <v>-2.5679999999997563</v>
      </c>
      <c r="S29">
        <f t="shared" si="5"/>
        <v>-2.5679999999997563</v>
      </c>
      <c r="T29">
        <v>112.27</v>
      </c>
      <c r="U29">
        <v>-1.95</v>
      </c>
      <c r="V29" s="1">
        <f t="shared" si="0"/>
        <v>-1.95</v>
      </c>
      <c r="X29" s="12"/>
    </row>
    <row r="30" spans="3:24" x14ac:dyDescent="0.25">
      <c r="C30" t="s">
        <v>32</v>
      </c>
      <c r="D30">
        <v>135</v>
      </c>
      <c r="E30">
        <v>3540.1860000000001</v>
      </c>
      <c r="F30" t="s">
        <v>115</v>
      </c>
      <c r="G30">
        <f t="shared" si="10"/>
        <v>111</v>
      </c>
      <c r="H30">
        <v>3538.08</v>
      </c>
      <c r="I30" s="31">
        <f t="shared" si="4"/>
        <v>133.59690256903909</v>
      </c>
      <c r="J30">
        <f t="shared" si="1"/>
        <v>3540.1860000000001</v>
      </c>
      <c r="K30" s="31">
        <f t="shared" si="11"/>
        <v>110.83232623653191</v>
      </c>
      <c r="L30">
        <f t="shared" si="6"/>
        <v>3538.08</v>
      </c>
      <c r="M30" s="31">
        <f t="shared" si="12"/>
        <v>35.832326236531912</v>
      </c>
      <c r="N30">
        <f t="shared" si="7"/>
        <v>3538.08</v>
      </c>
      <c r="O30" s="12">
        <f t="shared" si="2"/>
        <v>133.59690256903909</v>
      </c>
      <c r="P30">
        <f t="shared" si="3"/>
        <v>-0.26199999999971624</v>
      </c>
      <c r="Q30" s="12">
        <f t="shared" si="8"/>
        <v>110.83232623653191</v>
      </c>
      <c r="R30">
        <f t="shared" si="9"/>
        <v>-2.3679999999999382</v>
      </c>
      <c r="S30">
        <f t="shared" si="5"/>
        <v>-2.3679999999999382</v>
      </c>
      <c r="T30">
        <v>113.71</v>
      </c>
      <c r="U30">
        <v>-1.53</v>
      </c>
      <c r="V30" s="1">
        <f t="shared" si="0"/>
        <v>-1.53</v>
      </c>
      <c r="X30" s="12"/>
    </row>
    <row r="31" spans="3:24" x14ac:dyDescent="0.25">
      <c r="C31" t="s">
        <v>33</v>
      </c>
      <c r="D31">
        <v>140</v>
      </c>
      <c r="E31">
        <v>3538.7629999999999</v>
      </c>
      <c r="F31" t="s">
        <v>116</v>
      </c>
      <c r="G31">
        <f t="shared" si="10"/>
        <v>114</v>
      </c>
      <c r="H31">
        <v>3538.92</v>
      </c>
      <c r="I31" s="31">
        <f t="shared" si="4"/>
        <v>138.39013435980399</v>
      </c>
      <c r="J31">
        <f t="shared" si="1"/>
        <v>3538.7629999999999</v>
      </c>
      <c r="K31" s="31">
        <f t="shared" si="11"/>
        <v>113.71232623653187</v>
      </c>
      <c r="L31">
        <f t="shared" si="6"/>
        <v>3538.92</v>
      </c>
      <c r="M31" s="31">
        <f t="shared" si="12"/>
        <v>38.712326236531872</v>
      </c>
      <c r="N31">
        <f t="shared" si="7"/>
        <v>3538.92</v>
      </c>
      <c r="O31" s="12">
        <f t="shared" si="2"/>
        <v>138.39013435980399</v>
      </c>
      <c r="P31">
        <f>U46</f>
        <v>-1.0900000000000001</v>
      </c>
      <c r="Q31" s="12">
        <f t="shared" si="8"/>
        <v>113.71232623653187</v>
      </c>
      <c r="R31">
        <f t="shared" si="9"/>
        <v>-1.5279999999997926</v>
      </c>
      <c r="S31">
        <f t="shared" si="5"/>
        <v>-1.5279999999997926</v>
      </c>
      <c r="T31">
        <v>115.2</v>
      </c>
      <c r="U31">
        <v>-1.2250000000000001</v>
      </c>
      <c r="V31" s="1">
        <f t="shared" si="0"/>
        <v>-1.2250000000000001</v>
      </c>
      <c r="X31" s="12"/>
    </row>
    <row r="32" spans="3:24" x14ac:dyDescent="0.25">
      <c r="C32" t="s">
        <v>34</v>
      </c>
      <c r="D32">
        <v>145</v>
      </c>
      <c r="E32">
        <v>3539.16</v>
      </c>
      <c r="F32" t="s">
        <v>117</v>
      </c>
      <c r="G32">
        <f t="shared" si="10"/>
        <v>117</v>
      </c>
      <c r="H32">
        <v>3539.3199999999902</v>
      </c>
      <c r="I32" s="31">
        <f t="shared" si="4"/>
        <v>143.37434854059518</v>
      </c>
      <c r="J32">
        <f t="shared" si="1"/>
        <v>3539.16</v>
      </c>
      <c r="K32" s="31">
        <f t="shared" si="11"/>
        <v>116.6855399859969</v>
      </c>
      <c r="L32">
        <f t="shared" si="6"/>
        <v>3539.3199999999902</v>
      </c>
      <c r="M32" s="31">
        <f t="shared" si="12"/>
        <v>41.685539985996904</v>
      </c>
      <c r="N32">
        <f t="shared" si="7"/>
        <v>3539.3199999999902</v>
      </c>
      <c r="O32" s="12">
        <f t="shared" si="2"/>
        <v>143.37434854059518</v>
      </c>
      <c r="P32">
        <f t="shared" si="3"/>
        <v>-1.2880000000000109</v>
      </c>
      <c r="Q32" s="12">
        <f t="shared" si="8"/>
        <v>116.6855399859969</v>
      </c>
      <c r="R32">
        <f t="shared" si="9"/>
        <v>-1.1280000000097061</v>
      </c>
      <c r="S32">
        <f t="shared" si="5"/>
        <v>-1.1280000000097061</v>
      </c>
      <c r="T32">
        <v>116.69</v>
      </c>
      <c r="U32">
        <v>-1.1299999999999999</v>
      </c>
      <c r="V32" s="1">
        <f t="shared" si="0"/>
        <v>-1.1299999999999999</v>
      </c>
      <c r="X32" s="12"/>
    </row>
    <row r="33" spans="3:24" x14ac:dyDescent="0.25">
      <c r="C33" t="s">
        <v>35</v>
      </c>
      <c r="D33">
        <v>150</v>
      </c>
      <c r="E33">
        <v>3539.0210000000002</v>
      </c>
      <c r="F33" t="s">
        <v>118</v>
      </c>
      <c r="G33">
        <f t="shared" si="10"/>
        <v>120</v>
      </c>
      <c r="H33">
        <v>3539.5369999999998</v>
      </c>
      <c r="I33" s="31">
        <f t="shared" si="4"/>
        <v>148.37241606714983</v>
      </c>
      <c r="J33">
        <f t="shared" si="1"/>
        <v>3539.0210000000002</v>
      </c>
      <c r="K33" s="31">
        <f t="shared" si="11"/>
        <v>119.67768152676595</v>
      </c>
      <c r="L33">
        <f t="shared" si="6"/>
        <v>3539.5369999999998</v>
      </c>
      <c r="M33" s="31">
        <f t="shared" si="12"/>
        <v>44.677681526765959</v>
      </c>
      <c r="N33">
        <f t="shared" si="7"/>
        <v>3539.5369999999998</v>
      </c>
      <c r="O33" s="12">
        <f t="shared" si="2"/>
        <v>148.37241606714983</v>
      </c>
      <c r="P33">
        <f t="shared" si="3"/>
        <v>-1.4269999999996799</v>
      </c>
      <c r="Q33" s="12">
        <f t="shared" si="8"/>
        <v>119.67768152676595</v>
      </c>
      <c r="R33">
        <f t="shared" si="9"/>
        <v>-0.91100000000005821</v>
      </c>
      <c r="S33">
        <f t="shared" si="5"/>
        <v>-0.91100000000005821</v>
      </c>
      <c r="T33">
        <v>118.19</v>
      </c>
      <c r="U33">
        <v>-1.02</v>
      </c>
      <c r="V33" s="1">
        <f t="shared" si="0"/>
        <v>-1.02</v>
      </c>
      <c r="X33" s="12"/>
    </row>
    <row r="34" spans="3:24" x14ac:dyDescent="0.25">
      <c r="C34" t="s">
        <v>36</v>
      </c>
      <c r="D34">
        <v>155</v>
      </c>
      <c r="E34">
        <v>3538.6309999999999</v>
      </c>
      <c r="F34" t="s">
        <v>119</v>
      </c>
      <c r="G34">
        <f t="shared" si="10"/>
        <v>123</v>
      </c>
      <c r="H34">
        <v>3539.86</v>
      </c>
      <c r="I34" s="31">
        <f t="shared" si="4"/>
        <v>153.35718286209618</v>
      </c>
      <c r="J34">
        <f t="shared" si="1"/>
        <v>3538.6309999999999</v>
      </c>
      <c r="K34" s="31">
        <f t="shared" si="11"/>
        <v>122.66024267450454</v>
      </c>
      <c r="L34">
        <f t="shared" si="6"/>
        <v>3539.86</v>
      </c>
      <c r="M34" s="31">
        <f t="shared" si="12"/>
        <v>47.660242674504559</v>
      </c>
      <c r="N34">
        <f t="shared" si="7"/>
        <v>3539.86</v>
      </c>
      <c r="O34" s="12">
        <f t="shared" si="2"/>
        <v>153.35718286209618</v>
      </c>
      <c r="P34">
        <f t="shared" si="3"/>
        <v>-1.8170000000000073</v>
      </c>
      <c r="Q34" s="12">
        <f t="shared" si="8"/>
        <v>122.66024267450454</v>
      </c>
      <c r="R34">
        <f t="shared" si="9"/>
        <v>-0.58799999999973807</v>
      </c>
      <c r="S34">
        <f t="shared" si="5"/>
        <v>-0.58799999999973807</v>
      </c>
      <c r="T34">
        <v>119.68</v>
      </c>
      <c r="U34">
        <v>-0.91</v>
      </c>
      <c r="V34" s="1">
        <f t="shared" si="0"/>
        <v>-0.91</v>
      </c>
      <c r="X34" s="12"/>
    </row>
    <row r="35" spans="3:24" x14ac:dyDescent="0.25">
      <c r="C35" t="s">
        <v>37</v>
      </c>
      <c r="D35">
        <v>160</v>
      </c>
      <c r="E35">
        <v>3538.6219999999998</v>
      </c>
      <c r="F35" t="s">
        <v>120</v>
      </c>
      <c r="G35">
        <f t="shared" si="10"/>
        <v>126</v>
      </c>
      <c r="H35">
        <v>3540.16</v>
      </c>
      <c r="I35" s="31">
        <f t="shared" si="4"/>
        <v>158.35717476208961</v>
      </c>
      <c r="J35">
        <f t="shared" si="1"/>
        <v>3538.6219999999998</v>
      </c>
      <c r="K35" s="31">
        <f t="shared" si="11"/>
        <v>125.64520498582444</v>
      </c>
      <c r="L35">
        <f t="shared" si="6"/>
        <v>3540.16</v>
      </c>
      <c r="M35" s="31">
        <f t="shared" si="12"/>
        <v>50.645204985824449</v>
      </c>
      <c r="N35">
        <f t="shared" si="7"/>
        <v>3540.16</v>
      </c>
      <c r="O35" s="12">
        <f t="shared" si="2"/>
        <v>158.35717476208961</v>
      </c>
      <c r="P35">
        <f t="shared" si="3"/>
        <v>-1.8260000000000218</v>
      </c>
      <c r="Q35" s="12">
        <f t="shared" si="8"/>
        <v>125.64520498582444</v>
      </c>
      <c r="R35">
        <f t="shared" si="9"/>
        <v>-0.28800000000001091</v>
      </c>
      <c r="S35">
        <f t="shared" si="5"/>
        <v>-0.28800000000001091</v>
      </c>
      <c r="T35">
        <v>121.17</v>
      </c>
      <c r="U35">
        <v>-0.75</v>
      </c>
      <c r="V35" s="1">
        <f t="shared" si="0"/>
        <v>-0.75</v>
      </c>
      <c r="X35" s="12"/>
    </row>
    <row r="36" spans="3:24" x14ac:dyDescent="0.25">
      <c r="C36" t="s">
        <v>38</v>
      </c>
      <c r="D36">
        <v>165</v>
      </c>
      <c r="E36">
        <v>3537.8919999999998</v>
      </c>
      <c r="F36" t="s">
        <v>121</v>
      </c>
      <c r="G36">
        <f t="shared" si="10"/>
        <v>129</v>
      </c>
      <c r="H36">
        <v>3540.34</v>
      </c>
      <c r="I36" s="31">
        <f t="shared" si="4"/>
        <v>163.30359771206062</v>
      </c>
      <c r="J36">
        <f t="shared" si="1"/>
        <v>3537.8919999999998</v>
      </c>
      <c r="K36" s="31">
        <f t="shared" si="11"/>
        <v>128.63980011705669</v>
      </c>
      <c r="L36">
        <f t="shared" si="6"/>
        <v>3540.34</v>
      </c>
      <c r="M36" s="31">
        <f t="shared" si="12"/>
        <v>53.639800117056701</v>
      </c>
      <c r="N36">
        <f t="shared" si="7"/>
        <v>3540.34</v>
      </c>
      <c r="O36" s="12">
        <f t="shared" si="2"/>
        <v>163.30359771206062</v>
      </c>
      <c r="P36">
        <f t="shared" si="3"/>
        <v>-2.55600000000004</v>
      </c>
      <c r="Q36" s="12">
        <f t="shared" si="8"/>
        <v>128.63980011705669</v>
      </c>
      <c r="R36">
        <f t="shared" si="9"/>
        <v>-0.10799999999971988</v>
      </c>
      <c r="S36">
        <f t="shared" si="5"/>
        <v>-0.10799999999971988</v>
      </c>
      <c r="T36">
        <v>122.66</v>
      </c>
      <c r="U36">
        <v>-0.59</v>
      </c>
      <c r="V36" s="1">
        <f t="shared" si="0"/>
        <v>-0.59</v>
      </c>
      <c r="X36" s="12"/>
    </row>
    <row r="37" spans="3:24" x14ac:dyDescent="0.25">
      <c r="C37" t="s">
        <v>39</v>
      </c>
      <c r="D37">
        <v>170</v>
      </c>
      <c r="E37">
        <v>3539.5549999999998</v>
      </c>
      <c r="F37" t="s">
        <v>122</v>
      </c>
      <c r="G37">
        <f t="shared" si="10"/>
        <v>132</v>
      </c>
      <c r="H37">
        <v>3540.32</v>
      </c>
      <c r="I37" s="31">
        <f t="shared" si="4"/>
        <v>168.01893767859536</v>
      </c>
      <c r="J37">
        <f t="shared" si="1"/>
        <v>3539.5549999999998</v>
      </c>
      <c r="K37" s="31">
        <f t="shared" si="11"/>
        <v>131.63973344964927</v>
      </c>
      <c r="L37">
        <f t="shared" si="6"/>
        <v>3540.32</v>
      </c>
      <c r="M37" s="31">
        <f t="shared" si="12"/>
        <v>56.639733449649277</v>
      </c>
      <c r="N37">
        <f t="shared" si="7"/>
        <v>3540.32</v>
      </c>
      <c r="O37" s="12">
        <f t="shared" si="2"/>
        <v>168.01893767859536</v>
      </c>
      <c r="P37">
        <f t="shared" si="3"/>
        <v>-0.8930000000000291</v>
      </c>
      <c r="Q37" s="12">
        <f t="shared" si="8"/>
        <v>131.63973344964927</v>
      </c>
      <c r="R37">
        <f t="shared" si="9"/>
        <v>-0.12799999999970169</v>
      </c>
      <c r="S37">
        <f t="shared" si="5"/>
        <v>-0.12799999999970169</v>
      </c>
      <c r="T37">
        <v>124.16</v>
      </c>
      <c r="U37">
        <v>-0.44</v>
      </c>
      <c r="V37" s="1">
        <f t="shared" si="0"/>
        <v>-0.44</v>
      </c>
      <c r="X37" s="12"/>
    </row>
    <row r="38" spans="3:24" x14ac:dyDescent="0.25">
      <c r="C38" t="s">
        <v>40</v>
      </c>
      <c r="D38">
        <v>175</v>
      </c>
      <c r="E38">
        <v>3539.1390000000001</v>
      </c>
      <c r="F38" t="s">
        <v>123</v>
      </c>
      <c r="G38">
        <f t="shared" si="10"/>
        <v>135</v>
      </c>
      <c r="H38">
        <v>3540.1860000000001</v>
      </c>
      <c r="I38" s="31">
        <f t="shared" si="4"/>
        <v>173.00160202611067</v>
      </c>
      <c r="J38">
        <f t="shared" si="1"/>
        <v>3539.1390000000001</v>
      </c>
      <c r="K38" s="31">
        <f t="shared" si="11"/>
        <v>134.63673928881607</v>
      </c>
      <c r="L38">
        <f t="shared" si="6"/>
        <v>3540.1860000000001</v>
      </c>
      <c r="M38" s="31">
        <f t="shared" si="12"/>
        <v>59.636739288816095</v>
      </c>
      <c r="N38">
        <f t="shared" si="7"/>
        <v>3540.1860000000001</v>
      </c>
      <c r="O38" s="12">
        <f t="shared" si="2"/>
        <v>173.00160202611067</v>
      </c>
      <c r="P38">
        <f t="shared" si="3"/>
        <v>-1.3089999999997417</v>
      </c>
      <c r="Q38" s="12">
        <f t="shared" si="8"/>
        <v>134.63673928881607</v>
      </c>
      <c r="R38">
        <f t="shared" si="9"/>
        <v>-0.26199999999971624</v>
      </c>
      <c r="S38">
        <f t="shared" si="5"/>
        <v>-0.26199999999971624</v>
      </c>
      <c r="T38">
        <v>125.65</v>
      </c>
      <c r="U38">
        <v>-0.28999999999999998</v>
      </c>
      <c r="V38" s="1">
        <f t="shared" si="0"/>
        <v>-0.28999999999999998</v>
      </c>
      <c r="X38" s="12"/>
    </row>
    <row r="39" spans="3:24" x14ac:dyDescent="0.25">
      <c r="C39" t="s">
        <v>41</v>
      </c>
      <c r="D39">
        <v>180</v>
      </c>
      <c r="E39">
        <v>3538.181</v>
      </c>
      <c r="F39" t="s">
        <v>124</v>
      </c>
      <c r="G39">
        <f t="shared" si="10"/>
        <v>138</v>
      </c>
      <c r="H39">
        <v>3539.36</v>
      </c>
      <c r="I39" s="31">
        <f t="shared" si="4"/>
        <v>177.90896751076738</v>
      </c>
      <c r="J39">
        <f t="shared" si="1"/>
        <v>3538.181</v>
      </c>
      <c r="K39" s="31">
        <f t="shared" si="11"/>
        <v>137.5207857516873</v>
      </c>
      <c r="L39">
        <f t="shared" si="6"/>
        <v>3539.36</v>
      </c>
      <c r="M39" s="31">
        <f t="shared" si="12"/>
        <v>62.520785751687313</v>
      </c>
      <c r="N39">
        <f t="shared" si="7"/>
        <v>3539.36</v>
      </c>
      <c r="O39" s="12">
        <f t="shared" si="2"/>
        <v>177.90896751076738</v>
      </c>
      <c r="P39">
        <f t="shared" si="3"/>
        <v>-2.2669999999998254</v>
      </c>
      <c r="Q39" s="12">
        <f t="shared" si="8"/>
        <v>137.5207857516873</v>
      </c>
      <c r="R39">
        <f t="shared" si="9"/>
        <v>-1.0879999999997381</v>
      </c>
      <c r="S39">
        <f t="shared" si="5"/>
        <v>-1.0879999999997381</v>
      </c>
      <c r="T39">
        <v>127.14</v>
      </c>
      <c r="U39">
        <v>-0.2</v>
      </c>
      <c r="V39" s="1">
        <f t="shared" si="0"/>
        <v>-0.2</v>
      </c>
      <c r="X39" s="12"/>
    </row>
    <row r="40" spans="3:24" x14ac:dyDescent="0.25">
      <c r="C40" t="s">
        <v>42</v>
      </c>
      <c r="D40">
        <v>185</v>
      </c>
      <c r="E40">
        <v>3538.36</v>
      </c>
      <c r="F40" t="s">
        <v>125</v>
      </c>
      <c r="G40">
        <f t="shared" si="10"/>
        <v>141</v>
      </c>
      <c r="H40">
        <v>3538.88</v>
      </c>
      <c r="I40" s="31">
        <f t="shared" si="4"/>
        <v>182.90576238348328</v>
      </c>
      <c r="J40">
        <f t="shared" si="1"/>
        <v>3538.36</v>
      </c>
      <c r="K40" s="31">
        <f t="shared" si="11"/>
        <v>140.48213679470803</v>
      </c>
      <c r="L40">
        <f t="shared" si="6"/>
        <v>3538.88</v>
      </c>
      <c r="M40" s="31">
        <f t="shared" si="12"/>
        <v>65.48213679470804</v>
      </c>
      <c r="N40">
        <f t="shared" si="7"/>
        <v>3538.88</v>
      </c>
      <c r="O40" s="12">
        <f t="shared" si="2"/>
        <v>182.90576238348328</v>
      </c>
      <c r="P40">
        <f t="shared" si="3"/>
        <v>-2.0879999999997381</v>
      </c>
      <c r="Q40" s="12">
        <f t="shared" si="8"/>
        <v>140.48213679470803</v>
      </c>
      <c r="R40">
        <f t="shared" si="9"/>
        <v>-1.5679999999997563</v>
      </c>
      <c r="S40">
        <f t="shared" si="5"/>
        <v>-1.5679999999997563</v>
      </c>
      <c r="T40">
        <v>128.63999999999999</v>
      </c>
      <c r="U40">
        <v>-0.11</v>
      </c>
      <c r="V40" s="1">
        <f t="shared" si="0"/>
        <v>-0.11</v>
      </c>
      <c r="X40" s="12"/>
    </row>
    <row r="41" spans="3:24" x14ac:dyDescent="0.25">
      <c r="C41" t="s">
        <v>43</v>
      </c>
      <c r="D41">
        <v>190</v>
      </c>
      <c r="E41">
        <v>3538.3009999999999</v>
      </c>
      <c r="F41" t="s">
        <v>126</v>
      </c>
      <c r="G41">
        <f t="shared" si="10"/>
        <v>144</v>
      </c>
      <c r="H41">
        <v>3539.12</v>
      </c>
      <c r="I41" s="31">
        <f t="shared" si="4"/>
        <v>187.90541427136506</v>
      </c>
      <c r="J41">
        <f t="shared" si="1"/>
        <v>3538.3009999999999</v>
      </c>
      <c r="K41" s="31">
        <f t="shared" si="11"/>
        <v>143.47252138535856</v>
      </c>
      <c r="L41">
        <f t="shared" si="6"/>
        <v>3539.12</v>
      </c>
      <c r="M41" s="31">
        <f t="shared" si="12"/>
        <v>68.472521385358561</v>
      </c>
      <c r="N41">
        <f t="shared" si="7"/>
        <v>3539.12</v>
      </c>
      <c r="O41" s="12">
        <f t="shared" si="2"/>
        <v>187.90541427136506</v>
      </c>
      <c r="P41">
        <f t="shared" si="3"/>
        <v>-2.1469999999999345</v>
      </c>
      <c r="Q41" s="12">
        <f t="shared" si="8"/>
        <v>143.47252138535856</v>
      </c>
      <c r="R41">
        <f>L41-MAX($J$3:$J$50)</f>
        <v>-1.3279999999999745</v>
      </c>
      <c r="S41">
        <f t="shared" si="5"/>
        <v>-1.3279999999999745</v>
      </c>
      <c r="T41">
        <v>130.13999999999999</v>
      </c>
      <c r="U41">
        <v>-0.12</v>
      </c>
      <c r="V41" s="1">
        <f t="shared" si="0"/>
        <v>-0.12</v>
      </c>
      <c r="X41" s="12"/>
    </row>
    <row r="42" spans="3:24" x14ac:dyDescent="0.25">
      <c r="C42" t="s">
        <v>44</v>
      </c>
      <c r="D42">
        <v>195</v>
      </c>
      <c r="E42">
        <v>3538.5309999999999</v>
      </c>
      <c r="I42" s="31">
        <f t="shared" si="4"/>
        <v>192.90012146999041</v>
      </c>
      <c r="J42">
        <f t="shared" si="1"/>
        <v>3538.5309999999999</v>
      </c>
      <c r="K42" s="32"/>
      <c r="M42" s="31"/>
      <c r="O42" s="12">
        <f t="shared" si="2"/>
        <v>192.90012146999041</v>
      </c>
      <c r="P42">
        <f t="shared" si="3"/>
        <v>-1.9169999999999163</v>
      </c>
      <c r="Q42">
        <v>145.9</v>
      </c>
      <c r="R42">
        <v>-1.3280000000000001</v>
      </c>
      <c r="S42">
        <f t="shared" si="5"/>
        <v>-1.3280000000000001</v>
      </c>
      <c r="T42">
        <v>131.63999999999999</v>
      </c>
      <c r="U42">
        <v>-0.13</v>
      </c>
      <c r="V42" s="1">
        <f t="shared" si="0"/>
        <v>-0.13</v>
      </c>
      <c r="X42" s="12"/>
    </row>
    <row r="43" spans="3:24" x14ac:dyDescent="0.25">
      <c r="C43" t="s">
        <v>45</v>
      </c>
      <c r="D43">
        <v>200</v>
      </c>
      <c r="E43">
        <v>3538.7489999999998</v>
      </c>
      <c r="I43" s="31">
        <f t="shared" si="4"/>
        <v>197.89536680931059</v>
      </c>
      <c r="J43">
        <f t="shared" si="1"/>
        <v>3538.7489999999998</v>
      </c>
      <c r="K43" s="32"/>
      <c r="M43" s="31"/>
      <c r="O43" s="12">
        <f t="shared" si="2"/>
        <v>197.89536680931059</v>
      </c>
      <c r="P43">
        <f t="shared" si="3"/>
        <v>-1.6990000000000691</v>
      </c>
      <c r="T43">
        <v>133.13999999999999</v>
      </c>
      <c r="U43">
        <v>-0.2</v>
      </c>
      <c r="V43" s="1">
        <f t="shared" si="0"/>
        <v>-0.2</v>
      </c>
      <c r="X43" s="12"/>
    </row>
    <row r="44" spans="3:24" x14ac:dyDescent="0.25">
      <c r="C44" t="s">
        <v>46</v>
      </c>
      <c r="D44">
        <v>205</v>
      </c>
      <c r="E44">
        <v>3538.1689999999999</v>
      </c>
      <c r="I44" s="31">
        <f t="shared" si="4"/>
        <v>202.86161287651265</v>
      </c>
      <c r="J44">
        <f t="shared" si="1"/>
        <v>3538.1689999999999</v>
      </c>
      <c r="K44" s="32"/>
      <c r="M44" s="31"/>
      <c r="O44" s="12">
        <f t="shared" si="2"/>
        <v>202.86161287651265</v>
      </c>
      <c r="P44">
        <f t="shared" si="3"/>
        <v>-2.2789999999999964</v>
      </c>
      <c r="T44">
        <v>134.63999999999999</v>
      </c>
      <c r="U44">
        <v>-0.26</v>
      </c>
      <c r="V44" s="1">
        <f t="shared" si="0"/>
        <v>-0.26</v>
      </c>
      <c r="X44" s="12"/>
    </row>
    <row r="45" spans="3:24" x14ac:dyDescent="0.25">
      <c r="C45" t="s">
        <v>47</v>
      </c>
      <c r="D45">
        <v>210</v>
      </c>
      <c r="E45">
        <v>3538.4250000000002</v>
      </c>
      <c r="I45" s="31">
        <f t="shared" si="4"/>
        <v>207.8550549759066</v>
      </c>
      <c r="J45">
        <f t="shared" si="1"/>
        <v>3538.4250000000002</v>
      </c>
      <c r="K45" s="32"/>
      <c r="M45" s="31"/>
      <c r="O45" s="12">
        <f t="shared" si="2"/>
        <v>207.8550549759066</v>
      </c>
      <c r="P45">
        <f t="shared" si="3"/>
        <v>-2.0229999999996835</v>
      </c>
      <c r="T45">
        <v>136.08000000000001</v>
      </c>
      <c r="U45">
        <v>-0.68</v>
      </c>
      <c r="V45" s="1">
        <f t="shared" si="0"/>
        <v>-0.68</v>
      </c>
      <c r="X45" s="12"/>
    </row>
    <row r="46" spans="3:24" x14ac:dyDescent="0.25">
      <c r="C46" t="s">
        <v>48</v>
      </c>
      <c r="D46">
        <v>215</v>
      </c>
      <c r="E46">
        <v>3537.6889999999999</v>
      </c>
      <c r="I46" s="31">
        <f t="shared" si="4"/>
        <v>212.80058871858793</v>
      </c>
      <c r="J46">
        <f t="shared" si="1"/>
        <v>3537.6889999999999</v>
      </c>
      <c r="K46" s="32"/>
      <c r="M46" s="31"/>
      <c r="O46" s="12">
        <f t="shared" si="2"/>
        <v>212.80058871858793</v>
      </c>
      <c r="P46">
        <f t="shared" si="3"/>
        <v>-2.7590000000000146</v>
      </c>
      <c r="T46">
        <v>137.52000000000001</v>
      </c>
      <c r="U46">
        <v>-1.0900000000000001</v>
      </c>
      <c r="V46" s="1">
        <f t="shared" si="0"/>
        <v>-1.0900000000000001</v>
      </c>
      <c r="X46" s="12"/>
    </row>
    <row r="47" spans="3:24" x14ac:dyDescent="0.25">
      <c r="C47" t="s">
        <v>49</v>
      </c>
      <c r="D47">
        <v>220</v>
      </c>
      <c r="E47">
        <v>3538.183</v>
      </c>
      <c r="I47" s="31">
        <f t="shared" si="4"/>
        <v>217.77612527256881</v>
      </c>
      <c r="J47">
        <f t="shared" si="1"/>
        <v>3538.183</v>
      </c>
      <c r="K47" s="32"/>
      <c r="M47" s="31"/>
      <c r="O47" s="12">
        <f t="shared" si="2"/>
        <v>217.77612527256881</v>
      </c>
      <c r="P47">
        <f t="shared" si="3"/>
        <v>-2.2649999999998727</v>
      </c>
      <c r="T47">
        <v>139</v>
      </c>
      <c r="U47">
        <v>-1.33</v>
      </c>
      <c r="V47" s="1">
        <f t="shared" si="0"/>
        <v>-1.33</v>
      </c>
      <c r="X47" s="12"/>
    </row>
    <row r="48" spans="3:24" x14ac:dyDescent="0.25">
      <c r="C48" t="s">
        <v>50</v>
      </c>
      <c r="D48">
        <v>225</v>
      </c>
      <c r="E48">
        <v>3538.6979999999999</v>
      </c>
      <c r="I48" s="31">
        <f t="shared" si="4"/>
        <v>222.74953205263418</v>
      </c>
      <c r="J48">
        <f t="shared" si="1"/>
        <v>3538.6979999999999</v>
      </c>
      <c r="K48" s="32"/>
      <c r="M48" s="31"/>
      <c r="O48" s="12">
        <f t="shared" si="2"/>
        <v>222.74953205263418</v>
      </c>
      <c r="P48">
        <f t="shared" si="3"/>
        <v>-1.75</v>
      </c>
      <c r="T48">
        <v>140.47999999999999</v>
      </c>
      <c r="U48">
        <v>-1.57</v>
      </c>
      <c r="V48" s="1">
        <f t="shared" si="0"/>
        <v>-1.57</v>
      </c>
      <c r="X48" s="12"/>
    </row>
    <row r="49" spans="3:29" x14ac:dyDescent="0.25">
      <c r="C49" t="s">
        <v>51</v>
      </c>
      <c r="D49">
        <v>230</v>
      </c>
      <c r="E49">
        <v>3538.2829999999999</v>
      </c>
      <c r="I49" s="31">
        <f t="shared" si="4"/>
        <v>227.73227978857267</v>
      </c>
      <c r="J49">
        <f t="shared" si="1"/>
        <v>3538.2829999999999</v>
      </c>
      <c r="K49" s="32"/>
      <c r="M49" s="31"/>
      <c r="O49" s="12">
        <f t="shared" si="2"/>
        <v>227.73227978857267</v>
      </c>
      <c r="P49">
        <f t="shared" si="3"/>
        <v>-2.1649999999999636</v>
      </c>
      <c r="T49">
        <v>141.97</v>
      </c>
      <c r="U49">
        <v>-1.45</v>
      </c>
      <c r="V49" s="1">
        <f t="shared" si="0"/>
        <v>-1.45</v>
      </c>
      <c r="X49" s="12"/>
      <c r="AC49" s="2"/>
    </row>
    <row r="50" spans="3:29" x14ac:dyDescent="0.25">
      <c r="C50" t="s">
        <v>52</v>
      </c>
      <c r="D50">
        <v>235</v>
      </c>
      <c r="E50">
        <v>3538.7840000000001</v>
      </c>
      <c r="I50" s="31">
        <f t="shared" si="4"/>
        <v>232.70711636880321</v>
      </c>
      <c r="J50">
        <f t="shared" si="1"/>
        <v>3538.7840000000001</v>
      </c>
      <c r="K50" s="32"/>
      <c r="M50" s="31"/>
      <c r="O50" s="12">
        <f t="shared" si="2"/>
        <v>232.70711636880321</v>
      </c>
      <c r="P50">
        <f t="shared" si="3"/>
        <v>-1.6639999999997599</v>
      </c>
      <c r="T50">
        <v>143.47</v>
      </c>
      <c r="U50">
        <v>-1.33</v>
      </c>
      <c r="V50" s="1">
        <f t="shared" si="0"/>
        <v>-1.33</v>
      </c>
      <c r="X50" s="12"/>
    </row>
    <row r="51" spans="3:29" x14ac:dyDescent="0.25">
      <c r="T51">
        <v>144.69</v>
      </c>
      <c r="U51">
        <v>-1.33</v>
      </c>
      <c r="V51" s="1">
        <f t="shared" si="0"/>
        <v>-1.33</v>
      </c>
    </row>
    <row r="52" spans="3:29" x14ac:dyDescent="0.25">
      <c r="T52">
        <v>145.9</v>
      </c>
      <c r="U52">
        <v>-1.33</v>
      </c>
      <c r="V52" s="1">
        <f t="shared" si="0"/>
        <v>-1.33</v>
      </c>
    </row>
  </sheetData>
  <mergeCells count="2">
    <mergeCell ref="D1:E1"/>
    <mergeCell ref="F1:H1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1289-1B82-40A2-A191-00DD92450DAA}">
  <dimension ref="A1:P171"/>
  <sheetViews>
    <sheetView topLeftCell="A136" workbookViewId="0">
      <selection activeCell="M5" sqref="M5"/>
    </sheetView>
  </sheetViews>
  <sheetFormatPr defaultRowHeight="15" x14ac:dyDescent="0.25"/>
  <cols>
    <col min="13" max="13" width="16.7109375" style="12" bestFit="1" customWidth="1"/>
  </cols>
  <sheetData>
    <row r="1" spans="1:16" x14ac:dyDescent="0.25">
      <c r="A1" s="1" t="s">
        <v>233</v>
      </c>
    </row>
    <row r="2" spans="1:16" x14ac:dyDescent="0.25">
      <c r="A2" s="1" t="s">
        <v>234</v>
      </c>
      <c r="C2" t="s">
        <v>237</v>
      </c>
      <c r="D2" t="s">
        <v>286</v>
      </c>
      <c r="F2" t="s">
        <v>287</v>
      </c>
      <c r="I2" t="s">
        <v>289</v>
      </c>
      <c r="K2" t="s">
        <v>290</v>
      </c>
      <c r="M2" s="12" t="s">
        <v>292</v>
      </c>
      <c r="O2" t="s">
        <v>293</v>
      </c>
    </row>
    <row r="3" spans="1:16" x14ac:dyDescent="0.25">
      <c r="D3" s="33" t="s">
        <v>2</v>
      </c>
      <c r="E3" s="34" t="s">
        <v>3</v>
      </c>
      <c r="F3" t="s">
        <v>230</v>
      </c>
      <c r="G3" t="s">
        <v>2</v>
      </c>
      <c r="H3" t="s">
        <v>3</v>
      </c>
      <c r="I3" t="s">
        <v>2</v>
      </c>
      <c r="J3" t="s">
        <v>3</v>
      </c>
      <c r="K3" t="s">
        <v>2</v>
      </c>
      <c r="L3" t="s">
        <v>291</v>
      </c>
      <c r="M3" s="12" t="s">
        <v>2</v>
      </c>
      <c r="N3" t="s">
        <v>3</v>
      </c>
      <c r="O3" t="s">
        <v>2</v>
      </c>
      <c r="P3" t="s">
        <v>3</v>
      </c>
    </row>
    <row r="4" spans="1:16" x14ac:dyDescent="0.25">
      <c r="C4" t="s">
        <v>5</v>
      </c>
      <c r="D4" s="35">
        <v>0</v>
      </c>
      <c r="E4" s="36">
        <v>3536.2440000000001</v>
      </c>
      <c r="I4">
        <f>D4</f>
        <v>0</v>
      </c>
      <c r="J4" s="12">
        <f>E4-MAX($E$4:$E$171)</f>
        <v>-0.9839999999999236</v>
      </c>
      <c r="M4" s="12">
        <v>0</v>
      </c>
      <c r="N4" s="12">
        <f>J4</f>
        <v>-0.9839999999999236</v>
      </c>
    </row>
    <row r="5" spans="1:16" x14ac:dyDescent="0.25">
      <c r="C5" t="s">
        <v>6</v>
      </c>
      <c r="D5" s="35">
        <v>5</v>
      </c>
      <c r="E5" s="36">
        <v>3536.2660000000001</v>
      </c>
      <c r="I5">
        <f t="shared" ref="I5:I68" si="0">D5</f>
        <v>5</v>
      </c>
      <c r="J5" s="12">
        <f t="shared" ref="J5:J68" si="1">E5-MAX($E$4:$E$171)</f>
        <v>-0.96199999999998909</v>
      </c>
      <c r="M5" s="31">
        <f>M4+(SQRT((D5-D4)^2-(E5-E4)^2))</f>
        <v>4.9999515997657422</v>
      </c>
      <c r="N5" s="12">
        <f t="shared" ref="N5:N68" si="2">J5</f>
        <v>-0.96199999999998909</v>
      </c>
    </row>
    <row r="6" spans="1:16" x14ac:dyDescent="0.25">
      <c r="C6" t="s">
        <v>7</v>
      </c>
      <c r="D6" s="35">
        <v>10</v>
      </c>
      <c r="E6" s="36">
        <v>3536.4780000000001</v>
      </c>
      <c r="I6">
        <f t="shared" si="0"/>
        <v>10</v>
      </c>
      <c r="J6" s="12">
        <f t="shared" si="1"/>
        <v>-0.75</v>
      </c>
      <c r="M6" s="31">
        <f t="shared" ref="M6:M69" si="3">M5+(SQRT((D6-D5)^2-(E6-E5)^2))</f>
        <v>9.9954551779848586</v>
      </c>
      <c r="N6" s="12">
        <f t="shared" si="2"/>
        <v>-0.75</v>
      </c>
    </row>
    <row r="7" spans="1:16" x14ac:dyDescent="0.25">
      <c r="C7" t="s">
        <v>8</v>
      </c>
      <c r="D7" s="35">
        <v>15</v>
      </c>
      <c r="E7" s="36">
        <v>3536.152</v>
      </c>
      <c r="I7">
        <f t="shared" si="0"/>
        <v>15</v>
      </c>
      <c r="J7" s="12">
        <f t="shared" si="1"/>
        <v>-1.0760000000000218</v>
      </c>
      <c r="M7" s="31">
        <f t="shared" si="3"/>
        <v>14.984816259325834</v>
      </c>
      <c r="N7" s="12">
        <f t="shared" si="2"/>
        <v>-1.0760000000000218</v>
      </c>
    </row>
    <row r="8" spans="1:16" x14ac:dyDescent="0.25">
      <c r="C8" t="s">
        <v>9</v>
      </c>
      <c r="D8" s="35">
        <v>20</v>
      </c>
      <c r="E8" s="36">
        <v>3535.8090000000002</v>
      </c>
      <c r="I8">
        <f t="shared" si="0"/>
        <v>20</v>
      </c>
      <c r="J8" s="12">
        <f t="shared" si="1"/>
        <v>-1.418999999999869</v>
      </c>
      <c r="M8" s="31">
        <f t="shared" si="3"/>
        <v>19.973037485374263</v>
      </c>
      <c r="N8" s="12">
        <f t="shared" si="2"/>
        <v>-1.418999999999869</v>
      </c>
    </row>
    <row r="9" spans="1:16" x14ac:dyDescent="0.25">
      <c r="C9" t="s">
        <v>10</v>
      </c>
      <c r="D9" s="35">
        <v>25</v>
      </c>
      <c r="E9" s="36">
        <v>3536.2440000000001</v>
      </c>
      <c r="I9">
        <f t="shared" si="0"/>
        <v>25</v>
      </c>
      <c r="J9" s="12">
        <f t="shared" si="1"/>
        <v>-0.9839999999999236</v>
      </c>
      <c r="M9" s="31">
        <f t="shared" si="3"/>
        <v>24.954079043121002</v>
      </c>
      <c r="N9" s="12">
        <f t="shared" si="2"/>
        <v>-0.9839999999999236</v>
      </c>
    </row>
    <row r="10" spans="1:16" x14ac:dyDescent="0.25">
      <c r="C10" t="s">
        <v>11</v>
      </c>
      <c r="D10" s="35">
        <v>30</v>
      </c>
      <c r="E10" s="36">
        <v>3535.9740000000002</v>
      </c>
      <c r="I10">
        <f t="shared" si="0"/>
        <v>30</v>
      </c>
      <c r="J10" s="12">
        <f t="shared" si="1"/>
        <v>-1.2539999999999054</v>
      </c>
      <c r="M10" s="31">
        <f t="shared" si="3"/>
        <v>29.946783720948442</v>
      </c>
      <c r="N10" s="12">
        <f t="shared" si="2"/>
        <v>-1.2539999999999054</v>
      </c>
    </row>
    <row r="11" spans="1:16" x14ac:dyDescent="0.25">
      <c r="C11" t="s">
        <v>12</v>
      </c>
      <c r="D11" s="35">
        <v>35</v>
      </c>
      <c r="E11" s="36">
        <v>3535.8609999999999</v>
      </c>
      <c r="I11">
        <f t="shared" si="0"/>
        <v>35</v>
      </c>
      <c r="J11" s="12">
        <f t="shared" si="1"/>
        <v>-1.3670000000001892</v>
      </c>
      <c r="M11" s="31">
        <f t="shared" si="3"/>
        <v>34.945506657859426</v>
      </c>
      <c r="N11" s="12">
        <f t="shared" si="2"/>
        <v>-1.3670000000001892</v>
      </c>
    </row>
    <row r="12" spans="1:16" x14ac:dyDescent="0.25">
      <c r="C12" t="s">
        <v>13</v>
      </c>
      <c r="D12" s="35">
        <v>40</v>
      </c>
      <c r="E12" s="36">
        <v>3535.9160000000002</v>
      </c>
      <c r="I12">
        <f t="shared" si="0"/>
        <v>40</v>
      </c>
      <c r="J12" s="12">
        <f t="shared" si="1"/>
        <v>-1.3119999999998981</v>
      </c>
      <c r="M12" s="31">
        <f t="shared" si="3"/>
        <v>39.945204148708243</v>
      </c>
      <c r="N12" s="12">
        <f t="shared" si="2"/>
        <v>-1.3119999999998981</v>
      </c>
    </row>
    <row r="13" spans="1:16" x14ac:dyDescent="0.25">
      <c r="C13" t="s">
        <v>14</v>
      </c>
      <c r="D13" s="35">
        <v>45</v>
      </c>
      <c r="E13" s="36">
        <v>3536.297</v>
      </c>
      <c r="I13">
        <f t="shared" si="0"/>
        <v>45</v>
      </c>
      <c r="J13" s="12">
        <f t="shared" si="1"/>
        <v>-0.93100000000004002</v>
      </c>
      <c r="M13" s="31">
        <f t="shared" si="3"/>
        <v>44.930666915593591</v>
      </c>
      <c r="N13" s="12">
        <f t="shared" si="2"/>
        <v>-0.93100000000004002</v>
      </c>
    </row>
    <row r="14" spans="1:16" x14ac:dyDescent="0.25">
      <c r="C14" t="s">
        <v>15</v>
      </c>
      <c r="D14" s="35">
        <v>50</v>
      </c>
      <c r="E14" s="36">
        <v>3536.002</v>
      </c>
      <c r="I14">
        <f t="shared" si="0"/>
        <v>50</v>
      </c>
      <c r="J14" s="12">
        <f t="shared" si="1"/>
        <v>-1.2260000000001128</v>
      </c>
      <c r="M14" s="31">
        <f t="shared" si="3"/>
        <v>49.921956829032794</v>
      </c>
      <c r="N14" s="12">
        <f t="shared" si="2"/>
        <v>-1.2260000000001128</v>
      </c>
    </row>
    <row r="15" spans="1:16" x14ac:dyDescent="0.25">
      <c r="C15" t="s">
        <v>16</v>
      </c>
      <c r="D15" s="35">
        <v>55</v>
      </c>
      <c r="E15" s="36">
        <v>3536.6579999999999</v>
      </c>
      <c r="I15">
        <f t="shared" si="0"/>
        <v>55</v>
      </c>
      <c r="J15" s="12">
        <f t="shared" si="1"/>
        <v>-0.57000000000016371</v>
      </c>
      <c r="M15" s="31">
        <f t="shared" si="3"/>
        <v>54.878736428732587</v>
      </c>
      <c r="N15" s="12">
        <f t="shared" si="2"/>
        <v>-0.57000000000016371</v>
      </c>
    </row>
    <row r="16" spans="1:16" x14ac:dyDescent="0.25">
      <c r="C16" t="s">
        <v>17</v>
      </c>
      <c r="D16" s="35">
        <v>60</v>
      </c>
      <c r="E16" s="36">
        <v>3536.8939999999998</v>
      </c>
      <c r="I16">
        <f t="shared" si="0"/>
        <v>60</v>
      </c>
      <c r="J16" s="12">
        <f t="shared" si="1"/>
        <v>-0.3340000000002874</v>
      </c>
      <c r="M16" s="31">
        <f t="shared" si="3"/>
        <v>59.873163723227933</v>
      </c>
      <c r="N16" s="12">
        <f t="shared" si="2"/>
        <v>-0.3340000000002874</v>
      </c>
    </row>
    <row r="17" spans="3:14" x14ac:dyDescent="0.25">
      <c r="C17" t="s">
        <v>18</v>
      </c>
      <c r="D17" s="35">
        <v>65</v>
      </c>
      <c r="E17" s="36">
        <v>3537.0030000000002</v>
      </c>
      <c r="I17">
        <f t="shared" si="0"/>
        <v>65</v>
      </c>
      <c r="J17" s="12">
        <f t="shared" si="1"/>
        <v>-0.22499999999990905</v>
      </c>
      <c r="M17" s="31">
        <f t="shared" si="3"/>
        <v>64.871975482036206</v>
      </c>
      <c r="N17" s="12">
        <f t="shared" si="2"/>
        <v>-0.22499999999990905</v>
      </c>
    </row>
    <row r="18" spans="3:14" x14ac:dyDescent="0.25">
      <c r="C18" t="s">
        <v>19</v>
      </c>
      <c r="D18" s="35">
        <v>70</v>
      </c>
      <c r="E18" s="36">
        <v>3536.123</v>
      </c>
      <c r="I18">
        <f t="shared" si="0"/>
        <v>70</v>
      </c>
      <c r="J18" s="12">
        <f t="shared" si="1"/>
        <v>-1.1050000000000182</v>
      </c>
      <c r="M18" s="31">
        <f t="shared" si="3"/>
        <v>69.793926314785324</v>
      </c>
      <c r="N18" s="12">
        <f t="shared" si="2"/>
        <v>-1.1050000000000182</v>
      </c>
    </row>
    <row r="19" spans="3:14" x14ac:dyDescent="0.25">
      <c r="C19" t="s">
        <v>20</v>
      </c>
      <c r="D19" s="35">
        <v>75</v>
      </c>
      <c r="E19" s="36">
        <v>3536.578</v>
      </c>
      <c r="I19">
        <f t="shared" si="0"/>
        <v>75</v>
      </c>
      <c r="J19" s="12">
        <f t="shared" si="1"/>
        <v>-0.65000000000009095</v>
      </c>
      <c r="M19" s="31">
        <f t="shared" si="3"/>
        <v>74.773180777051749</v>
      </c>
      <c r="N19" s="12">
        <f t="shared" si="2"/>
        <v>-0.65000000000009095</v>
      </c>
    </row>
    <row r="20" spans="3:14" x14ac:dyDescent="0.25">
      <c r="C20" t="s">
        <v>21</v>
      </c>
      <c r="D20" s="35">
        <v>80</v>
      </c>
      <c r="E20" s="36">
        <v>3537.2280000000001</v>
      </c>
      <c r="I20">
        <f t="shared" si="0"/>
        <v>80</v>
      </c>
      <c r="J20" s="12">
        <f t="shared" si="1"/>
        <v>0</v>
      </c>
      <c r="M20" s="31">
        <f t="shared" si="3"/>
        <v>79.730750746300785</v>
      </c>
      <c r="N20" s="12">
        <f t="shared" si="2"/>
        <v>0</v>
      </c>
    </row>
    <row r="21" spans="3:14" x14ac:dyDescent="0.25">
      <c r="C21" t="s">
        <v>22</v>
      </c>
      <c r="D21" s="35">
        <v>85</v>
      </c>
      <c r="E21" s="36">
        <v>3536.6190000000001</v>
      </c>
      <c r="I21">
        <f t="shared" si="0"/>
        <v>85</v>
      </c>
      <c r="J21" s="12">
        <f t="shared" si="1"/>
        <v>-0.6089999999999236</v>
      </c>
      <c r="M21" s="31">
        <f t="shared" si="3"/>
        <v>84.693524063711138</v>
      </c>
      <c r="N21" s="12">
        <f t="shared" si="2"/>
        <v>-0.6089999999999236</v>
      </c>
    </row>
    <row r="22" spans="3:14" x14ac:dyDescent="0.25">
      <c r="C22" t="s">
        <v>23</v>
      </c>
      <c r="D22" s="35">
        <v>90</v>
      </c>
      <c r="E22" s="36">
        <v>3535.9690000000001</v>
      </c>
      <c r="I22">
        <f t="shared" si="0"/>
        <v>90</v>
      </c>
      <c r="J22" s="12">
        <f t="shared" si="1"/>
        <v>-1.2590000000000146</v>
      </c>
      <c r="M22" s="31">
        <f t="shared" si="3"/>
        <v>89.651094032960174</v>
      </c>
      <c r="N22" s="12">
        <f t="shared" si="2"/>
        <v>-1.2590000000000146</v>
      </c>
    </row>
    <row r="23" spans="3:14" x14ac:dyDescent="0.25">
      <c r="C23" t="s">
        <v>24</v>
      </c>
      <c r="D23" s="35">
        <v>95</v>
      </c>
      <c r="E23" s="36">
        <v>3536.3519999999999</v>
      </c>
      <c r="I23">
        <f t="shared" si="0"/>
        <v>95</v>
      </c>
      <c r="J23" s="12">
        <f t="shared" si="1"/>
        <v>-0.87600000000020373</v>
      </c>
      <c r="M23" s="31">
        <f t="shared" si="3"/>
        <v>94.636403551936922</v>
      </c>
      <c r="N23" s="12">
        <f t="shared" si="2"/>
        <v>-0.87600000000020373</v>
      </c>
    </row>
    <row r="24" spans="3:14" x14ac:dyDescent="0.25">
      <c r="C24" t="s">
        <v>25</v>
      </c>
      <c r="D24" s="35">
        <v>100</v>
      </c>
      <c r="E24" s="36">
        <v>3535.9079999999999</v>
      </c>
      <c r="I24">
        <f t="shared" si="0"/>
        <v>100</v>
      </c>
      <c r="J24" s="12">
        <f t="shared" si="1"/>
        <v>-1.3200000000001637</v>
      </c>
      <c r="M24" s="31">
        <f t="shared" si="3"/>
        <v>99.616650935350719</v>
      </c>
      <c r="N24" s="12">
        <f t="shared" si="2"/>
        <v>-1.3200000000001637</v>
      </c>
    </row>
    <row r="25" spans="3:14" x14ac:dyDescent="0.25">
      <c r="C25" t="s">
        <v>26</v>
      </c>
      <c r="D25" s="35">
        <v>105</v>
      </c>
      <c r="E25" s="36">
        <v>3535.4569999999999</v>
      </c>
      <c r="I25">
        <f t="shared" si="0"/>
        <v>105</v>
      </c>
      <c r="J25" s="12">
        <f t="shared" si="1"/>
        <v>-1.7710000000001855</v>
      </c>
      <c r="M25" s="31">
        <f t="shared" si="3"/>
        <v>104.5962692942212</v>
      </c>
      <c r="N25" s="12">
        <f t="shared" si="2"/>
        <v>-1.7710000000001855</v>
      </c>
    </row>
    <row r="26" spans="3:14" x14ac:dyDescent="0.25">
      <c r="C26" t="s">
        <v>27</v>
      </c>
      <c r="D26" s="35">
        <v>110</v>
      </c>
      <c r="E26" s="36">
        <v>3534.277</v>
      </c>
      <c r="I26">
        <f t="shared" si="0"/>
        <v>110</v>
      </c>
      <c r="J26" s="12">
        <f t="shared" si="1"/>
        <v>-2.9510000000000218</v>
      </c>
      <c r="M26" s="31">
        <f t="shared" si="3"/>
        <v>109.4550345694738</v>
      </c>
      <c r="N26" s="12">
        <f t="shared" si="2"/>
        <v>-2.9510000000000218</v>
      </c>
    </row>
    <row r="27" spans="3:14" x14ac:dyDescent="0.25">
      <c r="C27" t="s">
        <v>28</v>
      </c>
      <c r="D27" s="35">
        <v>115</v>
      </c>
      <c r="E27" s="36">
        <v>3534.712</v>
      </c>
      <c r="I27">
        <f t="shared" si="0"/>
        <v>115</v>
      </c>
      <c r="J27" s="12">
        <f t="shared" si="1"/>
        <v>-2.5160000000000764</v>
      </c>
      <c r="M27" s="31">
        <f t="shared" si="3"/>
        <v>114.43607612722053</v>
      </c>
      <c r="N27" s="12">
        <f t="shared" si="2"/>
        <v>-2.5160000000000764</v>
      </c>
    </row>
    <row r="28" spans="3:14" x14ac:dyDescent="0.25">
      <c r="C28" t="s">
        <v>29</v>
      </c>
      <c r="D28" s="35">
        <v>120</v>
      </c>
      <c r="E28" s="36">
        <v>3535.212</v>
      </c>
      <c r="I28">
        <f t="shared" si="0"/>
        <v>120</v>
      </c>
      <c r="J28" s="12">
        <f t="shared" si="1"/>
        <v>-2.0160000000000764</v>
      </c>
      <c r="M28" s="31">
        <f t="shared" si="3"/>
        <v>119.41101331275362</v>
      </c>
      <c r="N28" s="12">
        <f t="shared" si="2"/>
        <v>-2.0160000000000764</v>
      </c>
    </row>
    <row r="29" spans="3:14" x14ac:dyDescent="0.25">
      <c r="C29" t="s">
        <v>30</v>
      </c>
      <c r="D29" s="35">
        <v>125</v>
      </c>
      <c r="E29" s="36">
        <v>3534.9140000000002</v>
      </c>
      <c r="I29">
        <f t="shared" si="0"/>
        <v>125</v>
      </c>
      <c r="J29" s="12">
        <f t="shared" si="1"/>
        <v>-2.3139999999998508</v>
      </c>
      <c r="M29" s="31">
        <f t="shared" si="3"/>
        <v>124.40212501256562</v>
      </c>
      <c r="N29" s="12">
        <f t="shared" si="2"/>
        <v>-2.3139999999998508</v>
      </c>
    </row>
    <row r="30" spans="3:14" x14ac:dyDescent="0.25">
      <c r="C30" t="s">
        <v>31</v>
      </c>
      <c r="D30" s="35">
        <v>130</v>
      </c>
      <c r="E30" s="36">
        <v>3534.1129999999998</v>
      </c>
      <c r="I30">
        <f t="shared" si="0"/>
        <v>130</v>
      </c>
      <c r="J30" s="12">
        <f t="shared" si="1"/>
        <v>-3.1150000000002365</v>
      </c>
      <c r="M30" s="31">
        <f t="shared" si="3"/>
        <v>129.33754789211702</v>
      </c>
      <c r="N30" s="12">
        <f t="shared" si="2"/>
        <v>-3.1150000000002365</v>
      </c>
    </row>
    <row r="31" spans="3:14" x14ac:dyDescent="0.25">
      <c r="C31" t="s">
        <v>32</v>
      </c>
      <c r="D31" s="35">
        <v>135</v>
      </c>
      <c r="E31" s="36">
        <v>3532.7489999999998</v>
      </c>
      <c r="I31">
        <f t="shared" si="0"/>
        <v>135</v>
      </c>
      <c r="J31" s="12">
        <f t="shared" si="1"/>
        <v>-4.4790000000002692</v>
      </c>
      <c r="M31" s="31">
        <f t="shared" si="3"/>
        <v>134.14790172525653</v>
      </c>
      <c r="N31" s="12">
        <f t="shared" si="2"/>
        <v>-4.4790000000002692</v>
      </c>
    </row>
    <row r="32" spans="3:14" x14ac:dyDescent="0.25">
      <c r="C32" t="s">
        <v>33</v>
      </c>
      <c r="D32" s="35">
        <v>140</v>
      </c>
      <c r="E32" s="36">
        <v>3533.7660000000001</v>
      </c>
      <c r="I32">
        <f t="shared" si="0"/>
        <v>140</v>
      </c>
      <c r="J32" s="12">
        <f t="shared" si="1"/>
        <v>-3.4619999999999891</v>
      </c>
      <c r="M32" s="31">
        <f t="shared" si="3"/>
        <v>139.04338035354198</v>
      </c>
      <c r="N32" s="12">
        <f t="shared" si="2"/>
        <v>-3.4619999999999891</v>
      </c>
    </row>
    <row r="33" spans="3:14" x14ac:dyDescent="0.25">
      <c r="C33" t="s">
        <v>34</v>
      </c>
      <c r="D33" s="35">
        <v>145</v>
      </c>
      <c r="E33" s="36">
        <v>3533.0859999999998</v>
      </c>
      <c r="I33">
        <f t="shared" si="0"/>
        <v>145</v>
      </c>
      <c r="J33" s="12">
        <f t="shared" si="1"/>
        <v>-4.1420000000002801</v>
      </c>
      <c r="M33" s="31">
        <f t="shared" si="3"/>
        <v>143.996924539274</v>
      </c>
      <c r="N33" s="12">
        <f t="shared" si="2"/>
        <v>-4.1420000000002801</v>
      </c>
    </row>
    <row r="34" spans="3:14" x14ac:dyDescent="0.25">
      <c r="C34" t="s">
        <v>35</v>
      </c>
      <c r="D34" s="35">
        <v>150</v>
      </c>
      <c r="E34" s="36">
        <v>3532.7739999999999</v>
      </c>
      <c r="I34">
        <f t="shared" si="0"/>
        <v>150</v>
      </c>
      <c r="J34" s="12">
        <f t="shared" si="1"/>
        <v>-4.4540000000001783</v>
      </c>
      <c r="M34" s="31">
        <f t="shared" si="3"/>
        <v>148.9871806449263</v>
      </c>
      <c r="N34" s="12">
        <f t="shared" si="2"/>
        <v>-4.4540000000001783</v>
      </c>
    </row>
    <row r="35" spans="3:14" x14ac:dyDescent="0.25">
      <c r="C35" t="s">
        <v>36</v>
      </c>
      <c r="D35" s="35">
        <v>155</v>
      </c>
      <c r="E35" s="36">
        <v>3532.3359999999998</v>
      </c>
      <c r="I35">
        <f t="shared" si="0"/>
        <v>155</v>
      </c>
      <c r="J35" s="12">
        <f t="shared" si="1"/>
        <v>-4.8920000000002801</v>
      </c>
      <c r="M35" s="31">
        <f t="shared" si="3"/>
        <v>153.96795929891204</v>
      </c>
      <c r="N35" s="12">
        <f t="shared" si="2"/>
        <v>-4.8920000000002801</v>
      </c>
    </row>
    <row r="36" spans="3:14" x14ac:dyDescent="0.25">
      <c r="C36" t="s">
        <v>37</v>
      </c>
      <c r="D36" s="35">
        <v>160</v>
      </c>
      <c r="E36" s="36">
        <v>3531.8409999999999</v>
      </c>
      <c r="I36">
        <f t="shared" si="0"/>
        <v>160</v>
      </c>
      <c r="J36" s="12">
        <f t="shared" si="1"/>
        <v>-5.387000000000171</v>
      </c>
      <c r="M36" s="31">
        <f t="shared" si="3"/>
        <v>158.94339646563418</v>
      </c>
      <c r="N36" s="12">
        <f t="shared" si="2"/>
        <v>-5.387000000000171</v>
      </c>
    </row>
    <row r="37" spans="3:14" x14ac:dyDescent="0.25">
      <c r="C37" t="s">
        <v>38</v>
      </c>
      <c r="D37" s="35">
        <v>165</v>
      </c>
      <c r="E37" s="36">
        <v>3531.6759999999999</v>
      </c>
      <c r="I37">
        <f t="shared" si="0"/>
        <v>165</v>
      </c>
      <c r="J37" s="12">
        <f t="shared" si="1"/>
        <v>-5.5520000000001346</v>
      </c>
      <c r="M37" s="31">
        <f t="shared" si="3"/>
        <v>163.94067322402969</v>
      </c>
      <c r="N37" s="12">
        <f t="shared" si="2"/>
        <v>-5.5520000000001346</v>
      </c>
    </row>
    <row r="38" spans="3:14" x14ac:dyDescent="0.25">
      <c r="C38" t="s">
        <v>39</v>
      </c>
      <c r="D38" s="35">
        <v>170</v>
      </c>
      <c r="E38" s="36">
        <v>3531.8270000000002</v>
      </c>
      <c r="I38">
        <f t="shared" si="0"/>
        <v>170</v>
      </c>
      <c r="J38" s="12">
        <f t="shared" si="1"/>
        <v>-5.4009999999998399</v>
      </c>
      <c r="M38" s="31">
        <f t="shared" si="3"/>
        <v>168.93839260390686</v>
      </c>
      <c r="N38" s="12">
        <f t="shared" si="2"/>
        <v>-5.4009999999998399</v>
      </c>
    </row>
    <row r="39" spans="3:14" x14ac:dyDescent="0.25">
      <c r="C39" t="s">
        <v>40</v>
      </c>
      <c r="D39" s="35">
        <v>175</v>
      </c>
      <c r="E39" s="36">
        <v>3531.5680000000002</v>
      </c>
      <c r="I39">
        <f t="shared" si="0"/>
        <v>175</v>
      </c>
      <c r="J39" s="12">
        <f t="shared" si="1"/>
        <v>-5.6599999999998545</v>
      </c>
      <c r="M39" s="31">
        <f t="shared" si="3"/>
        <v>173.93167999799905</v>
      </c>
      <c r="N39" s="12">
        <f t="shared" si="2"/>
        <v>-5.6599999999998545</v>
      </c>
    </row>
    <row r="40" spans="3:14" x14ac:dyDescent="0.25">
      <c r="C40" t="s">
        <v>41</v>
      </c>
      <c r="D40" s="35">
        <v>180</v>
      </c>
      <c r="E40" s="36">
        <v>3531.4029999999998</v>
      </c>
      <c r="I40">
        <f t="shared" si="0"/>
        <v>180</v>
      </c>
      <c r="J40" s="12">
        <f t="shared" si="1"/>
        <v>-5.8250000000002728</v>
      </c>
      <c r="M40" s="31">
        <f t="shared" si="3"/>
        <v>178.92895675639457</v>
      </c>
      <c r="N40" s="12">
        <f t="shared" si="2"/>
        <v>-5.8250000000002728</v>
      </c>
    </row>
    <row r="41" spans="3:14" x14ac:dyDescent="0.25">
      <c r="C41" t="s">
        <v>42</v>
      </c>
      <c r="D41" s="35">
        <v>185</v>
      </c>
      <c r="E41" s="36">
        <v>3531.192</v>
      </c>
      <c r="I41">
        <f t="shared" si="0"/>
        <v>185</v>
      </c>
      <c r="J41" s="12">
        <f t="shared" si="1"/>
        <v>-6.0360000000000582</v>
      </c>
      <c r="M41" s="31">
        <f t="shared" si="3"/>
        <v>183.92450267250825</v>
      </c>
      <c r="N41" s="12">
        <f t="shared" si="2"/>
        <v>-6.0360000000000582</v>
      </c>
    </row>
    <row r="42" spans="3:14" x14ac:dyDescent="0.25">
      <c r="C42" t="s">
        <v>43</v>
      </c>
      <c r="D42" s="35">
        <v>190</v>
      </c>
      <c r="E42" s="36">
        <v>3531.9059999999999</v>
      </c>
      <c r="I42">
        <f t="shared" si="0"/>
        <v>190</v>
      </c>
      <c r="J42" s="12">
        <f t="shared" si="1"/>
        <v>-5.3220000000001164</v>
      </c>
      <c r="M42" s="31">
        <f t="shared" si="3"/>
        <v>188.87326049644753</v>
      </c>
      <c r="N42" s="12">
        <f t="shared" si="2"/>
        <v>-5.3220000000001164</v>
      </c>
    </row>
    <row r="43" spans="3:14" x14ac:dyDescent="0.25">
      <c r="C43" t="s">
        <v>44</v>
      </c>
      <c r="D43" s="35">
        <v>195</v>
      </c>
      <c r="E43" s="36">
        <v>3531.375</v>
      </c>
      <c r="I43">
        <f t="shared" si="0"/>
        <v>195</v>
      </c>
      <c r="J43" s="12">
        <f t="shared" si="1"/>
        <v>-5.8530000000000655</v>
      </c>
      <c r="M43" s="31">
        <f t="shared" si="3"/>
        <v>193.84498444292726</v>
      </c>
      <c r="N43" s="12">
        <f t="shared" si="2"/>
        <v>-5.8530000000000655</v>
      </c>
    </row>
    <row r="44" spans="3:14" x14ac:dyDescent="0.25">
      <c r="C44" t="s">
        <v>45</v>
      </c>
      <c r="D44" s="35">
        <v>200</v>
      </c>
      <c r="E44" s="36">
        <v>3531.34</v>
      </c>
      <c r="I44">
        <f t="shared" si="0"/>
        <v>200</v>
      </c>
      <c r="J44" s="12">
        <f t="shared" si="1"/>
        <v>-5.88799999999992</v>
      </c>
      <c r="M44" s="31">
        <f t="shared" si="3"/>
        <v>198.84486194142659</v>
      </c>
      <c r="N44" s="12">
        <f t="shared" si="2"/>
        <v>-5.88799999999992</v>
      </c>
    </row>
    <row r="45" spans="3:14" x14ac:dyDescent="0.25">
      <c r="C45" t="s">
        <v>46</v>
      </c>
      <c r="D45" s="35">
        <v>205</v>
      </c>
      <c r="E45" s="36">
        <v>3531.047</v>
      </c>
      <c r="I45">
        <f t="shared" si="0"/>
        <v>205</v>
      </c>
      <c r="J45" s="12">
        <f t="shared" si="1"/>
        <v>-6.18100000000004</v>
      </c>
      <c r="M45" s="31">
        <f t="shared" si="3"/>
        <v>203.83626965869433</v>
      </c>
      <c r="N45" s="12">
        <f t="shared" si="2"/>
        <v>-6.18100000000004</v>
      </c>
    </row>
    <row r="46" spans="3:14" x14ac:dyDescent="0.25">
      <c r="C46" t="s">
        <v>47</v>
      </c>
      <c r="D46" s="35">
        <v>210</v>
      </c>
      <c r="E46" s="36">
        <v>3531.9960000000001</v>
      </c>
      <c r="I46">
        <f t="shared" si="0"/>
        <v>210</v>
      </c>
      <c r="J46" s="12">
        <f t="shared" si="1"/>
        <v>-5.2319999999999709</v>
      </c>
      <c r="M46" s="31">
        <f t="shared" si="3"/>
        <v>208.74538352985275</v>
      </c>
      <c r="N46" s="12">
        <f t="shared" si="2"/>
        <v>-5.2319999999999709</v>
      </c>
    </row>
    <row r="47" spans="3:14" x14ac:dyDescent="0.25">
      <c r="C47" t="s">
        <v>48</v>
      </c>
      <c r="D47" s="35">
        <v>215</v>
      </c>
      <c r="E47" s="36">
        <v>3531.0059999999999</v>
      </c>
      <c r="I47">
        <f t="shared" si="0"/>
        <v>215</v>
      </c>
      <c r="J47" s="12">
        <f t="shared" si="1"/>
        <v>-6.2220000000002074</v>
      </c>
      <c r="M47" s="31">
        <f t="shared" si="3"/>
        <v>213.64639362982189</v>
      </c>
      <c r="N47" s="12">
        <f t="shared" si="2"/>
        <v>-6.2220000000002074</v>
      </c>
    </row>
    <row r="48" spans="3:14" x14ac:dyDescent="0.25">
      <c r="C48" t="s">
        <v>49</v>
      </c>
      <c r="D48" s="35">
        <v>220</v>
      </c>
      <c r="E48" s="36">
        <v>3530.6210000000001</v>
      </c>
      <c r="I48">
        <f t="shared" si="0"/>
        <v>220</v>
      </c>
      <c r="J48" s="12">
        <f t="shared" si="1"/>
        <v>-6.6069999999999709</v>
      </c>
      <c r="M48" s="31">
        <f t="shared" si="3"/>
        <v>218.63154909379693</v>
      </c>
      <c r="N48" s="12">
        <f t="shared" si="2"/>
        <v>-6.6069999999999709</v>
      </c>
    </row>
    <row r="49" spans="3:14" x14ac:dyDescent="0.25">
      <c r="C49" t="s">
        <v>50</v>
      </c>
      <c r="D49" s="35">
        <v>225</v>
      </c>
      <c r="E49" s="36">
        <v>3530.616</v>
      </c>
      <c r="I49">
        <f t="shared" si="0"/>
        <v>225</v>
      </c>
      <c r="J49" s="12">
        <f t="shared" si="1"/>
        <v>-6.61200000000008</v>
      </c>
      <c r="M49" s="31">
        <f t="shared" si="3"/>
        <v>223.63154659379632</v>
      </c>
      <c r="N49" s="12">
        <f t="shared" si="2"/>
        <v>-6.61200000000008</v>
      </c>
    </row>
    <row r="50" spans="3:14" x14ac:dyDescent="0.25">
      <c r="C50" t="s">
        <v>51</v>
      </c>
      <c r="D50" s="35">
        <v>230</v>
      </c>
      <c r="E50" s="36">
        <v>3529.8829999999998</v>
      </c>
      <c r="I50">
        <f t="shared" si="0"/>
        <v>230</v>
      </c>
      <c r="J50" s="12">
        <f t="shared" si="1"/>
        <v>-7.3450000000002547</v>
      </c>
      <c r="M50" s="31">
        <f t="shared" si="3"/>
        <v>228.57752586993564</v>
      </c>
      <c r="N50" s="12">
        <f t="shared" si="2"/>
        <v>-7.3450000000002547</v>
      </c>
    </row>
    <row r="51" spans="3:14" x14ac:dyDescent="0.25">
      <c r="C51" t="s">
        <v>52</v>
      </c>
      <c r="D51" s="35">
        <v>235</v>
      </c>
      <c r="E51" s="36">
        <v>3529.4349999999999</v>
      </c>
      <c r="I51">
        <f t="shared" si="0"/>
        <v>235</v>
      </c>
      <c r="J51" s="12">
        <f t="shared" si="1"/>
        <v>-7.7930000000001201</v>
      </c>
      <c r="M51" s="31">
        <f t="shared" si="3"/>
        <v>233.55741502532857</v>
      </c>
      <c r="N51" s="12">
        <f t="shared" si="2"/>
        <v>-7.7930000000001201</v>
      </c>
    </row>
    <row r="52" spans="3:14" x14ac:dyDescent="0.25">
      <c r="C52" t="s">
        <v>53</v>
      </c>
      <c r="D52" s="35">
        <v>240</v>
      </c>
      <c r="E52" s="36">
        <v>3529.1289999999999</v>
      </c>
      <c r="I52">
        <f t="shared" si="0"/>
        <v>240</v>
      </c>
      <c r="J52" s="12">
        <f t="shared" si="1"/>
        <v>-8.0990000000001601</v>
      </c>
      <c r="M52" s="31">
        <f t="shared" si="3"/>
        <v>238.54804264117007</v>
      </c>
      <c r="N52" s="12">
        <f t="shared" si="2"/>
        <v>-8.0990000000001601</v>
      </c>
    </row>
    <row r="53" spans="3:14" x14ac:dyDescent="0.25">
      <c r="C53" t="s">
        <v>54</v>
      </c>
      <c r="D53" s="35">
        <v>245</v>
      </c>
      <c r="E53" s="36">
        <v>3529.6880000000001</v>
      </c>
      <c r="I53">
        <f t="shared" si="0"/>
        <v>245</v>
      </c>
      <c r="J53" s="12">
        <f t="shared" si="1"/>
        <v>-7.5399999999999636</v>
      </c>
      <c r="M53" s="31">
        <f t="shared" si="3"/>
        <v>243.51669628174514</v>
      </c>
      <c r="N53" s="12">
        <f t="shared" si="2"/>
        <v>-7.5399999999999636</v>
      </c>
    </row>
    <row r="54" spans="3:14" x14ac:dyDescent="0.25">
      <c r="C54" t="s">
        <v>55</v>
      </c>
      <c r="D54" s="35">
        <v>250</v>
      </c>
      <c r="E54" s="36">
        <v>3530.31</v>
      </c>
      <c r="I54">
        <f t="shared" si="0"/>
        <v>250</v>
      </c>
      <c r="J54" s="12">
        <f t="shared" si="1"/>
        <v>-6.9180000000001201</v>
      </c>
      <c r="M54" s="31">
        <f t="shared" si="3"/>
        <v>248.47785703302102</v>
      </c>
      <c r="N54" s="12">
        <f t="shared" si="2"/>
        <v>-6.9180000000001201</v>
      </c>
    </row>
    <row r="55" spans="3:14" x14ac:dyDescent="0.25">
      <c r="C55" t="s">
        <v>56</v>
      </c>
      <c r="D55" s="35">
        <v>255</v>
      </c>
      <c r="E55" s="36">
        <v>3530.3359999999998</v>
      </c>
      <c r="I55">
        <f t="shared" si="0"/>
        <v>255</v>
      </c>
      <c r="J55" s="12">
        <f t="shared" si="1"/>
        <v>-6.8920000000002801</v>
      </c>
      <c r="M55" s="31">
        <f t="shared" si="3"/>
        <v>253.47778943256404</v>
      </c>
      <c r="N55" s="12">
        <f t="shared" si="2"/>
        <v>-6.8920000000002801</v>
      </c>
    </row>
    <row r="56" spans="3:14" x14ac:dyDescent="0.25">
      <c r="C56" t="s">
        <v>57</v>
      </c>
      <c r="D56" s="35">
        <v>260</v>
      </c>
      <c r="E56" s="36">
        <v>3530.2829999999999</v>
      </c>
      <c r="I56">
        <f t="shared" si="0"/>
        <v>260</v>
      </c>
      <c r="J56" s="12">
        <f t="shared" si="1"/>
        <v>-6.9450000000001637</v>
      </c>
      <c r="M56" s="31">
        <f t="shared" si="3"/>
        <v>258.47750852467311</v>
      </c>
      <c r="N56" s="12">
        <f t="shared" si="2"/>
        <v>-6.9450000000001637</v>
      </c>
    </row>
    <row r="57" spans="3:14" x14ac:dyDescent="0.25">
      <c r="C57" t="s">
        <v>58</v>
      </c>
      <c r="D57" s="35">
        <v>265</v>
      </c>
      <c r="E57" s="36">
        <v>3530.6280000000002</v>
      </c>
      <c r="I57">
        <f t="shared" si="0"/>
        <v>265</v>
      </c>
      <c r="J57" s="12">
        <f t="shared" si="1"/>
        <v>-6.5999999999999091</v>
      </c>
      <c r="M57" s="31">
        <f t="shared" si="3"/>
        <v>263.46559182389734</v>
      </c>
      <c r="N57" s="12">
        <f t="shared" si="2"/>
        <v>-6.5999999999999091</v>
      </c>
    </row>
    <row r="58" spans="3:14" x14ac:dyDescent="0.25">
      <c r="C58" t="s">
        <v>59</v>
      </c>
      <c r="D58" s="35">
        <v>270</v>
      </c>
      <c r="E58" s="36">
        <v>3530.34</v>
      </c>
      <c r="I58">
        <f t="shared" si="0"/>
        <v>270</v>
      </c>
      <c r="J58" s="12">
        <f t="shared" si="1"/>
        <v>-6.88799999999992</v>
      </c>
      <c r="M58" s="31">
        <f t="shared" si="3"/>
        <v>268.45729053275386</v>
      </c>
      <c r="N58" s="12">
        <f t="shared" si="2"/>
        <v>-6.88799999999992</v>
      </c>
    </row>
    <row r="59" spans="3:14" x14ac:dyDescent="0.25">
      <c r="C59" t="s">
        <v>60</v>
      </c>
      <c r="D59" s="35">
        <v>275</v>
      </c>
      <c r="E59" s="36">
        <v>3529.1320000000001</v>
      </c>
      <c r="I59">
        <f t="shared" si="0"/>
        <v>275</v>
      </c>
      <c r="J59" s="12">
        <f t="shared" si="1"/>
        <v>-8.0960000000000036</v>
      </c>
      <c r="M59" s="31">
        <f t="shared" si="3"/>
        <v>273.30917016852385</v>
      </c>
      <c r="N59" s="12">
        <f t="shared" si="2"/>
        <v>-8.0960000000000036</v>
      </c>
    </row>
    <row r="60" spans="3:14" x14ac:dyDescent="0.25">
      <c r="C60" t="s">
        <v>61</v>
      </c>
      <c r="D60" s="35">
        <v>280</v>
      </c>
      <c r="E60" s="36">
        <v>3528.2170000000001</v>
      </c>
      <c r="I60">
        <f t="shared" si="0"/>
        <v>280</v>
      </c>
      <c r="J60" s="12">
        <f t="shared" si="1"/>
        <v>-9.0109999999999673</v>
      </c>
      <c r="M60" s="31">
        <f t="shared" si="3"/>
        <v>278.22473473426805</v>
      </c>
      <c r="N60" s="12">
        <f t="shared" si="2"/>
        <v>-9.0109999999999673</v>
      </c>
    </row>
    <row r="61" spans="3:14" x14ac:dyDescent="0.25">
      <c r="C61" t="s">
        <v>62</v>
      </c>
      <c r="D61" s="35">
        <v>285</v>
      </c>
      <c r="E61" s="36">
        <v>3527.2640000000001</v>
      </c>
      <c r="I61">
        <f t="shared" si="0"/>
        <v>285</v>
      </c>
      <c r="J61" s="12">
        <f t="shared" si="1"/>
        <v>-9.9639999999999418</v>
      </c>
      <c r="M61" s="31">
        <f t="shared" si="3"/>
        <v>283.13307365899607</v>
      </c>
      <c r="N61" s="12">
        <f t="shared" si="2"/>
        <v>-9.9639999999999418</v>
      </c>
    </row>
    <row r="62" spans="3:14" x14ac:dyDescent="0.25">
      <c r="C62" t="s">
        <v>63</v>
      </c>
      <c r="D62" s="35">
        <v>290</v>
      </c>
      <c r="E62" s="36">
        <v>3527.672</v>
      </c>
      <c r="I62">
        <f t="shared" si="0"/>
        <v>290</v>
      </c>
      <c r="J62" s="12">
        <f t="shared" si="1"/>
        <v>-9.55600000000004</v>
      </c>
      <c r="M62" s="31">
        <f t="shared" si="3"/>
        <v>288.11639945609181</v>
      </c>
      <c r="N62" s="12">
        <f t="shared" si="2"/>
        <v>-9.55600000000004</v>
      </c>
    </row>
    <row r="63" spans="3:14" x14ac:dyDescent="0.25">
      <c r="C63" t="s">
        <v>64</v>
      </c>
      <c r="D63" s="35">
        <v>295</v>
      </c>
      <c r="E63" s="36">
        <v>3529.9830000000002</v>
      </c>
      <c r="I63">
        <f t="shared" si="0"/>
        <v>295</v>
      </c>
      <c r="J63" s="12">
        <f t="shared" si="1"/>
        <v>-7.2449999999998909</v>
      </c>
      <c r="M63" s="31">
        <f t="shared" si="3"/>
        <v>292.5502780065259</v>
      </c>
      <c r="N63" s="12">
        <f t="shared" si="2"/>
        <v>-7.2449999999998909</v>
      </c>
    </row>
    <row r="64" spans="3:14" x14ac:dyDescent="0.25">
      <c r="C64" t="s">
        <v>65</v>
      </c>
      <c r="D64" s="35">
        <v>300</v>
      </c>
      <c r="E64" s="36">
        <v>3531.2710000000002</v>
      </c>
      <c r="I64">
        <f t="shared" si="0"/>
        <v>300</v>
      </c>
      <c r="J64" s="12">
        <f t="shared" si="1"/>
        <v>-5.9569999999998799</v>
      </c>
      <c r="M64" s="31">
        <f t="shared" si="3"/>
        <v>297.38153622773495</v>
      </c>
      <c r="N64" s="12">
        <f t="shared" si="2"/>
        <v>-5.9569999999998799</v>
      </c>
    </row>
    <row r="65" spans="3:14" x14ac:dyDescent="0.25">
      <c r="C65" t="s">
        <v>66</v>
      </c>
      <c r="D65" s="35">
        <v>305</v>
      </c>
      <c r="E65" s="36">
        <v>3531.4279999999999</v>
      </c>
      <c r="I65">
        <f t="shared" si="0"/>
        <v>305</v>
      </c>
      <c r="J65" s="12">
        <f t="shared" si="1"/>
        <v>-5.8000000000001819</v>
      </c>
      <c r="M65" s="31">
        <f t="shared" si="3"/>
        <v>302.37907071986206</v>
      </c>
      <c r="N65" s="12">
        <f t="shared" si="2"/>
        <v>-5.8000000000001819</v>
      </c>
    </row>
    <row r="66" spans="3:14" x14ac:dyDescent="0.25">
      <c r="C66" t="s">
        <v>67</v>
      </c>
      <c r="D66" s="35">
        <v>310</v>
      </c>
      <c r="E66" s="36">
        <v>3531.4409999999998</v>
      </c>
      <c r="I66">
        <f t="shared" si="0"/>
        <v>310</v>
      </c>
      <c r="J66" s="12">
        <f t="shared" si="1"/>
        <v>-5.7870000000002619</v>
      </c>
      <c r="M66" s="31">
        <f t="shared" si="3"/>
        <v>307.37905381983347</v>
      </c>
      <c r="N66" s="12">
        <f t="shared" si="2"/>
        <v>-5.7870000000002619</v>
      </c>
    </row>
    <row r="67" spans="3:14" x14ac:dyDescent="0.25">
      <c r="C67" t="s">
        <v>68</v>
      </c>
      <c r="D67" s="35">
        <v>315</v>
      </c>
      <c r="E67" s="36">
        <v>3530.7020000000002</v>
      </c>
      <c r="I67">
        <f t="shared" si="0"/>
        <v>315</v>
      </c>
      <c r="J67" s="12">
        <f t="shared" si="1"/>
        <v>-6.5259999999998399</v>
      </c>
      <c r="M67" s="31">
        <f t="shared" si="3"/>
        <v>312.32414016892795</v>
      </c>
      <c r="N67" s="12">
        <f t="shared" si="2"/>
        <v>-6.5259999999998399</v>
      </c>
    </row>
    <row r="68" spans="3:14" x14ac:dyDescent="0.25">
      <c r="C68" t="s">
        <v>69</v>
      </c>
      <c r="D68" s="35">
        <v>320</v>
      </c>
      <c r="E68" s="36">
        <v>3529.9810000000002</v>
      </c>
      <c r="I68">
        <f t="shared" si="0"/>
        <v>320</v>
      </c>
      <c r="J68" s="12">
        <f t="shared" si="1"/>
        <v>-7.2469999999998436</v>
      </c>
      <c r="M68" s="31">
        <f t="shared" si="3"/>
        <v>317.2718829876282</v>
      </c>
      <c r="N68" s="12">
        <f t="shared" si="2"/>
        <v>-7.2469999999998436</v>
      </c>
    </row>
    <row r="69" spans="3:14" x14ac:dyDescent="0.25">
      <c r="C69" t="s">
        <v>70</v>
      </c>
      <c r="D69" s="35">
        <v>325</v>
      </c>
      <c r="E69" s="36">
        <v>3529.5920000000001</v>
      </c>
      <c r="I69">
        <f t="shared" ref="I69:I132" si="4">D69</f>
        <v>325</v>
      </c>
      <c r="J69" s="12">
        <f t="shared" ref="J69:J132" si="5">E69-MAX($E$4:$E$171)</f>
        <v>-7.6359999999999673</v>
      </c>
      <c r="M69" s="31">
        <f t="shared" si="3"/>
        <v>322.25672792002075</v>
      </c>
      <c r="N69" s="12">
        <f t="shared" ref="N69:N132" si="6">J69</f>
        <v>-7.6359999999999673</v>
      </c>
    </row>
    <row r="70" spans="3:14" x14ac:dyDescent="0.25">
      <c r="C70" t="s">
        <v>71</v>
      </c>
      <c r="D70" s="35">
        <v>330</v>
      </c>
      <c r="E70" s="36">
        <v>3529.857</v>
      </c>
      <c r="I70">
        <f t="shared" si="4"/>
        <v>330</v>
      </c>
      <c r="J70" s="12">
        <f t="shared" si="5"/>
        <v>-7.3710000000000946</v>
      </c>
      <c r="M70" s="31">
        <f t="shared" ref="M70:M133" si="7">M69+(SQRT((D70-D69)^2-(E70-E69)^2))</f>
        <v>327.24970048153159</v>
      </c>
      <c r="N70" s="12">
        <f t="shared" si="6"/>
        <v>-7.3710000000000946</v>
      </c>
    </row>
    <row r="71" spans="3:14" x14ac:dyDescent="0.25">
      <c r="C71" t="s">
        <v>72</v>
      </c>
      <c r="D71" s="35">
        <v>335</v>
      </c>
      <c r="E71" s="36">
        <v>3529.8339999999998</v>
      </c>
      <c r="I71">
        <f t="shared" si="4"/>
        <v>335</v>
      </c>
      <c r="J71" s="12">
        <f t="shared" si="5"/>
        <v>-7.3940000000002328</v>
      </c>
      <c r="M71" s="31">
        <f t="shared" si="7"/>
        <v>332.24964758125174</v>
      </c>
      <c r="N71" s="12">
        <f t="shared" si="6"/>
        <v>-7.3940000000002328</v>
      </c>
    </row>
    <row r="72" spans="3:14" x14ac:dyDescent="0.25">
      <c r="C72" t="s">
        <v>73</v>
      </c>
      <c r="D72" s="35">
        <v>340</v>
      </c>
      <c r="E72" s="36">
        <v>3529.2139999999999</v>
      </c>
      <c r="I72">
        <f t="shared" si="4"/>
        <v>340</v>
      </c>
      <c r="J72" s="12">
        <f t="shared" si="5"/>
        <v>-8.0140000000001237</v>
      </c>
      <c r="M72" s="31">
        <f t="shared" si="7"/>
        <v>337.21105867085117</v>
      </c>
      <c r="N72" s="12">
        <f t="shared" si="6"/>
        <v>-8.0140000000001237</v>
      </c>
    </row>
    <row r="73" spans="3:14" x14ac:dyDescent="0.25">
      <c r="C73" t="s">
        <v>74</v>
      </c>
      <c r="D73" s="35">
        <v>345</v>
      </c>
      <c r="E73" s="36">
        <v>3529.2379999999998</v>
      </c>
      <c r="I73">
        <f t="shared" si="4"/>
        <v>345</v>
      </c>
      <c r="J73" s="12">
        <f t="shared" si="5"/>
        <v>-7.9900000000002365</v>
      </c>
      <c r="M73" s="31">
        <f t="shared" si="7"/>
        <v>342.21100107051939</v>
      </c>
      <c r="N73" s="12">
        <f t="shared" si="6"/>
        <v>-7.9900000000002365</v>
      </c>
    </row>
    <row r="74" spans="3:14" x14ac:dyDescent="0.25">
      <c r="C74" t="s">
        <v>75</v>
      </c>
      <c r="D74" s="35">
        <v>350</v>
      </c>
      <c r="E74" s="36">
        <v>3529.7730000000001</v>
      </c>
      <c r="I74">
        <f t="shared" si="4"/>
        <v>350</v>
      </c>
      <c r="J74" s="12">
        <f t="shared" si="5"/>
        <v>-7.4549999999999272</v>
      </c>
      <c r="M74" s="31">
        <f t="shared" si="7"/>
        <v>347.18229617340751</v>
      </c>
      <c r="N74" s="12">
        <f t="shared" si="6"/>
        <v>-7.4549999999999272</v>
      </c>
    </row>
    <row r="75" spans="3:14" x14ac:dyDescent="0.25">
      <c r="C75" t="s">
        <v>76</v>
      </c>
      <c r="D75" s="35">
        <v>355</v>
      </c>
      <c r="E75" s="36">
        <v>3530.4929999999999</v>
      </c>
      <c r="I75">
        <f t="shared" si="4"/>
        <v>355</v>
      </c>
      <c r="J75" s="12">
        <f t="shared" si="5"/>
        <v>-6.7350000000001273</v>
      </c>
      <c r="M75" s="31">
        <f t="shared" si="7"/>
        <v>352.13018461192348</v>
      </c>
      <c r="N75" s="12">
        <f t="shared" si="6"/>
        <v>-6.7350000000001273</v>
      </c>
    </row>
    <row r="76" spans="3:14" x14ac:dyDescent="0.25">
      <c r="C76" t="s">
        <v>77</v>
      </c>
      <c r="D76" s="35">
        <v>360</v>
      </c>
      <c r="E76" s="36">
        <v>3529.2370000000001</v>
      </c>
      <c r="I76">
        <f t="shared" si="4"/>
        <v>360</v>
      </c>
      <c r="J76" s="12">
        <f t="shared" si="5"/>
        <v>-7.9909999999999854</v>
      </c>
      <c r="M76" s="31">
        <f t="shared" si="7"/>
        <v>356.96986063413823</v>
      </c>
      <c r="N76" s="12">
        <f t="shared" si="6"/>
        <v>-7.9909999999999854</v>
      </c>
    </row>
    <row r="77" spans="3:14" x14ac:dyDescent="0.25">
      <c r="C77" t="s">
        <v>78</v>
      </c>
      <c r="D77" s="35">
        <v>365</v>
      </c>
      <c r="E77" s="36">
        <v>3528.6680000000001</v>
      </c>
      <c r="I77">
        <f t="shared" si="4"/>
        <v>365</v>
      </c>
      <c r="J77" s="12">
        <f t="shared" si="5"/>
        <v>-8.5599999999999454</v>
      </c>
      <c r="M77" s="31">
        <f t="shared" si="7"/>
        <v>361.93737902866883</v>
      </c>
      <c r="N77" s="12">
        <f t="shared" si="6"/>
        <v>-8.5599999999999454</v>
      </c>
    </row>
    <row r="78" spans="3:14" x14ac:dyDescent="0.25">
      <c r="C78" t="s">
        <v>79</v>
      </c>
      <c r="D78" s="35">
        <v>370</v>
      </c>
      <c r="E78" s="36">
        <v>3528.7950000000001</v>
      </c>
      <c r="I78">
        <f t="shared" si="4"/>
        <v>370</v>
      </c>
      <c r="J78" s="12">
        <f t="shared" si="5"/>
        <v>-8.4329999999999927</v>
      </c>
      <c r="M78" s="31">
        <f t="shared" si="7"/>
        <v>366.93576586844023</v>
      </c>
      <c r="N78" s="12">
        <f t="shared" si="6"/>
        <v>-8.4329999999999927</v>
      </c>
    </row>
    <row r="79" spans="3:14" x14ac:dyDescent="0.25">
      <c r="C79" t="s">
        <v>80</v>
      </c>
      <c r="D79" s="35">
        <v>375</v>
      </c>
      <c r="E79" s="36">
        <v>3528.7930000000001</v>
      </c>
      <c r="I79">
        <f t="shared" si="4"/>
        <v>375</v>
      </c>
      <c r="J79" s="12">
        <f t="shared" si="5"/>
        <v>-8.4349999999999454</v>
      </c>
      <c r="M79" s="31">
        <f t="shared" si="7"/>
        <v>371.9357654684402</v>
      </c>
      <c r="N79" s="12">
        <f t="shared" si="6"/>
        <v>-8.4349999999999454</v>
      </c>
    </row>
    <row r="80" spans="3:14" x14ac:dyDescent="0.25">
      <c r="C80" t="s">
        <v>81</v>
      </c>
      <c r="D80" s="35">
        <v>380</v>
      </c>
      <c r="E80" s="36">
        <v>3528.1979999999999</v>
      </c>
      <c r="I80">
        <f t="shared" si="4"/>
        <v>380</v>
      </c>
      <c r="J80" s="12">
        <f t="shared" si="5"/>
        <v>-9.0300000000002001</v>
      </c>
      <c r="M80" s="31">
        <f t="shared" si="7"/>
        <v>376.90023673938128</v>
      </c>
      <c r="N80" s="12">
        <f t="shared" si="6"/>
        <v>-9.0300000000002001</v>
      </c>
    </row>
    <row r="81" spans="3:14" x14ac:dyDescent="0.25">
      <c r="C81" t="s">
        <v>82</v>
      </c>
      <c r="D81" s="35">
        <v>385</v>
      </c>
      <c r="E81" s="36">
        <v>3528.404</v>
      </c>
      <c r="I81">
        <f t="shared" si="4"/>
        <v>385</v>
      </c>
      <c r="J81" s="12">
        <f t="shared" si="5"/>
        <v>-8.8240000000000691</v>
      </c>
      <c r="M81" s="31">
        <f t="shared" si="7"/>
        <v>381.89599133703717</v>
      </c>
      <c r="N81" s="12">
        <f t="shared" si="6"/>
        <v>-8.8240000000000691</v>
      </c>
    </row>
    <row r="82" spans="3:14" x14ac:dyDescent="0.25">
      <c r="C82" t="s">
        <v>83</v>
      </c>
      <c r="D82" s="35">
        <v>390</v>
      </c>
      <c r="E82" s="36">
        <v>3528.5340000000001</v>
      </c>
      <c r="I82">
        <f t="shared" si="4"/>
        <v>390</v>
      </c>
      <c r="J82" s="12">
        <f t="shared" si="5"/>
        <v>-8.69399999999996</v>
      </c>
      <c r="M82" s="31">
        <f t="shared" si="7"/>
        <v>386.89430105133061</v>
      </c>
      <c r="N82" s="12">
        <f t="shared" si="6"/>
        <v>-8.69399999999996</v>
      </c>
    </row>
    <row r="83" spans="3:14" x14ac:dyDescent="0.25">
      <c r="C83" t="s">
        <v>84</v>
      </c>
      <c r="D83" s="35">
        <v>395</v>
      </c>
      <c r="E83" s="36">
        <v>3528.1170000000002</v>
      </c>
      <c r="I83">
        <f t="shared" si="4"/>
        <v>395</v>
      </c>
      <c r="J83" s="12">
        <f t="shared" si="5"/>
        <v>-9.1109999999998763</v>
      </c>
      <c r="M83" s="31">
        <f t="shared" si="7"/>
        <v>391.87688180832794</v>
      </c>
      <c r="N83" s="12">
        <f t="shared" si="6"/>
        <v>-9.1109999999998763</v>
      </c>
    </row>
    <row r="84" spans="3:14" x14ac:dyDescent="0.25">
      <c r="C84" t="s">
        <v>85</v>
      </c>
      <c r="D84" s="35">
        <v>400</v>
      </c>
      <c r="E84" s="36">
        <v>3527.942</v>
      </c>
      <c r="I84">
        <f t="shared" si="4"/>
        <v>400</v>
      </c>
      <c r="J84" s="12">
        <f t="shared" si="5"/>
        <v>-9.2860000000000582</v>
      </c>
      <c r="M84" s="31">
        <f t="shared" si="7"/>
        <v>396.87381836986242</v>
      </c>
      <c r="N84" s="12">
        <f t="shared" si="6"/>
        <v>-9.2860000000000582</v>
      </c>
    </row>
    <row r="85" spans="3:14" x14ac:dyDescent="0.25">
      <c r="C85" t="s">
        <v>86</v>
      </c>
      <c r="D85" s="35">
        <v>405</v>
      </c>
      <c r="E85" s="36">
        <v>3528.261</v>
      </c>
      <c r="I85">
        <f t="shared" si="4"/>
        <v>405</v>
      </c>
      <c r="J85" s="12">
        <f t="shared" si="5"/>
        <v>-8.9670000000000982</v>
      </c>
      <c r="M85" s="31">
        <f t="shared" si="7"/>
        <v>401.86363189343223</v>
      </c>
      <c r="N85" s="12">
        <f t="shared" si="6"/>
        <v>-8.9670000000000982</v>
      </c>
    </row>
    <row r="86" spans="3:14" x14ac:dyDescent="0.25">
      <c r="C86" t="s">
        <v>87</v>
      </c>
      <c r="D86" s="35">
        <v>410</v>
      </c>
      <c r="E86" s="36">
        <v>3528.82</v>
      </c>
      <c r="I86">
        <f t="shared" si="4"/>
        <v>410</v>
      </c>
      <c r="J86" s="12">
        <f t="shared" si="5"/>
        <v>-8.4079999999999018</v>
      </c>
      <c r="M86" s="31">
        <f t="shared" si="7"/>
        <v>406.83228553400727</v>
      </c>
      <c r="N86" s="12">
        <f t="shared" si="6"/>
        <v>-8.4079999999999018</v>
      </c>
    </row>
    <row r="87" spans="3:14" x14ac:dyDescent="0.25">
      <c r="C87" t="s">
        <v>88</v>
      </c>
      <c r="D87" s="35">
        <v>415</v>
      </c>
      <c r="E87" s="36">
        <v>3528.0859999999998</v>
      </c>
      <c r="I87">
        <f t="shared" si="4"/>
        <v>415</v>
      </c>
      <c r="J87" s="12">
        <f t="shared" si="5"/>
        <v>-9.1420000000002801</v>
      </c>
      <c r="M87" s="31">
        <f t="shared" si="7"/>
        <v>411.77811650564382</v>
      </c>
      <c r="N87" s="12">
        <f t="shared" si="6"/>
        <v>-9.1420000000002801</v>
      </c>
    </row>
    <row r="88" spans="3:14" x14ac:dyDescent="0.25">
      <c r="C88" t="s">
        <v>89</v>
      </c>
      <c r="D88" s="35">
        <v>420</v>
      </c>
      <c r="E88" s="36">
        <v>3528.1019999999999</v>
      </c>
      <c r="I88">
        <f t="shared" si="4"/>
        <v>420</v>
      </c>
      <c r="J88" s="12">
        <f t="shared" si="5"/>
        <v>-9.1260000000002037</v>
      </c>
      <c r="M88" s="31">
        <f t="shared" si="7"/>
        <v>416.77809090557827</v>
      </c>
      <c r="N88" s="12">
        <f t="shared" si="6"/>
        <v>-9.1260000000002037</v>
      </c>
    </row>
    <row r="89" spans="3:14" x14ac:dyDescent="0.25">
      <c r="C89" t="s">
        <v>90</v>
      </c>
      <c r="D89" s="35">
        <v>425</v>
      </c>
      <c r="E89" s="36">
        <v>3527.6289999999999</v>
      </c>
      <c r="I89">
        <f t="shared" si="4"/>
        <v>425</v>
      </c>
      <c r="J89" s="12">
        <f t="shared" si="5"/>
        <v>-9.5990000000001601</v>
      </c>
      <c r="M89" s="31">
        <f t="shared" si="7"/>
        <v>421.75566772567856</v>
      </c>
      <c r="N89" s="12">
        <f t="shared" si="6"/>
        <v>-9.5990000000001601</v>
      </c>
    </row>
    <row r="90" spans="3:14" x14ac:dyDescent="0.25">
      <c r="C90" t="s">
        <v>91</v>
      </c>
      <c r="D90" s="35">
        <v>430</v>
      </c>
      <c r="E90" s="36">
        <v>3528.047</v>
      </c>
      <c r="I90">
        <f t="shared" si="4"/>
        <v>430</v>
      </c>
      <c r="J90" s="12">
        <f t="shared" si="5"/>
        <v>-9.18100000000004</v>
      </c>
      <c r="M90" s="31">
        <f t="shared" si="7"/>
        <v>426.73816469005294</v>
      </c>
      <c r="N90" s="12">
        <f t="shared" si="6"/>
        <v>-9.18100000000004</v>
      </c>
    </row>
    <row r="91" spans="3:14" x14ac:dyDescent="0.25">
      <c r="C91" t="s">
        <v>92</v>
      </c>
      <c r="D91" s="35">
        <v>435</v>
      </c>
      <c r="E91" s="36">
        <v>3527.7429999999999</v>
      </c>
      <c r="I91">
        <f t="shared" si="4"/>
        <v>435</v>
      </c>
      <c r="J91" s="12">
        <f t="shared" si="5"/>
        <v>-9.4850000000001273</v>
      </c>
      <c r="M91" s="31">
        <f t="shared" si="7"/>
        <v>431.72891453351332</v>
      </c>
      <c r="N91" s="12">
        <f t="shared" si="6"/>
        <v>-9.4850000000001273</v>
      </c>
    </row>
    <row r="92" spans="3:14" x14ac:dyDescent="0.25">
      <c r="C92" t="s">
        <v>93</v>
      </c>
      <c r="D92" s="35">
        <v>440</v>
      </c>
      <c r="E92" s="36">
        <v>3527.326</v>
      </c>
      <c r="I92">
        <f t="shared" si="4"/>
        <v>440</v>
      </c>
      <c r="J92" s="12">
        <f t="shared" si="5"/>
        <v>-9.9020000000000437</v>
      </c>
      <c r="M92" s="31">
        <f t="shared" si="7"/>
        <v>436.71149529051064</v>
      </c>
      <c r="N92" s="12">
        <f t="shared" si="6"/>
        <v>-9.9020000000000437</v>
      </c>
    </row>
    <row r="93" spans="3:14" x14ac:dyDescent="0.25">
      <c r="C93" t="s">
        <v>94</v>
      </c>
      <c r="D93" s="35">
        <v>445</v>
      </c>
      <c r="E93" s="36">
        <v>3527.9560000000001</v>
      </c>
      <c r="I93">
        <f t="shared" si="4"/>
        <v>445</v>
      </c>
      <c r="J93" s="12">
        <f t="shared" si="5"/>
        <v>-9.2719999999999345</v>
      </c>
      <c r="M93" s="31">
        <f t="shared" si="7"/>
        <v>441.67164649788322</v>
      </c>
      <c r="N93" s="12">
        <f t="shared" si="6"/>
        <v>-9.2719999999999345</v>
      </c>
    </row>
    <row r="94" spans="3:14" x14ac:dyDescent="0.25">
      <c r="C94" t="s">
        <v>95</v>
      </c>
      <c r="D94" s="35">
        <v>450</v>
      </c>
      <c r="E94" s="36">
        <v>3527.9409999999998</v>
      </c>
      <c r="I94">
        <f t="shared" si="4"/>
        <v>450</v>
      </c>
      <c r="J94" s="12">
        <f t="shared" si="5"/>
        <v>-9.2870000000002619</v>
      </c>
      <c r="M94" s="31">
        <f t="shared" si="7"/>
        <v>446.67162399783257</v>
      </c>
      <c r="N94" s="12">
        <f t="shared" si="6"/>
        <v>-9.2870000000002619</v>
      </c>
    </row>
    <row r="95" spans="3:14" x14ac:dyDescent="0.25">
      <c r="C95" t="s">
        <v>96</v>
      </c>
      <c r="D95" s="35">
        <v>455</v>
      </c>
      <c r="E95" s="36">
        <v>3528.8229999999999</v>
      </c>
      <c r="I95">
        <f t="shared" si="4"/>
        <v>455</v>
      </c>
      <c r="J95" s="12">
        <f t="shared" si="5"/>
        <v>-8.4050000000002001</v>
      </c>
      <c r="M95" s="31">
        <f t="shared" si="7"/>
        <v>451.59321682942681</v>
      </c>
      <c r="N95" s="12">
        <f t="shared" si="6"/>
        <v>-8.4050000000002001</v>
      </c>
    </row>
    <row r="96" spans="3:14" x14ac:dyDescent="0.25">
      <c r="C96" t="s">
        <v>97</v>
      </c>
      <c r="D96" s="35">
        <v>460</v>
      </c>
      <c r="E96" s="36">
        <v>3528.951</v>
      </c>
      <c r="I96">
        <f t="shared" si="4"/>
        <v>460</v>
      </c>
      <c r="J96" s="12">
        <f t="shared" si="5"/>
        <v>-8.2770000000000437</v>
      </c>
      <c r="M96" s="31">
        <f t="shared" si="7"/>
        <v>456.59157816090334</v>
      </c>
      <c r="N96" s="12">
        <f t="shared" si="6"/>
        <v>-8.2770000000000437</v>
      </c>
    </row>
    <row r="97" spans="3:14" x14ac:dyDescent="0.25">
      <c r="C97" t="s">
        <v>98</v>
      </c>
      <c r="D97" s="35">
        <v>465</v>
      </c>
      <c r="E97" s="36">
        <v>3528.4679999999998</v>
      </c>
      <c r="I97">
        <f t="shared" si="4"/>
        <v>465</v>
      </c>
      <c r="J97" s="12">
        <f t="shared" si="5"/>
        <v>-8.7600000000002183</v>
      </c>
      <c r="M97" s="31">
        <f t="shared" si="7"/>
        <v>461.56819458172583</v>
      </c>
      <c r="N97" s="12">
        <f t="shared" si="6"/>
        <v>-8.7600000000002183</v>
      </c>
    </row>
    <row r="98" spans="3:14" x14ac:dyDescent="0.25">
      <c r="C98" t="s">
        <v>99</v>
      </c>
      <c r="D98" s="35">
        <v>470</v>
      </c>
      <c r="E98" s="36">
        <v>3528.471</v>
      </c>
      <c r="I98">
        <f t="shared" si="4"/>
        <v>470</v>
      </c>
      <c r="J98" s="12">
        <f t="shared" si="5"/>
        <v>-8.7570000000000618</v>
      </c>
      <c r="M98" s="31">
        <f t="shared" si="7"/>
        <v>466.56819368172575</v>
      </c>
      <c r="N98" s="12">
        <f t="shared" si="6"/>
        <v>-8.7570000000000618</v>
      </c>
    </row>
    <row r="99" spans="3:14" x14ac:dyDescent="0.25">
      <c r="C99" t="s">
        <v>100</v>
      </c>
      <c r="D99" s="35">
        <v>475</v>
      </c>
      <c r="E99" s="36">
        <v>3528.1410000000001</v>
      </c>
      <c r="I99">
        <f t="shared" si="4"/>
        <v>475</v>
      </c>
      <c r="J99" s="12">
        <f t="shared" si="5"/>
        <v>-9.0869999999999891</v>
      </c>
      <c r="M99" s="31">
        <f t="shared" si="7"/>
        <v>471.55729179661586</v>
      </c>
      <c r="N99" s="12">
        <f t="shared" si="6"/>
        <v>-9.0869999999999891</v>
      </c>
    </row>
    <row r="100" spans="3:14" x14ac:dyDescent="0.25">
      <c r="C100" t="s">
        <v>187</v>
      </c>
      <c r="D100" s="35">
        <v>480</v>
      </c>
      <c r="E100" s="36">
        <v>3527.527</v>
      </c>
      <c r="I100">
        <f t="shared" si="4"/>
        <v>480</v>
      </c>
      <c r="J100" s="12">
        <f t="shared" si="5"/>
        <v>-9.7010000000000218</v>
      </c>
      <c r="M100" s="31">
        <f t="shared" si="7"/>
        <v>476.51944898880555</v>
      </c>
      <c r="N100" s="12">
        <f t="shared" si="6"/>
        <v>-9.7010000000000218</v>
      </c>
    </row>
    <row r="101" spans="3:14" x14ac:dyDescent="0.25">
      <c r="C101" t="s">
        <v>188</v>
      </c>
      <c r="D101" s="35">
        <v>485</v>
      </c>
      <c r="E101" s="36">
        <v>3527.1770000000001</v>
      </c>
      <c r="I101">
        <f t="shared" si="4"/>
        <v>485</v>
      </c>
      <c r="J101" s="12">
        <f t="shared" si="5"/>
        <v>-10.050999999999931</v>
      </c>
      <c r="M101" s="31">
        <f t="shared" si="7"/>
        <v>481.50718394567724</v>
      </c>
      <c r="N101" s="12">
        <f t="shared" si="6"/>
        <v>-10.050999999999931</v>
      </c>
    </row>
    <row r="102" spans="3:14" x14ac:dyDescent="0.25">
      <c r="C102" t="s">
        <v>189</v>
      </c>
      <c r="D102" s="35">
        <v>490</v>
      </c>
      <c r="E102" s="36">
        <v>3527.3879999999999</v>
      </c>
      <c r="I102">
        <f t="shared" si="4"/>
        <v>490</v>
      </c>
      <c r="J102" s="12">
        <f t="shared" si="5"/>
        <v>-9.8400000000001455</v>
      </c>
      <c r="M102" s="31">
        <f t="shared" si="7"/>
        <v>486.5027298617909</v>
      </c>
      <c r="N102" s="12">
        <f t="shared" si="6"/>
        <v>-9.8400000000001455</v>
      </c>
    </row>
    <row r="103" spans="3:14" x14ac:dyDescent="0.25">
      <c r="C103" t="s">
        <v>190</v>
      </c>
      <c r="D103" s="35">
        <v>495</v>
      </c>
      <c r="E103" s="36">
        <v>3526.652</v>
      </c>
      <c r="I103">
        <f t="shared" si="4"/>
        <v>495</v>
      </c>
      <c r="J103" s="12">
        <f t="shared" si="5"/>
        <v>-10.576000000000022</v>
      </c>
      <c r="M103" s="31">
        <f t="shared" si="7"/>
        <v>491.44826360447229</v>
      </c>
      <c r="N103" s="12">
        <f t="shared" si="6"/>
        <v>-10.576000000000022</v>
      </c>
    </row>
    <row r="104" spans="3:14" x14ac:dyDescent="0.25">
      <c r="C104" t="s">
        <v>191</v>
      </c>
      <c r="D104" s="35">
        <v>500</v>
      </c>
      <c r="E104" s="36">
        <v>3527.5340000000001</v>
      </c>
      <c r="I104">
        <f t="shared" si="4"/>
        <v>500</v>
      </c>
      <c r="J104" s="12">
        <f t="shared" si="5"/>
        <v>-9.69399999999996</v>
      </c>
      <c r="M104" s="31">
        <f t="shared" si="7"/>
        <v>496.36985643606653</v>
      </c>
      <c r="N104" s="12">
        <f t="shared" si="6"/>
        <v>-9.69399999999996</v>
      </c>
    </row>
    <row r="105" spans="3:14" x14ac:dyDescent="0.25">
      <c r="C105" t="s">
        <v>192</v>
      </c>
      <c r="D105" s="35">
        <v>505</v>
      </c>
      <c r="E105" s="36">
        <v>3527.1179999999999</v>
      </c>
      <c r="I105">
        <f t="shared" si="4"/>
        <v>505</v>
      </c>
      <c r="J105" s="12">
        <f t="shared" si="5"/>
        <v>-10.110000000000127</v>
      </c>
      <c r="M105" s="31">
        <f t="shared" si="7"/>
        <v>501.35252078358178</v>
      </c>
      <c r="N105" s="12">
        <f t="shared" si="6"/>
        <v>-10.110000000000127</v>
      </c>
    </row>
    <row r="106" spans="3:14" x14ac:dyDescent="0.25">
      <c r="C106" t="s">
        <v>193</v>
      </c>
      <c r="D106" s="35">
        <v>510</v>
      </c>
      <c r="E106" s="36">
        <v>3527.1570000000002</v>
      </c>
      <c r="I106">
        <f t="shared" si="4"/>
        <v>510</v>
      </c>
      <c r="J106" s="12">
        <f t="shared" si="5"/>
        <v>-10.070999999999913</v>
      </c>
      <c r="M106" s="31">
        <f t="shared" si="7"/>
        <v>506.35236868126827</v>
      </c>
      <c r="N106" s="12">
        <f t="shared" si="6"/>
        <v>-10.070999999999913</v>
      </c>
    </row>
    <row r="107" spans="3:14" x14ac:dyDescent="0.25">
      <c r="C107" t="s">
        <v>194</v>
      </c>
      <c r="D107" s="35">
        <v>515</v>
      </c>
      <c r="E107" s="36">
        <v>3525.9079999999999</v>
      </c>
      <c r="I107">
        <f t="shared" si="4"/>
        <v>515</v>
      </c>
      <c r="J107" s="12">
        <f t="shared" si="5"/>
        <v>-11.320000000000164</v>
      </c>
      <c r="M107" s="31">
        <f t="shared" si="7"/>
        <v>511.19385595275821</v>
      </c>
      <c r="N107" s="12">
        <f t="shared" si="6"/>
        <v>-11.320000000000164</v>
      </c>
    </row>
    <row r="108" spans="3:14" x14ac:dyDescent="0.25">
      <c r="C108" t="s">
        <v>195</v>
      </c>
      <c r="D108" s="35">
        <v>520</v>
      </c>
      <c r="E108" s="36">
        <v>3526.9050000000002</v>
      </c>
      <c r="I108">
        <f t="shared" si="4"/>
        <v>520</v>
      </c>
      <c r="J108" s="12">
        <f t="shared" si="5"/>
        <v>-10.322999999999865</v>
      </c>
      <c r="M108" s="31">
        <f t="shared" si="7"/>
        <v>516.09344685404778</v>
      </c>
      <c r="N108" s="12">
        <f t="shared" si="6"/>
        <v>-10.322999999999865</v>
      </c>
    </row>
    <row r="109" spans="3:14" x14ac:dyDescent="0.25">
      <c r="C109" t="s">
        <v>196</v>
      </c>
      <c r="D109" s="35">
        <v>525</v>
      </c>
      <c r="E109" s="36">
        <v>3526.7449999999999</v>
      </c>
      <c r="I109">
        <f t="shared" si="4"/>
        <v>525</v>
      </c>
      <c r="J109" s="12">
        <f t="shared" si="5"/>
        <v>-10.483000000000175</v>
      </c>
      <c r="M109" s="31">
        <f t="shared" si="7"/>
        <v>521.090886198352</v>
      </c>
      <c r="N109" s="12">
        <f t="shared" si="6"/>
        <v>-10.483000000000175</v>
      </c>
    </row>
    <row r="110" spans="3:14" x14ac:dyDescent="0.25">
      <c r="C110" t="s">
        <v>197</v>
      </c>
      <c r="D110" s="35">
        <v>530</v>
      </c>
      <c r="E110" s="36">
        <v>3526.5909999999999</v>
      </c>
      <c r="I110">
        <f t="shared" si="4"/>
        <v>530</v>
      </c>
      <c r="J110" s="12">
        <f t="shared" si="5"/>
        <v>-10.637000000000171</v>
      </c>
      <c r="M110" s="31">
        <f t="shared" si="7"/>
        <v>526.08851403563642</v>
      </c>
      <c r="N110" s="12">
        <f t="shared" si="6"/>
        <v>-10.637000000000171</v>
      </c>
    </row>
    <row r="111" spans="3:14" x14ac:dyDescent="0.25">
      <c r="C111" t="s">
        <v>198</v>
      </c>
      <c r="D111" s="35">
        <v>535</v>
      </c>
      <c r="E111" s="36">
        <v>3527.357</v>
      </c>
      <c r="I111">
        <f t="shared" si="4"/>
        <v>535</v>
      </c>
      <c r="J111" s="12">
        <f t="shared" si="5"/>
        <v>-9.8710000000000946</v>
      </c>
      <c r="M111" s="31">
        <f t="shared" si="7"/>
        <v>531.02949005257881</v>
      </c>
      <c r="N111" s="12">
        <f t="shared" si="6"/>
        <v>-9.8710000000000946</v>
      </c>
    </row>
    <row r="112" spans="3:14" x14ac:dyDescent="0.25">
      <c r="C112" t="s">
        <v>199</v>
      </c>
      <c r="D112" s="35">
        <v>540</v>
      </c>
      <c r="E112" s="36">
        <v>3526.634</v>
      </c>
      <c r="I112">
        <f t="shared" si="4"/>
        <v>540</v>
      </c>
      <c r="J112" s="12">
        <f t="shared" si="5"/>
        <v>-10.594000000000051</v>
      </c>
      <c r="M112" s="31">
        <f t="shared" si="7"/>
        <v>535.97694101241666</v>
      </c>
      <c r="N112" s="12">
        <f t="shared" si="6"/>
        <v>-10.594000000000051</v>
      </c>
    </row>
    <row r="113" spans="3:16" x14ac:dyDescent="0.25">
      <c r="C113" t="s">
        <v>200</v>
      </c>
      <c r="D113" s="35">
        <v>545</v>
      </c>
      <c r="E113" s="36">
        <v>3525.51</v>
      </c>
      <c r="I113">
        <f t="shared" si="4"/>
        <v>545</v>
      </c>
      <c r="J113" s="12">
        <f t="shared" si="5"/>
        <v>-11.717999999999847</v>
      </c>
      <c r="M113" s="31">
        <f t="shared" si="7"/>
        <v>540.84896564289636</v>
      </c>
      <c r="N113" s="12">
        <f t="shared" si="6"/>
        <v>-11.717999999999847</v>
      </c>
    </row>
    <row r="114" spans="3:16" x14ac:dyDescent="0.25">
      <c r="C114" t="s">
        <v>201</v>
      </c>
      <c r="D114" s="35">
        <v>550</v>
      </c>
      <c r="E114" s="36">
        <v>3526.8530000000001</v>
      </c>
      <c r="I114">
        <f t="shared" si="4"/>
        <v>550</v>
      </c>
      <c r="J114" s="12">
        <f t="shared" si="5"/>
        <v>-10.375</v>
      </c>
      <c r="M114" s="31">
        <f t="shared" si="7"/>
        <v>545.66522466832271</v>
      </c>
      <c r="N114" s="12">
        <f t="shared" si="6"/>
        <v>-10.375</v>
      </c>
    </row>
    <row r="115" spans="3:16" x14ac:dyDescent="0.25">
      <c r="C115" t="s">
        <v>202</v>
      </c>
      <c r="D115" s="35">
        <v>555</v>
      </c>
      <c r="E115" s="36">
        <v>3526.0479999999998</v>
      </c>
      <c r="I115">
        <f t="shared" si="4"/>
        <v>555</v>
      </c>
      <c r="J115" s="12">
        <f t="shared" si="5"/>
        <v>-11.180000000000291</v>
      </c>
      <c r="M115" s="31">
        <f t="shared" si="7"/>
        <v>550.5999966995314</v>
      </c>
      <c r="N115" s="12">
        <f t="shared" si="6"/>
        <v>-11.180000000000291</v>
      </c>
    </row>
    <row r="116" spans="3:16" x14ac:dyDescent="0.25">
      <c r="C116" t="s">
        <v>203</v>
      </c>
      <c r="D116" s="35">
        <v>560</v>
      </c>
      <c r="E116" s="36">
        <v>3526.4870000000001</v>
      </c>
      <c r="I116">
        <f t="shared" si="4"/>
        <v>560</v>
      </c>
      <c r="J116" s="12">
        <f t="shared" si="5"/>
        <v>-10.740999999999985</v>
      </c>
      <c r="M116" s="31">
        <f t="shared" si="7"/>
        <v>555.58068731429557</v>
      </c>
      <c r="N116" s="12">
        <f t="shared" si="6"/>
        <v>-10.740999999999985</v>
      </c>
    </row>
    <row r="117" spans="3:16" x14ac:dyDescent="0.25">
      <c r="C117" t="s">
        <v>204</v>
      </c>
      <c r="D117" s="35">
        <v>565</v>
      </c>
      <c r="E117" s="36">
        <v>3527.3980000000001</v>
      </c>
      <c r="I117">
        <f t="shared" si="4"/>
        <v>565</v>
      </c>
      <c r="J117" s="12">
        <f t="shared" si="5"/>
        <v>-9.8299999999999272</v>
      </c>
      <c r="M117" s="31">
        <f t="shared" si="7"/>
        <v>560.49699477010017</v>
      </c>
      <c r="N117" s="12">
        <f t="shared" si="6"/>
        <v>-9.8299999999999272</v>
      </c>
    </row>
    <row r="118" spans="3:16" x14ac:dyDescent="0.25">
      <c r="C118" t="s">
        <v>205</v>
      </c>
      <c r="D118" s="35">
        <v>570</v>
      </c>
      <c r="E118" s="36">
        <v>3526.96</v>
      </c>
      <c r="I118">
        <f t="shared" si="4"/>
        <v>570</v>
      </c>
      <c r="J118" s="12">
        <f t="shared" si="5"/>
        <v>-10.268000000000029</v>
      </c>
      <c r="M118" s="31">
        <f t="shared" si="7"/>
        <v>565.47777342408585</v>
      </c>
      <c r="N118" s="12">
        <f t="shared" si="6"/>
        <v>-10.268000000000029</v>
      </c>
    </row>
    <row r="119" spans="3:16" x14ac:dyDescent="0.25">
      <c r="C119" t="s">
        <v>206</v>
      </c>
      <c r="D119" s="35">
        <v>575</v>
      </c>
      <c r="E119" s="36">
        <v>3526.5920000000001</v>
      </c>
      <c r="I119">
        <f t="shared" si="4"/>
        <v>575</v>
      </c>
      <c r="J119" s="12">
        <f t="shared" si="5"/>
        <v>-10.635999999999967</v>
      </c>
      <c r="M119" s="31">
        <f t="shared" si="7"/>
        <v>570.46421263458467</v>
      </c>
      <c r="N119" s="12">
        <f t="shared" si="6"/>
        <v>-10.635999999999967</v>
      </c>
    </row>
    <row r="120" spans="3:16" x14ac:dyDescent="0.25">
      <c r="C120" t="s">
        <v>207</v>
      </c>
      <c r="D120" s="35">
        <v>580</v>
      </c>
      <c r="E120" s="36">
        <v>3527.3939999999998</v>
      </c>
      <c r="I120">
        <f t="shared" si="4"/>
        <v>580</v>
      </c>
      <c r="J120" s="12">
        <f t="shared" si="5"/>
        <v>-9.8340000000002874</v>
      </c>
      <c r="M120" s="31">
        <f t="shared" si="7"/>
        <v>575.39947311403262</v>
      </c>
      <c r="N120" s="12">
        <f t="shared" si="6"/>
        <v>-9.8340000000002874</v>
      </c>
    </row>
    <row r="121" spans="3:16" x14ac:dyDescent="0.25">
      <c r="C121" t="s">
        <v>208</v>
      </c>
      <c r="D121" s="35">
        <v>585</v>
      </c>
      <c r="E121" s="36">
        <v>3526.5929999999998</v>
      </c>
      <c r="I121">
        <f t="shared" si="4"/>
        <v>585</v>
      </c>
      <c r="J121" s="12">
        <f t="shared" si="5"/>
        <v>-10.635000000000218</v>
      </c>
      <c r="M121" s="31">
        <f t="shared" si="7"/>
        <v>580.33489599358404</v>
      </c>
      <c r="N121" s="12">
        <f t="shared" si="6"/>
        <v>-10.635000000000218</v>
      </c>
    </row>
    <row r="122" spans="3:16" x14ac:dyDescent="0.25">
      <c r="C122" t="s">
        <v>209</v>
      </c>
      <c r="D122" s="35">
        <v>590</v>
      </c>
      <c r="E122" s="36">
        <v>3527.7910000000002</v>
      </c>
      <c r="I122">
        <f t="shared" si="4"/>
        <v>590</v>
      </c>
      <c r="J122" s="12">
        <f t="shared" si="5"/>
        <v>-9.4369999999998981</v>
      </c>
      <c r="M122" s="31">
        <f t="shared" si="7"/>
        <v>585.18925444759202</v>
      </c>
      <c r="N122" s="12">
        <f t="shared" si="6"/>
        <v>-9.4369999999998981</v>
      </c>
    </row>
    <row r="123" spans="3:16" x14ac:dyDescent="0.25">
      <c r="C123" t="s">
        <v>210</v>
      </c>
      <c r="D123" s="35">
        <v>595</v>
      </c>
      <c r="E123" s="36">
        <v>3527.384</v>
      </c>
      <c r="I123">
        <f t="shared" si="4"/>
        <v>595</v>
      </c>
      <c r="J123" s="12">
        <f t="shared" si="5"/>
        <v>-9.8440000000000509</v>
      </c>
      <c r="M123" s="31">
        <f t="shared" si="7"/>
        <v>590.17266201671578</v>
      </c>
      <c r="N123" s="12">
        <f t="shared" si="6"/>
        <v>-9.8440000000000509</v>
      </c>
    </row>
    <row r="124" spans="3:16" x14ac:dyDescent="0.25">
      <c r="C124" t="s">
        <v>238</v>
      </c>
      <c r="D124" s="35">
        <v>600</v>
      </c>
      <c r="E124" s="36">
        <v>3529.998</v>
      </c>
      <c r="I124">
        <f t="shared" si="4"/>
        <v>600</v>
      </c>
      <c r="J124" s="12">
        <f t="shared" si="5"/>
        <v>-7.2300000000000182</v>
      </c>
      <c r="M124" s="31">
        <f t="shared" si="7"/>
        <v>594.43493887304498</v>
      </c>
      <c r="N124" s="12">
        <f t="shared" si="6"/>
        <v>-7.2300000000000182</v>
      </c>
    </row>
    <row r="125" spans="3:16" x14ac:dyDescent="0.25">
      <c r="C125" t="s">
        <v>239</v>
      </c>
      <c r="D125" s="35">
        <v>605</v>
      </c>
      <c r="E125" s="36">
        <v>3529.5819999999999</v>
      </c>
      <c r="I125">
        <f t="shared" si="4"/>
        <v>605</v>
      </c>
      <c r="J125" s="12">
        <f t="shared" si="5"/>
        <v>-7.6460000000001855</v>
      </c>
      <c r="M125" s="31">
        <f t="shared" si="7"/>
        <v>599.4176032205603</v>
      </c>
      <c r="N125" s="12">
        <f t="shared" si="6"/>
        <v>-7.6460000000001855</v>
      </c>
    </row>
    <row r="126" spans="3:16" x14ac:dyDescent="0.25">
      <c r="C126" t="s">
        <v>240</v>
      </c>
      <c r="D126" s="35">
        <v>610</v>
      </c>
      <c r="E126" s="36">
        <v>3528.8249999999998</v>
      </c>
      <c r="I126">
        <f t="shared" si="4"/>
        <v>610</v>
      </c>
      <c r="J126" s="12">
        <f t="shared" si="5"/>
        <v>-8.4030000000002474</v>
      </c>
      <c r="M126" s="31">
        <f t="shared" si="7"/>
        <v>604.35996611698943</v>
      </c>
      <c r="N126" s="12">
        <f t="shared" si="6"/>
        <v>-8.4030000000002474</v>
      </c>
      <c r="O126" s="12">
        <f>O127-5</f>
        <v>604.34312776397621</v>
      </c>
      <c r="P126" s="12">
        <f>N126</f>
        <v>-8.4030000000002474</v>
      </c>
    </row>
    <row r="127" spans="3:16" x14ac:dyDescent="0.25">
      <c r="C127" t="s">
        <v>241</v>
      </c>
      <c r="D127" s="35">
        <v>615</v>
      </c>
      <c r="E127" s="36">
        <v>3528.415</v>
      </c>
      <c r="F127" t="s">
        <v>103</v>
      </c>
      <c r="G127">
        <f>D127</f>
        <v>615</v>
      </c>
      <c r="H127" s="12">
        <f>E127</f>
        <v>3528.415</v>
      </c>
      <c r="I127">
        <f t="shared" si="4"/>
        <v>615</v>
      </c>
      <c r="J127" s="12">
        <f t="shared" si="5"/>
        <v>-8.8130000000001019</v>
      </c>
      <c r="K127">
        <f>G127</f>
        <v>615</v>
      </c>
      <c r="L127" s="12">
        <f>J127</f>
        <v>-8.8130000000001019</v>
      </c>
      <c r="M127" s="31">
        <f t="shared" si="7"/>
        <v>609.34312776397621</v>
      </c>
      <c r="N127" s="12">
        <f t="shared" si="6"/>
        <v>-8.8130000000001019</v>
      </c>
      <c r="O127" s="12">
        <f t="shared" ref="O127:O150" si="8">M127</f>
        <v>609.34312776397621</v>
      </c>
      <c r="P127" s="12">
        <f>N127</f>
        <v>-8.8130000000001019</v>
      </c>
    </row>
    <row r="128" spans="3:16" x14ac:dyDescent="0.25">
      <c r="C128" t="s">
        <v>242</v>
      </c>
      <c r="D128" s="35">
        <v>620</v>
      </c>
      <c r="E128" s="36">
        <v>3528.51</v>
      </c>
      <c r="F128" t="s">
        <v>104</v>
      </c>
      <c r="G128">
        <f t="shared" ref="G128:G150" si="9">D128</f>
        <v>620</v>
      </c>
      <c r="H128" s="12">
        <f t="shared" ref="H128:H150" si="10">E128</f>
        <v>3528.51</v>
      </c>
      <c r="I128">
        <f t="shared" si="4"/>
        <v>620</v>
      </c>
      <c r="J128" s="12">
        <f t="shared" si="5"/>
        <v>-8.7179999999998472</v>
      </c>
      <c r="K128">
        <f t="shared" ref="K128:K150" si="11">G128</f>
        <v>620</v>
      </c>
      <c r="L128" s="12">
        <f t="shared" ref="L128:L150" si="12">J128</f>
        <v>-8.7179999999998472</v>
      </c>
      <c r="M128" s="31">
        <f t="shared" si="7"/>
        <v>614.3422251825109</v>
      </c>
      <c r="N128" s="12">
        <f t="shared" si="6"/>
        <v>-8.7179999999998472</v>
      </c>
      <c r="O128" s="12">
        <f t="shared" si="8"/>
        <v>614.3422251825109</v>
      </c>
      <c r="P128" s="12">
        <f t="shared" ref="P128:P150" si="13">N128</f>
        <v>-8.7179999999998472</v>
      </c>
    </row>
    <row r="129" spans="3:16" x14ac:dyDescent="0.25">
      <c r="C129" t="s">
        <v>243</v>
      </c>
      <c r="D129" s="35">
        <v>625</v>
      </c>
      <c r="E129" s="36">
        <v>3527.819</v>
      </c>
      <c r="F129" t="s">
        <v>105</v>
      </c>
      <c r="G129">
        <f t="shared" si="9"/>
        <v>625</v>
      </c>
      <c r="H129" s="12">
        <f t="shared" si="10"/>
        <v>3527.819</v>
      </c>
      <c r="I129">
        <f t="shared" si="4"/>
        <v>625</v>
      </c>
      <c r="J129" s="12">
        <f t="shared" si="5"/>
        <v>-9.4090000000001055</v>
      </c>
      <c r="K129">
        <f t="shared" si="11"/>
        <v>625</v>
      </c>
      <c r="L129" s="12">
        <f t="shared" si="12"/>
        <v>-9.4090000000001055</v>
      </c>
      <c r="M129" s="31">
        <f t="shared" si="7"/>
        <v>619.29424689086397</v>
      </c>
      <c r="N129" s="12">
        <f t="shared" si="6"/>
        <v>-9.4090000000001055</v>
      </c>
      <c r="O129" s="12">
        <f t="shared" si="8"/>
        <v>619.29424689086397</v>
      </c>
      <c r="P129" s="12">
        <f t="shared" si="13"/>
        <v>-9.4090000000001055</v>
      </c>
    </row>
    <row r="130" spans="3:16" x14ac:dyDescent="0.25">
      <c r="C130" t="s">
        <v>244</v>
      </c>
      <c r="D130" s="35">
        <v>630</v>
      </c>
      <c r="E130" s="36">
        <v>3528.4540000000002</v>
      </c>
      <c r="F130" t="s">
        <v>106</v>
      </c>
      <c r="G130">
        <f t="shared" si="9"/>
        <v>630</v>
      </c>
      <c r="H130" s="12">
        <f t="shared" si="10"/>
        <v>3528.4540000000002</v>
      </c>
      <c r="I130">
        <f t="shared" si="4"/>
        <v>630</v>
      </c>
      <c r="J130" s="12">
        <f t="shared" si="5"/>
        <v>-8.7739999999998872</v>
      </c>
      <c r="K130">
        <f t="shared" si="11"/>
        <v>630</v>
      </c>
      <c r="L130" s="12">
        <f t="shared" si="12"/>
        <v>-8.7739999999998872</v>
      </c>
      <c r="M130" s="31">
        <f t="shared" si="7"/>
        <v>624.25376047588418</v>
      </c>
      <c r="N130" s="12">
        <f t="shared" si="6"/>
        <v>-8.7739999999998872</v>
      </c>
      <c r="O130" s="12">
        <f t="shared" si="8"/>
        <v>624.25376047588418</v>
      </c>
      <c r="P130" s="12">
        <f t="shared" si="13"/>
        <v>-8.7739999999998872</v>
      </c>
    </row>
    <row r="131" spans="3:16" x14ac:dyDescent="0.25">
      <c r="C131" t="s">
        <v>245</v>
      </c>
      <c r="D131" s="35">
        <v>635</v>
      </c>
      <c r="E131" s="36">
        <v>3528.886</v>
      </c>
      <c r="F131" t="s">
        <v>107</v>
      </c>
      <c r="G131">
        <f t="shared" si="9"/>
        <v>635</v>
      </c>
      <c r="H131" s="12">
        <f t="shared" si="10"/>
        <v>3528.886</v>
      </c>
      <c r="I131">
        <f t="shared" si="4"/>
        <v>635</v>
      </c>
      <c r="J131" s="12">
        <f t="shared" si="5"/>
        <v>-8.3420000000000982</v>
      </c>
      <c r="K131">
        <f t="shared" si="11"/>
        <v>635</v>
      </c>
      <c r="L131" s="12">
        <f t="shared" si="12"/>
        <v>-8.3420000000000982</v>
      </c>
      <c r="M131" s="31">
        <f t="shared" si="7"/>
        <v>629.23506311676033</v>
      </c>
      <c r="N131" s="12">
        <f t="shared" si="6"/>
        <v>-8.3420000000000982</v>
      </c>
      <c r="O131" s="12">
        <f t="shared" si="8"/>
        <v>629.23506311676033</v>
      </c>
      <c r="P131" s="12">
        <f t="shared" si="13"/>
        <v>-8.3420000000000982</v>
      </c>
    </row>
    <row r="132" spans="3:16" x14ac:dyDescent="0.25">
      <c r="C132" t="s">
        <v>246</v>
      </c>
      <c r="D132" s="35">
        <v>640</v>
      </c>
      <c r="E132" s="36">
        <v>3527.4879999999998</v>
      </c>
      <c r="F132" t="s">
        <v>108</v>
      </c>
      <c r="G132">
        <f t="shared" si="9"/>
        <v>640</v>
      </c>
      <c r="H132" s="12">
        <f t="shared" si="10"/>
        <v>3527.4879999999998</v>
      </c>
      <c r="I132">
        <f t="shared" si="4"/>
        <v>640</v>
      </c>
      <c r="J132" s="12">
        <f t="shared" si="5"/>
        <v>-9.7400000000002365</v>
      </c>
      <c r="K132">
        <f t="shared" si="11"/>
        <v>640</v>
      </c>
      <c r="L132" s="12">
        <f t="shared" si="12"/>
        <v>-9.7400000000002365</v>
      </c>
      <c r="M132" s="31">
        <f t="shared" si="7"/>
        <v>634.03564599803622</v>
      </c>
      <c r="N132" s="12">
        <f t="shared" si="6"/>
        <v>-9.7400000000002365</v>
      </c>
      <c r="O132" s="12">
        <f t="shared" si="8"/>
        <v>634.03564599803622</v>
      </c>
      <c r="P132" s="12">
        <f t="shared" si="13"/>
        <v>-9.7400000000002365</v>
      </c>
    </row>
    <row r="133" spans="3:16" x14ac:dyDescent="0.25">
      <c r="C133" t="s">
        <v>247</v>
      </c>
      <c r="D133" s="35">
        <v>645</v>
      </c>
      <c r="E133" s="36">
        <v>3527.672</v>
      </c>
      <c r="F133" t="s">
        <v>109</v>
      </c>
      <c r="G133">
        <f t="shared" si="9"/>
        <v>645</v>
      </c>
      <c r="H133" s="12">
        <f t="shared" si="10"/>
        <v>3527.672</v>
      </c>
      <c r="I133">
        <f t="shared" ref="I133:I171" si="14">D133</f>
        <v>645</v>
      </c>
      <c r="J133" s="12">
        <f t="shared" ref="J133:J171" si="15">E133-MAX($E$4:$E$171)</f>
        <v>-9.55600000000004</v>
      </c>
      <c r="K133">
        <f t="shared" si="11"/>
        <v>645</v>
      </c>
      <c r="L133" s="12">
        <f t="shared" si="12"/>
        <v>-9.55600000000004</v>
      </c>
      <c r="M133" s="31">
        <f t="shared" si="7"/>
        <v>639.03225925103072</v>
      </c>
      <c r="N133" s="12">
        <f t="shared" ref="N133:N171" si="16">J133</f>
        <v>-9.55600000000004</v>
      </c>
      <c r="O133" s="12">
        <f t="shared" si="8"/>
        <v>639.03225925103072</v>
      </c>
      <c r="P133" s="12">
        <f t="shared" si="13"/>
        <v>-9.55600000000004</v>
      </c>
    </row>
    <row r="134" spans="3:16" x14ac:dyDescent="0.25">
      <c r="C134" t="s">
        <v>248</v>
      </c>
      <c r="D134" s="35">
        <v>650</v>
      </c>
      <c r="E134" s="36">
        <v>3528.2</v>
      </c>
      <c r="F134" t="s">
        <v>110</v>
      </c>
      <c r="G134">
        <f t="shared" si="9"/>
        <v>650</v>
      </c>
      <c r="H134" s="12">
        <f t="shared" si="10"/>
        <v>3528.2</v>
      </c>
      <c r="I134">
        <f t="shared" si="14"/>
        <v>650</v>
      </c>
      <c r="J134" s="12">
        <f t="shared" si="15"/>
        <v>-9.0280000000002474</v>
      </c>
      <c r="K134">
        <f t="shared" si="11"/>
        <v>650</v>
      </c>
      <c r="L134" s="12">
        <f t="shared" si="12"/>
        <v>-9.0280000000002474</v>
      </c>
      <c r="M134" s="31">
        <f t="shared" ref="M134:M171" si="17">M133+(SQRT((D134-D133)^2-(E134-E133)^2))</f>
        <v>644.00430269412334</v>
      </c>
      <c r="N134" s="12">
        <f t="shared" si="16"/>
        <v>-9.0280000000002474</v>
      </c>
      <c r="O134" s="12">
        <f t="shared" si="8"/>
        <v>644.00430269412334</v>
      </c>
      <c r="P134" s="12">
        <f t="shared" si="13"/>
        <v>-9.0280000000002474</v>
      </c>
    </row>
    <row r="135" spans="3:16" x14ac:dyDescent="0.25">
      <c r="C135" t="s">
        <v>249</v>
      </c>
      <c r="D135" s="35">
        <v>655</v>
      </c>
      <c r="E135" s="36">
        <v>3529.473</v>
      </c>
      <c r="F135" t="s">
        <v>111</v>
      </c>
      <c r="G135">
        <f t="shared" si="9"/>
        <v>655</v>
      </c>
      <c r="H135" s="12">
        <f t="shared" si="10"/>
        <v>3529.473</v>
      </c>
      <c r="I135">
        <f t="shared" si="14"/>
        <v>655</v>
      </c>
      <c r="J135" s="12">
        <f t="shared" si="15"/>
        <v>-7.7550000000001091</v>
      </c>
      <c r="K135">
        <f t="shared" si="11"/>
        <v>655</v>
      </c>
      <c r="L135" s="12">
        <f t="shared" si="12"/>
        <v>-7.7550000000001091</v>
      </c>
      <c r="M135" s="31">
        <f t="shared" si="17"/>
        <v>648.83953495328103</v>
      </c>
      <c r="N135" s="12">
        <f t="shared" si="16"/>
        <v>-7.7550000000001091</v>
      </c>
      <c r="O135" s="12">
        <f t="shared" si="8"/>
        <v>648.83953495328103</v>
      </c>
      <c r="P135" s="12">
        <f t="shared" si="13"/>
        <v>-7.7550000000001091</v>
      </c>
    </row>
    <row r="136" spans="3:16" x14ac:dyDescent="0.25">
      <c r="C136" t="s">
        <v>250</v>
      </c>
      <c r="D136" s="35">
        <v>660</v>
      </c>
      <c r="E136" s="36">
        <v>3529.9929999999999</v>
      </c>
      <c r="F136" t="s">
        <v>112</v>
      </c>
      <c r="G136">
        <f t="shared" si="9"/>
        <v>660</v>
      </c>
      <c r="H136" s="12">
        <f t="shared" si="10"/>
        <v>3529.9929999999999</v>
      </c>
      <c r="I136">
        <f t="shared" si="14"/>
        <v>660</v>
      </c>
      <c r="J136" s="12">
        <f t="shared" si="15"/>
        <v>-7.2350000000001273</v>
      </c>
      <c r="K136">
        <f t="shared" si="11"/>
        <v>660</v>
      </c>
      <c r="L136" s="12">
        <f t="shared" si="12"/>
        <v>-7.2350000000001273</v>
      </c>
      <c r="M136" s="31">
        <f t="shared" si="17"/>
        <v>653.81242143901545</v>
      </c>
      <c r="N136" s="12">
        <f t="shared" si="16"/>
        <v>-7.2350000000001273</v>
      </c>
      <c r="O136" s="12">
        <f t="shared" si="8"/>
        <v>653.81242143901545</v>
      </c>
      <c r="P136" s="12">
        <f t="shared" si="13"/>
        <v>-7.2350000000001273</v>
      </c>
    </row>
    <row r="137" spans="3:16" x14ac:dyDescent="0.25">
      <c r="C137" t="s">
        <v>251</v>
      </c>
      <c r="D137" s="35">
        <v>665</v>
      </c>
      <c r="E137" s="36">
        <v>3530.0340000000001</v>
      </c>
      <c r="F137" t="s">
        <v>113</v>
      </c>
      <c r="G137">
        <f t="shared" si="9"/>
        <v>665</v>
      </c>
      <c r="H137" s="12">
        <f t="shared" si="10"/>
        <v>3530.0340000000001</v>
      </c>
      <c r="I137">
        <f t="shared" si="14"/>
        <v>665</v>
      </c>
      <c r="J137" s="12">
        <f t="shared" si="15"/>
        <v>-7.19399999999996</v>
      </c>
      <c r="K137">
        <f t="shared" si="11"/>
        <v>665</v>
      </c>
      <c r="L137" s="12">
        <f t="shared" si="12"/>
        <v>-7.19399999999996</v>
      </c>
      <c r="M137" s="31">
        <f t="shared" si="17"/>
        <v>658.81225333618954</v>
      </c>
      <c r="N137" s="12">
        <f t="shared" si="16"/>
        <v>-7.19399999999996</v>
      </c>
      <c r="O137" s="12">
        <f t="shared" si="8"/>
        <v>658.81225333618954</v>
      </c>
      <c r="P137" s="12">
        <f t="shared" si="13"/>
        <v>-7.19399999999996</v>
      </c>
    </row>
    <row r="138" spans="3:16" x14ac:dyDescent="0.25">
      <c r="C138" t="s">
        <v>252</v>
      </c>
      <c r="D138" s="35">
        <v>670</v>
      </c>
      <c r="E138" s="36">
        <v>3530.643</v>
      </c>
      <c r="F138" t="s">
        <v>114</v>
      </c>
      <c r="G138">
        <f t="shared" si="9"/>
        <v>670</v>
      </c>
      <c r="H138" s="12">
        <f t="shared" si="10"/>
        <v>3530.643</v>
      </c>
      <c r="I138">
        <f t="shared" si="14"/>
        <v>670</v>
      </c>
      <c r="J138" s="12">
        <f t="shared" si="15"/>
        <v>-6.5850000000000364</v>
      </c>
      <c r="K138">
        <f t="shared" si="11"/>
        <v>670</v>
      </c>
      <c r="L138" s="12">
        <f t="shared" si="12"/>
        <v>-6.5850000000000364</v>
      </c>
      <c r="M138" s="31">
        <f t="shared" si="17"/>
        <v>663.77502665359987</v>
      </c>
      <c r="N138" s="12">
        <f t="shared" si="16"/>
        <v>-6.5850000000000364</v>
      </c>
      <c r="O138" s="12">
        <f t="shared" si="8"/>
        <v>663.77502665359987</v>
      </c>
      <c r="P138" s="12">
        <f t="shared" si="13"/>
        <v>-6.5850000000000364</v>
      </c>
    </row>
    <row r="139" spans="3:16" x14ac:dyDescent="0.25">
      <c r="C139" t="s">
        <v>253</v>
      </c>
      <c r="D139" s="35">
        <v>675</v>
      </c>
      <c r="E139" s="36">
        <v>3527.8180000000002</v>
      </c>
      <c r="F139" t="s">
        <v>115</v>
      </c>
      <c r="G139">
        <f t="shared" si="9"/>
        <v>675</v>
      </c>
      <c r="H139" s="12">
        <f t="shared" si="10"/>
        <v>3527.8180000000002</v>
      </c>
      <c r="I139">
        <f t="shared" si="14"/>
        <v>675</v>
      </c>
      <c r="J139" s="12">
        <f t="shared" si="15"/>
        <v>-9.4099999999998545</v>
      </c>
      <c r="K139">
        <f t="shared" si="11"/>
        <v>675</v>
      </c>
      <c r="L139" s="12">
        <f t="shared" si="12"/>
        <v>-9.4099999999998545</v>
      </c>
      <c r="M139" s="31">
        <f t="shared" si="17"/>
        <v>667.90048117401352</v>
      </c>
      <c r="N139" s="12">
        <f t="shared" si="16"/>
        <v>-9.4099999999998545</v>
      </c>
      <c r="O139" s="12">
        <f t="shared" si="8"/>
        <v>667.90048117401352</v>
      </c>
      <c r="P139" s="12">
        <f t="shared" si="13"/>
        <v>-9.4099999999998545</v>
      </c>
    </row>
    <row r="140" spans="3:16" x14ac:dyDescent="0.25">
      <c r="C140" t="s">
        <v>254</v>
      </c>
      <c r="D140" s="35">
        <v>680</v>
      </c>
      <c r="E140" s="36">
        <v>3526.413</v>
      </c>
      <c r="F140" t="s">
        <v>116</v>
      </c>
      <c r="G140">
        <f t="shared" si="9"/>
        <v>680</v>
      </c>
      <c r="H140" s="12">
        <f t="shared" si="10"/>
        <v>3526.413</v>
      </c>
      <c r="I140">
        <f t="shared" si="14"/>
        <v>680</v>
      </c>
      <c r="J140" s="12">
        <f t="shared" si="15"/>
        <v>-10.815000000000055</v>
      </c>
      <c r="K140">
        <f t="shared" si="11"/>
        <v>680</v>
      </c>
      <c r="L140" s="12">
        <f t="shared" si="12"/>
        <v>-10.815000000000055</v>
      </c>
      <c r="M140" s="31">
        <f t="shared" si="17"/>
        <v>672.6990200141189</v>
      </c>
      <c r="N140" s="12">
        <f t="shared" si="16"/>
        <v>-10.815000000000055</v>
      </c>
      <c r="O140" s="12">
        <f t="shared" si="8"/>
        <v>672.6990200141189</v>
      </c>
      <c r="P140" s="12">
        <f t="shared" si="13"/>
        <v>-10.815000000000055</v>
      </c>
    </row>
    <row r="141" spans="3:16" x14ac:dyDescent="0.25">
      <c r="C141" t="s">
        <v>255</v>
      </c>
      <c r="D141" s="35">
        <v>685</v>
      </c>
      <c r="E141" s="36">
        <v>3526.2689999999998</v>
      </c>
      <c r="F141" t="s">
        <v>117</v>
      </c>
      <c r="G141">
        <f t="shared" si="9"/>
        <v>685</v>
      </c>
      <c r="H141" s="12">
        <f t="shared" si="10"/>
        <v>3526.2689999999998</v>
      </c>
      <c r="I141">
        <f t="shared" si="14"/>
        <v>685</v>
      </c>
      <c r="J141" s="12">
        <f t="shared" si="15"/>
        <v>-10.959000000000287</v>
      </c>
      <c r="K141">
        <f t="shared" si="11"/>
        <v>685</v>
      </c>
      <c r="L141" s="12">
        <f t="shared" si="12"/>
        <v>-10.959000000000287</v>
      </c>
      <c r="M141" s="31">
        <f t="shared" si="17"/>
        <v>677.69694598395881</v>
      </c>
      <c r="N141" s="12">
        <f t="shared" si="16"/>
        <v>-10.959000000000287</v>
      </c>
      <c r="O141" s="12">
        <f t="shared" si="8"/>
        <v>677.69694598395881</v>
      </c>
      <c r="P141" s="12">
        <f t="shared" si="13"/>
        <v>-10.959000000000287</v>
      </c>
    </row>
    <row r="142" spans="3:16" x14ac:dyDescent="0.25">
      <c r="C142" t="s">
        <v>256</v>
      </c>
      <c r="D142" s="35">
        <v>690</v>
      </c>
      <c r="E142" s="36">
        <v>3526.6120000000001</v>
      </c>
      <c r="F142" t="s">
        <v>118</v>
      </c>
      <c r="G142">
        <f t="shared" si="9"/>
        <v>690</v>
      </c>
      <c r="H142" s="12">
        <f t="shared" si="10"/>
        <v>3526.6120000000001</v>
      </c>
      <c r="I142">
        <f t="shared" si="14"/>
        <v>690</v>
      </c>
      <c r="J142" s="12">
        <f t="shared" si="15"/>
        <v>-10.615999999999985</v>
      </c>
      <c r="K142">
        <f t="shared" si="11"/>
        <v>690</v>
      </c>
      <c r="L142" s="12">
        <f t="shared" si="12"/>
        <v>-10.615999999999985</v>
      </c>
      <c r="M142" s="31">
        <f t="shared" si="17"/>
        <v>682.68516721000719</v>
      </c>
      <c r="N142" s="12">
        <f t="shared" si="16"/>
        <v>-10.615999999999985</v>
      </c>
      <c r="O142" s="12">
        <f t="shared" si="8"/>
        <v>682.68516721000719</v>
      </c>
      <c r="P142" s="12">
        <f t="shared" si="13"/>
        <v>-10.615999999999985</v>
      </c>
    </row>
    <row r="143" spans="3:16" x14ac:dyDescent="0.25">
      <c r="C143" t="s">
        <v>257</v>
      </c>
      <c r="D143" s="35">
        <v>695</v>
      </c>
      <c r="E143" s="36">
        <v>3526.3290000000002</v>
      </c>
      <c r="F143" t="s">
        <v>119</v>
      </c>
      <c r="G143">
        <f t="shared" si="9"/>
        <v>695</v>
      </c>
      <c r="H143" s="12">
        <f t="shared" si="10"/>
        <v>3526.3290000000002</v>
      </c>
      <c r="I143">
        <f t="shared" si="14"/>
        <v>695</v>
      </c>
      <c r="J143" s="12">
        <f t="shared" si="15"/>
        <v>-10.898999999999887</v>
      </c>
      <c r="K143">
        <f t="shared" si="11"/>
        <v>695</v>
      </c>
      <c r="L143" s="12">
        <f t="shared" si="12"/>
        <v>-10.898999999999887</v>
      </c>
      <c r="M143" s="31">
        <f t="shared" si="17"/>
        <v>687.67715188546447</v>
      </c>
      <c r="N143" s="12">
        <f t="shared" si="16"/>
        <v>-10.898999999999887</v>
      </c>
      <c r="O143" s="12">
        <f t="shared" si="8"/>
        <v>687.67715188546447</v>
      </c>
      <c r="P143" s="12">
        <f t="shared" si="13"/>
        <v>-10.898999999999887</v>
      </c>
    </row>
    <row r="144" spans="3:16" x14ac:dyDescent="0.25">
      <c r="C144" t="s">
        <v>258</v>
      </c>
      <c r="D144" s="35">
        <v>700</v>
      </c>
      <c r="E144" s="36">
        <v>3526.8760000000002</v>
      </c>
      <c r="F144" t="s">
        <v>120</v>
      </c>
      <c r="G144">
        <f t="shared" si="9"/>
        <v>700</v>
      </c>
      <c r="H144" s="12">
        <f t="shared" si="10"/>
        <v>3526.8760000000002</v>
      </c>
      <c r="I144">
        <f t="shared" si="14"/>
        <v>700</v>
      </c>
      <c r="J144" s="12">
        <f t="shared" si="15"/>
        <v>-10.351999999999862</v>
      </c>
      <c r="K144">
        <f t="shared" si="11"/>
        <v>700</v>
      </c>
      <c r="L144" s="12">
        <f t="shared" si="12"/>
        <v>-10.351999999999862</v>
      </c>
      <c r="M144" s="31">
        <f t="shared" si="17"/>
        <v>692.64714091965755</v>
      </c>
      <c r="N144" s="12">
        <f t="shared" si="16"/>
        <v>-10.351999999999862</v>
      </c>
      <c r="O144" s="12">
        <f t="shared" si="8"/>
        <v>692.64714091965755</v>
      </c>
      <c r="P144" s="12">
        <f t="shared" si="13"/>
        <v>-10.351999999999862</v>
      </c>
    </row>
    <row r="145" spans="3:16" x14ac:dyDescent="0.25">
      <c r="C145" t="s">
        <v>259</v>
      </c>
      <c r="D145" s="35">
        <v>705</v>
      </c>
      <c r="E145" s="36">
        <v>3524.1579999999999</v>
      </c>
      <c r="F145" t="s">
        <v>121</v>
      </c>
      <c r="G145">
        <f t="shared" si="9"/>
        <v>705</v>
      </c>
      <c r="H145" s="12">
        <f t="shared" si="10"/>
        <v>3524.1579999999999</v>
      </c>
      <c r="I145">
        <f t="shared" si="14"/>
        <v>705</v>
      </c>
      <c r="J145" s="12">
        <f t="shared" si="15"/>
        <v>-13.070000000000164</v>
      </c>
      <c r="K145">
        <f t="shared" si="11"/>
        <v>705</v>
      </c>
      <c r="L145" s="12">
        <f t="shared" si="12"/>
        <v>-13.070000000000164</v>
      </c>
      <c r="M145" s="31">
        <f t="shared" si="17"/>
        <v>696.84386297383253</v>
      </c>
      <c r="N145" s="12">
        <f t="shared" si="16"/>
        <v>-13.070000000000164</v>
      </c>
      <c r="O145" s="12">
        <f t="shared" si="8"/>
        <v>696.84386297383253</v>
      </c>
      <c r="P145" s="12">
        <f t="shared" si="13"/>
        <v>-13.070000000000164</v>
      </c>
    </row>
    <row r="146" spans="3:16" x14ac:dyDescent="0.25">
      <c r="C146" t="s">
        <v>260</v>
      </c>
      <c r="D146" s="35">
        <v>710</v>
      </c>
      <c r="E146" s="36">
        <v>3524.1080000000002</v>
      </c>
      <c r="F146" t="s">
        <v>122</v>
      </c>
      <c r="G146">
        <f t="shared" si="9"/>
        <v>710</v>
      </c>
      <c r="H146" s="12">
        <f t="shared" si="10"/>
        <v>3524.1080000000002</v>
      </c>
      <c r="I146">
        <f t="shared" si="14"/>
        <v>710</v>
      </c>
      <c r="J146" s="12">
        <f t="shared" si="15"/>
        <v>-13.119999999999891</v>
      </c>
      <c r="K146">
        <f t="shared" si="11"/>
        <v>710</v>
      </c>
      <c r="L146" s="12">
        <f t="shared" si="12"/>
        <v>-13.119999999999891</v>
      </c>
      <c r="M146" s="31">
        <f t="shared" si="17"/>
        <v>701.8436129675822</v>
      </c>
      <c r="N146" s="12">
        <f t="shared" si="16"/>
        <v>-13.119999999999891</v>
      </c>
      <c r="O146" s="12">
        <f t="shared" si="8"/>
        <v>701.8436129675822</v>
      </c>
      <c r="P146" s="12">
        <f t="shared" si="13"/>
        <v>-13.119999999999891</v>
      </c>
    </row>
    <row r="147" spans="3:16" x14ac:dyDescent="0.25">
      <c r="C147" t="s">
        <v>261</v>
      </c>
      <c r="D147" s="35">
        <v>715</v>
      </c>
      <c r="E147" s="36">
        <v>3526.4270000000001</v>
      </c>
      <c r="F147" t="s">
        <v>123</v>
      </c>
      <c r="G147">
        <f t="shared" si="9"/>
        <v>715</v>
      </c>
      <c r="H147" s="12">
        <f t="shared" si="10"/>
        <v>3526.4270000000001</v>
      </c>
      <c r="I147">
        <f t="shared" si="14"/>
        <v>715</v>
      </c>
      <c r="J147" s="12">
        <f t="shared" si="15"/>
        <v>-10.800999999999931</v>
      </c>
      <c r="K147">
        <f t="shared" si="11"/>
        <v>715</v>
      </c>
      <c r="L147" s="12">
        <f t="shared" si="12"/>
        <v>-10.800999999999931</v>
      </c>
      <c r="M147" s="31">
        <f t="shared" si="17"/>
        <v>706.27331261880011</v>
      </c>
      <c r="N147" s="12">
        <f t="shared" si="16"/>
        <v>-10.800999999999931</v>
      </c>
      <c r="O147" s="12">
        <f t="shared" si="8"/>
        <v>706.27331261880011</v>
      </c>
      <c r="P147" s="12">
        <f t="shared" si="13"/>
        <v>-10.800999999999931</v>
      </c>
    </row>
    <row r="148" spans="3:16" x14ac:dyDescent="0.25">
      <c r="C148" t="s">
        <v>262</v>
      </c>
      <c r="D148" s="35">
        <v>720</v>
      </c>
      <c r="E148" s="36">
        <v>3525.5010000000002</v>
      </c>
      <c r="F148" t="s">
        <v>124</v>
      </c>
      <c r="G148">
        <f t="shared" si="9"/>
        <v>720</v>
      </c>
      <c r="H148" s="12">
        <f t="shared" si="10"/>
        <v>3525.5010000000002</v>
      </c>
      <c r="I148">
        <f t="shared" si="14"/>
        <v>720</v>
      </c>
      <c r="J148" s="12">
        <f t="shared" si="15"/>
        <v>-11.726999999999862</v>
      </c>
      <c r="K148">
        <f t="shared" si="11"/>
        <v>720</v>
      </c>
      <c r="L148" s="12">
        <f t="shared" si="12"/>
        <v>-11.726999999999862</v>
      </c>
      <c r="M148" s="31">
        <f t="shared" si="17"/>
        <v>711.18681686729735</v>
      </c>
      <c r="N148" s="12">
        <f t="shared" si="16"/>
        <v>-11.726999999999862</v>
      </c>
      <c r="O148" s="12">
        <f t="shared" si="8"/>
        <v>711.18681686729735</v>
      </c>
      <c r="P148" s="12">
        <f t="shared" si="13"/>
        <v>-11.726999999999862</v>
      </c>
    </row>
    <row r="149" spans="3:16" x14ac:dyDescent="0.25">
      <c r="C149" t="s">
        <v>263</v>
      </c>
      <c r="D149" s="35">
        <v>725</v>
      </c>
      <c r="E149" s="36">
        <v>3525.7779999999998</v>
      </c>
      <c r="F149" t="s">
        <v>125</v>
      </c>
      <c r="G149">
        <f t="shared" si="9"/>
        <v>725</v>
      </c>
      <c r="H149" s="12">
        <f t="shared" si="10"/>
        <v>3525.7779999999998</v>
      </c>
      <c r="I149">
        <f t="shared" si="14"/>
        <v>725</v>
      </c>
      <c r="J149" s="12">
        <f t="shared" si="15"/>
        <v>-11.450000000000273</v>
      </c>
      <c r="K149">
        <f t="shared" si="11"/>
        <v>725</v>
      </c>
      <c r="L149" s="12">
        <f t="shared" si="12"/>
        <v>-11.450000000000273</v>
      </c>
      <c r="M149" s="31">
        <f t="shared" si="17"/>
        <v>716.17913807090599</v>
      </c>
      <c r="N149" s="12">
        <f t="shared" si="16"/>
        <v>-11.450000000000273</v>
      </c>
      <c r="O149" s="12">
        <f t="shared" si="8"/>
        <v>716.17913807090599</v>
      </c>
      <c r="P149" s="12">
        <f t="shared" si="13"/>
        <v>-11.450000000000273</v>
      </c>
    </row>
    <row r="150" spans="3:16" x14ac:dyDescent="0.25">
      <c r="C150" t="s">
        <v>264</v>
      </c>
      <c r="D150" s="35">
        <v>730</v>
      </c>
      <c r="E150" s="36">
        <v>3525.74</v>
      </c>
      <c r="F150" t="s">
        <v>126</v>
      </c>
      <c r="G150">
        <f t="shared" si="9"/>
        <v>730</v>
      </c>
      <c r="H150" s="12">
        <f t="shared" si="10"/>
        <v>3525.74</v>
      </c>
      <c r="I150">
        <f t="shared" si="14"/>
        <v>730</v>
      </c>
      <c r="J150" s="12">
        <f t="shared" si="15"/>
        <v>-11.488000000000284</v>
      </c>
      <c r="K150">
        <f t="shared" si="11"/>
        <v>730</v>
      </c>
      <c r="L150" s="12">
        <f t="shared" si="12"/>
        <v>-11.488000000000284</v>
      </c>
      <c r="M150" s="31">
        <f t="shared" si="17"/>
        <v>721.17899366882079</v>
      </c>
      <c r="N150" s="12">
        <f t="shared" si="16"/>
        <v>-11.488000000000284</v>
      </c>
      <c r="O150" s="12">
        <f t="shared" si="8"/>
        <v>721.17899366882079</v>
      </c>
      <c r="P150" s="12">
        <f t="shared" si="13"/>
        <v>-11.488000000000284</v>
      </c>
    </row>
    <row r="151" spans="3:16" x14ac:dyDescent="0.25">
      <c r="C151" t="s">
        <v>265</v>
      </c>
      <c r="D151" s="35">
        <v>735</v>
      </c>
      <c r="E151" s="36">
        <v>3524.7710000000002</v>
      </c>
      <c r="I151">
        <f t="shared" si="14"/>
        <v>735</v>
      </c>
      <c r="J151" s="12">
        <f t="shared" si="15"/>
        <v>-12.45699999999988</v>
      </c>
      <c r="M151" s="31">
        <f t="shared" si="17"/>
        <v>726.0841989652381</v>
      </c>
      <c r="N151" s="12">
        <f t="shared" si="16"/>
        <v>-12.45699999999988</v>
      </c>
    </row>
    <row r="152" spans="3:16" x14ac:dyDescent="0.25">
      <c r="C152" t="s">
        <v>266</v>
      </c>
      <c r="D152" s="35">
        <v>740</v>
      </c>
      <c r="E152" s="36">
        <v>3524.1280000000002</v>
      </c>
      <c r="I152">
        <f t="shared" si="14"/>
        <v>740</v>
      </c>
      <c r="J152" s="12">
        <f t="shared" si="15"/>
        <v>-13.099999999999909</v>
      </c>
      <c r="M152" s="31">
        <f t="shared" si="17"/>
        <v>731.04268169688089</v>
      </c>
      <c r="N152" s="12">
        <f t="shared" si="16"/>
        <v>-13.099999999999909</v>
      </c>
    </row>
    <row r="153" spans="3:16" x14ac:dyDescent="0.25">
      <c r="C153" t="s">
        <v>267</v>
      </c>
      <c r="D153" s="35">
        <v>745</v>
      </c>
      <c r="E153" s="36">
        <v>3522.933</v>
      </c>
      <c r="I153">
        <f t="shared" si="14"/>
        <v>745</v>
      </c>
      <c r="J153" s="12">
        <f t="shared" si="15"/>
        <v>-14.295000000000073</v>
      </c>
      <c r="M153" s="31">
        <f t="shared" si="17"/>
        <v>735.89777953317628</v>
      </c>
      <c r="N153" s="12">
        <f t="shared" si="16"/>
        <v>-14.295000000000073</v>
      </c>
    </row>
    <row r="154" spans="3:16" x14ac:dyDescent="0.25">
      <c r="C154" t="s">
        <v>268</v>
      </c>
      <c r="D154" s="35">
        <v>750</v>
      </c>
      <c r="E154" s="36">
        <v>3522.0610000000001</v>
      </c>
      <c r="I154">
        <f t="shared" si="14"/>
        <v>750</v>
      </c>
      <c r="J154" s="12">
        <f t="shared" si="15"/>
        <v>-15.166999999999916</v>
      </c>
      <c r="M154" s="31">
        <f t="shared" si="17"/>
        <v>740.8211539857241</v>
      </c>
      <c r="N154" s="12">
        <f t="shared" si="16"/>
        <v>-15.166999999999916</v>
      </c>
    </row>
    <row r="155" spans="3:16" x14ac:dyDescent="0.25">
      <c r="C155" t="s">
        <v>269</v>
      </c>
      <c r="D155" s="35">
        <v>755</v>
      </c>
      <c r="E155" s="36">
        <v>3521.1869999999999</v>
      </c>
      <c r="I155">
        <f t="shared" si="14"/>
        <v>755</v>
      </c>
      <c r="J155" s="12">
        <f t="shared" si="15"/>
        <v>-16.041000000000167</v>
      </c>
      <c r="M155" s="31">
        <f t="shared" si="17"/>
        <v>745.7441737906812</v>
      </c>
      <c r="N155" s="12">
        <f t="shared" si="16"/>
        <v>-16.041000000000167</v>
      </c>
    </row>
    <row r="156" spans="3:16" x14ac:dyDescent="0.25">
      <c r="C156" t="s">
        <v>270</v>
      </c>
      <c r="D156" s="35">
        <v>760</v>
      </c>
      <c r="E156" s="36">
        <v>3520.3090000000002</v>
      </c>
      <c r="I156">
        <f t="shared" si="14"/>
        <v>760</v>
      </c>
      <c r="J156" s="12">
        <f t="shared" si="15"/>
        <v>-16.918999999999869</v>
      </c>
      <c r="M156" s="31">
        <f t="shared" si="17"/>
        <v>750.66648178592084</v>
      </c>
      <c r="N156" s="12">
        <f t="shared" si="16"/>
        <v>-16.918999999999869</v>
      </c>
    </row>
    <row r="157" spans="3:16" x14ac:dyDescent="0.25">
      <c r="C157" t="s">
        <v>271</v>
      </c>
      <c r="D157" s="35">
        <v>765</v>
      </c>
      <c r="E157" s="36">
        <v>3520.1930000000002</v>
      </c>
      <c r="I157">
        <f t="shared" si="14"/>
        <v>765</v>
      </c>
      <c r="J157" s="12">
        <f t="shared" si="15"/>
        <v>-17.034999999999854</v>
      </c>
      <c r="M157" s="31">
        <f t="shared" si="17"/>
        <v>755.66513600480812</v>
      </c>
      <c r="N157" s="12">
        <f t="shared" si="16"/>
        <v>-17.034999999999854</v>
      </c>
    </row>
    <row r="158" spans="3:16" x14ac:dyDescent="0.25">
      <c r="C158" t="s">
        <v>272</v>
      </c>
      <c r="D158" s="35">
        <v>770</v>
      </c>
      <c r="E158" s="36">
        <v>3520.998</v>
      </c>
      <c r="I158">
        <f t="shared" si="14"/>
        <v>770</v>
      </c>
      <c r="J158" s="12">
        <f t="shared" si="15"/>
        <v>-16.230000000000018</v>
      </c>
      <c r="M158" s="31">
        <f t="shared" si="17"/>
        <v>760.59990803601693</v>
      </c>
      <c r="N158" s="12">
        <f t="shared" si="16"/>
        <v>-16.230000000000018</v>
      </c>
    </row>
    <row r="159" spans="3:16" x14ac:dyDescent="0.25">
      <c r="C159" t="s">
        <v>273</v>
      </c>
      <c r="D159" s="35">
        <v>775</v>
      </c>
      <c r="E159" s="36">
        <v>3518.8420000000001</v>
      </c>
      <c r="I159">
        <f t="shared" si="14"/>
        <v>775</v>
      </c>
      <c r="J159" s="12">
        <f t="shared" si="15"/>
        <v>-18.385999999999967</v>
      </c>
      <c r="M159" s="31">
        <f t="shared" si="17"/>
        <v>765.11118989375984</v>
      </c>
      <c r="N159" s="12">
        <f t="shared" si="16"/>
        <v>-18.385999999999967</v>
      </c>
    </row>
    <row r="160" spans="3:16" x14ac:dyDescent="0.25">
      <c r="C160" t="s">
        <v>274</v>
      </c>
      <c r="D160" s="35">
        <v>780</v>
      </c>
      <c r="E160" s="36">
        <v>3516.9810000000002</v>
      </c>
      <c r="I160">
        <f t="shared" si="14"/>
        <v>780</v>
      </c>
      <c r="J160" s="12">
        <f t="shared" si="15"/>
        <v>-20.246999999999844</v>
      </c>
      <c r="M160" s="31">
        <f t="shared" si="17"/>
        <v>769.75195265434138</v>
      </c>
      <c r="N160" s="12">
        <f t="shared" si="16"/>
        <v>-20.246999999999844</v>
      </c>
    </row>
    <row r="161" spans="3:14" x14ac:dyDescent="0.25">
      <c r="C161" t="s">
        <v>275</v>
      </c>
      <c r="D161" s="35">
        <v>785</v>
      </c>
      <c r="E161" s="36">
        <v>3516.5590000000002</v>
      </c>
      <c r="I161">
        <f t="shared" si="14"/>
        <v>785</v>
      </c>
      <c r="J161" s="12">
        <f t="shared" si="15"/>
        <v>-20.668999999999869</v>
      </c>
      <c r="M161" s="31">
        <f t="shared" si="17"/>
        <v>774.73411242697011</v>
      </c>
      <c r="N161" s="12">
        <f t="shared" si="16"/>
        <v>-20.668999999999869</v>
      </c>
    </row>
    <row r="162" spans="3:14" x14ac:dyDescent="0.25">
      <c r="C162" t="s">
        <v>276</v>
      </c>
      <c r="D162" s="35">
        <v>790</v>
      </c>
      <c r="E162" s="36">
        <v>3518.2170000000001</v>
      </c>
      <c r="I162">
        <f t="shared" si="14"/>
        <v>790</v>
      </c>
      <c r="J162" s="12">
        <f t="shared" si="15"/>
        <v>-19.010999999999967</v>
      </c>
      <c r="M162" s="31">
        <f t="shared" si="17"/>
        <v>779.4512128075005</v>
      </c>
      <c r="N162" s="12">
        <f t="shared" si="16"/>
        <v>-19.010999999999967</v>
      </c>
    </row>
    <row r="163" spans="3:14" x14ac:dyDescent="0.25">
      <c r="C163" t="s">
        <v>277</v>
      </c>
      <c r="D163" s="35">
        <v>795</v>
      </c>
      <c r="E163" s="36">
        <v>3519.8139999999999</v>
      </c>
      <c r="I163">
        <f t="shared" si="14"/>
        <v>795</v>
      </c>
      <c r="J163" s="12">
        <f t="shared" si="15"/>
        <v>-17.414000000000215</v>
      </c>
      <c r="M163" s="31">
        <f t="shared" si="17"/>
        <v>784.18931274312877</v>
      </c>
      <c r="N163" s="12">
        <f t="shared" si="16"/>
        <v>-17.414000000000215</v>
      </c>
    </row>
    <row r="164" spans="3:14" x14ac:dyDescent="0.25">
      <c r="C164" t="s">
        <v>278</v>
      </c>
      <c r="D164" s="35">
        <v>800</v>
      </c>
      <c r="E164" s="36">
        <v>3517.5439999999999</v>
      </c>
      <c r="I164">
        <f t="shared" si="14"/>
        <v>800</v>
      </c>
      <c r="J164" s="12">
        <f t="shared" si="15"/>
        <v>-19.684000000000196</v>
      </c>
      <c r="M164" s="31">
        <f t="shared" si="17"/>
        <v>788.64432116062926</v>
      </c>
      <c r="N164" s="12">
        <f t="shared" si="16"/>
        <v>-19.684000000000196</v>
      </c>
    </row>
    <row r="165" spans="3:14" x14ac:dyDescent="0.25">
      <c r="C165" t="s">
        <v>279</v>
      </c>
      <c r="D165" s="35">
        <v>805</v>
      </c>
      <c r="E165" s="36">
        <v>3518.71</v>
      </c>
      <c r="I165">
        <f t="shared" si="14"/>
        <v>805</v>
      </c>
      <c r="J165" s="12">
        <f t="shared" si="15"/>
        <v>-18.518000000000029</v>
      </c>
      <c r="M165" s="31">
        <f t="shared" si="17"/>
        <v>793.506465132171</v>
      </c>
      <c r="N165" s="12">
        <f t="shared" si="16"/>
        <v>-18.518000000000029</v>
      </c>
    </row>
    <row r="166" spans="3:14" x14ac:dyDescent="0.25">
      <c r="C166" t="s">
        <v>280</v>
      </c>
      <c r="D166" s="35">
        <v>810</v>
      </c>
      <c r="E166" s="36">
        <v>3518.8119999999999</v>
      </c>
      <c r="I166">
        <f t="shared" si="14"/>
        <v>810</v>
      </c>
      <c r="J166" s="12">
        <f t="shared" si="15"/>
        <v>-18.416000000000167</v>
      </c>
      <c r="M166" s="31">
        <f t="shared" si="17"/>
        <v>798.50542462390524</v>
      </c>
      <c r="N166" s="12">
        <f t="shared" si="16"/>
        <v>-18.416000000000167</v>
      </c>
    </row>
    <row r="167" spans="3:14" x14ac:dyDescent="0.25">
      <c r="C167" t="s">
        <v>281</v>
      </c>
      <c r="D167" s="35">
        <v>815</v>
      </c>
      <c r="E167" s="36">
        <v>3518.6379999999999</v>
      </c>
      <c r="I167">
        <f t="shared" si="14"/>
        <v>815</v>
      </c>
      <c r="J167" s="12">
        <f t="shared" si="15"/>
        <v>-18.590000000000146</v>
      </c>
      <c r="M167" s="31">
        <f t="shared" si="17"/>
        <v>803.5023961067136</v>
      </c>
      <c r="N167" s="12">
        <f t="shared" si="16"/>
        <v>-18.590000000000146</v>
      </c>
    </row>
    <row r="168" spans="3:14" x14ac:dyDescent="0.25">
      <c r="C168" t="s">
        <v>282</v>
      </c>
      <c r="D168" s="35">
        <v>820</v>
      </c>
      <c r="E168" s="36">
        <v>3517.0479999999998</v>
      </c>
      <c r="I168">
        <f t="shared" si="14"/>
        <v>820</v>
      </c>
      <c r="J168" s="12">
        <f t="shared" si="15"/>
        <v>-20.180000000000291</v>
      </c>
      <c r="M168" s="31">
        <f t="shared" si="17"/>
        <v>808.24284967151095</v>
      </c>
      <c r="N168" s="12">
        <f t="shared" si="16"/>
        <v>-20.180000000000291</v>
      </c>
    </row>
    <row r="169" spans="3:14" x14ac:dyDescent="0.25">
      <c r="C169" t="s">
        <v>283</v>
      </c>
      <c r="D169" s="35">
        <v>825</v>
      </c>
      <c r="E169" s="36">
        <v>3517.0129999999999</v>
      </c>
      <c r="I169">
        <f t="shared" si="14"/>
        <v>825</v>
      </c>
      <c r="J169" s="12">
        <f t="shared" si="15"/>
        <v>-20.215000000000146</v>
      </c>
      <c r="M169" s="31">
        <f t="shared" si="17"/>
        <v>813.24272717001031</v>
      </c>
      <c r="N169" s="12">
        <f t="shared" si="16"/>
        <v>-20.215000000000146</v>
      </c>
    </row>
    <row r="170" spans="3:14" x14ac:dyDescent="0.25">
      <c r="C170" t="s">
        <v>284</v>
      </c>
      <c r="D170" s="35">
        <v>830</v>
      </c>
      <c r="E170" s="36">
        <v>3517.136</v>
      </c>
      <c r="I170">
        <f t="shared" si="14"/>
        <v>830</v>
      </c>
      <c r="J170" s="12">
        <f t="shared" si="15"/>
        <v>-20.092000000000098</v>
      </c>
      <c r="M170" s="31">
        <f t="shared" si="17"/>
        <v>818.24121404105438</v>
      </c>
      <c r="N170" s="12">
        <f t="shared" si="16"/>
        <v>-20.092000000000098</v>
      </c>
    </row>
    <row r="171" spans="3:14" x14ac:dyDescent="0.25">
      <c r="C171" t="s">
        <v>285</v>
      </c>
      <c r="D171" s="35">
        <v>835</v>
      </c>
      <c r="E171" s="36">
        <v>3516.8539999999998</v>
      </c>
      <c r="I171">
        <f t="shared" si="14"/>
        <v>835</v>
      </c>
      <c r="J171" s="12">
        <f t="shared" si="15"/>
        <v>-20.374000000000251</v>
      </c>
      <c r="M171" s="31">
        <f t="shared" si="17"/>
        <v>823.23325530690943</v>
      </c>
      <c r="N171" s="12">
        <f t="shared" si="16"/>
        <v>-20.374000000000251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5A4E-DA0B-4732-9C49-2B31A28A6461}">
  <dimension ref="A1:X419"/>
  <sheetViews>
    <sheetView topLeftCell="H115" workbookViewId="0">
      <selection activeCell="K6" sqref="K6"/>
    </sheetView>
  </sheetViews>
  <sheetFormatPr defaultRowHeight="15" x14ac:dyDescent="0.25"/>
  <cols>
    <col min="8" max="8" width="11.5703125" customWidth="1"/>
    <col min="11" max="11" width="16.7109375" style="12" bestFit="1" customWidth="1"/>
    <col min="13" max="14" width="17.5703125" style="12" bestFit="1" customWidth="1"/>
    <col min="18" max="18" width="17.5703125" style="12" bestFit="1" customWidth="1"/>
  </cols>
  <sheetData>
    <row r="1" spans="1:18" x14ac:dyDescent="0.25">
      <c r="A1" s="1" t="s">
        <v>296</v>
      </c>
    </row>
    <row r="2" spans="1:18" s="1" customFormat="1" x14ac:dyDescent="0.25">
      <c r="A2" s="1" t="s">
        <v>216</v>
      </c>
      <c r="B2" s="1" t="s">
        <v>294</v>
      </c>
      <c r="C2" s="146" t="s">
        <v>286</v>
      </c>
      <c r="D2" s="146"/>
      <c r="E2" s="146"/>
      <c r="F2" s="150" t="s">
        <v>292</v>
      </c>
      <c r="G2" s="150"/>
      <c r="H2" s="146" t="s">
        <v>297</v>
      </c>
      <c r="I2" s="146"/>
      <c r="J2" s="146"/>
      <c r="K2" s="21" t="s">
        <v>292</v>
      </c>
      <c r="M2" s="21" t="s">
        <v>293</v>
      </c>
      <c r="N2" s="21"/>
      <c r="Q2" s="21"/>
      <c r="R2" s="21"/>
    </row>
    <row r="3" spans="1:18" s="1" customFormat="1" x14ac:dyDescent="0.25">
      <c r="A3" s="1" t="s">
        <v>4</v>
      </c>
      <c r="B3" s="1" t="s">
        <v>295</v>
      </c>
      <c r="C3" s="1" t="s">
        <v>237</v>
      </c>
      <c r="D3" s="33" t="s">
        <v>2</v>
      </c>
      <c r="E3" s="34" t="s">
        <v>3</v>
      </c>
      <c r="F3" s="21" t="s">
        <v>2</v>
      </c>
      <c r="G3" s="1" t="s">
        <v>3</v>
      </c>
      <c r="H3" s="1" t="s">
        <v>230</v>
      </c>
      <c r="I3" s="1" t="s">
        <v>2</v>
      </c>
      <c r="J3" s="1" t="s">
        <v>3</v>
      </c>
      <c r="K3" s="21" t="s">
        <v>2</v>
      </c>
      <c r="L3" s="1" t="s">
        <v>3</v>
      </c>
      <c r="M3" s="21" t="s">
        <v>2</v>
      </c>
      <c r="N3" s="21" t="s">
        <v>3</v>
      </c>
      <c r="Q3" s="21"/>
      <c r="R3" s="21"/>
    </row>
    <row r="4" spans="1:18" x14ac:dyDescent="0.25">
      <c r="C4" t="s">
        <v>5</v>
      </c>
      <c r="D4" s="35">
        <v>0</v>
      </c>
      <c r="E4" s="36">
        <v>3536.2440000000001</v>
      </c>
      <c r="F4" s="12">
        <v>0</v>
      </c>
      <c r="G4" s="12">
        <v>-0.9839999999999236</v>
      </c>
      <c r="K4" s="12">
        <v>0</v>
      </c>
      <c r="L4" s="12">
        <v>-0.9839999999999236</v>
      </c>
      <c r="O4" s="12"/>
      <c r="P4" s="12"/>
      <c r="Q4" s="21"/>
    </row>
    <row r="5" spans="1:18" x14ac:dyDescent="0.25">
      <c r="C5" t="s">
        <v>6</v>
      </c>
      <c r="D5" s="35">
        <v>5</v>
      </c>
      <c r="E5" s="36">
        <v>3536.2660000000001</v>
      </c>
      <c r="F5" s="31">
        <v>4.9999515997657422</v>
      </c>
      <c r="G5" s="12">
        <v>-0.96199999999998909</v>
      </c>
      <c r="K5" s="31">
        <v>4.9999515997657422</v>
      </c>
      <c r="L5" s="12">
        <v>-0.96199999999998909</v>
      </c>
      <c r="O5" s="12"/>
      <c r="P5" s="12"/>
      <c r="Q5" s="21"/>
    </row>
    <row r="6" spans="1:18" x14ac:dyDescent="0.25">
      <c r="C6" t="s">
        <v>7</v>
      </c>
      <c r="D6" s="35">
        <v>10</v>
      </c>
      <c r="E6" s="36">
        <v>3536.4780000000001</v>
      </c>
      <c r="F6" s="31">
        <v>9.9954551779848586</v>
      </c>
      <c r="G6" s="12">
        <v>-0.75</v>
      </c>
      <c r="K6" s="31">
        <v>9.9954551779848586</v>
      </c>
      <c r="L6" s="12">
        <v>-0.75</v>
      </c>
      <c r="O6" s="12"/>
      <c r="P6" s="12"/>
      <c r="Q6" s="21"/>
    </row>
    <row r="7" spans="1:18" x14ac:dyDescent="0.25">
      <c r="C7" t="s">
        <v>8</v>
      </c>
      <c r="D7" s="35">
        <v>15</v>
      </c>
      <c r="E7" s="36">
        <v>3536.152</v>
      </c>
      <c r="F7" s="31">
        <v>14.984816259325834</v>
      </c>
      <c r="G7" s="12">
        <v>-1.0760000000000218</v>
      </c>
      <c r="K7" s="31">
        <v>14.984816259325834</v>
      </c>
      <c r="L7" s="12">
        <v>-1.0760000000000218</v>
      </c>
      <c r="O7" s="12"/>
      <c r="P7" s="12"/>
      <c r="Q7" s="21"/>
    </row>
    <row r="8" spans="1:18" x14ac:dyDescent="0.25">
      <c r="C8" t="s">
        <v>9</v>
      </c>
      <c r="D8" s="35">
        <v>20</v>
      </c>
      <c r="E8" s="36">
        <v>3535.8090000000002</v>
      </c>
      <c r="F8" s="31">
        <v>19.973037485374263</v>
      </c>
      <c r="G8" s="12">
        <v>-1.418999999999869</v>
      </c>
      <c r="K8" s="31">
        <v>19.973037485374263</v>
      </c>
      <c r="L8" s="12">
        <v>-1.418999999999869</v>
      </c>
      <c r="O8" s="12"/>
      <c r="P8" s="12"/>
      <c r="Q8" s="21"/>
    </row>
    <row r="9" spans="1:18" x14ac:dyDescent="0.25">
      <c r="C9" t="s">
        <v>10</v>
      </c>
      <c r="D9" s="35">
        <v>25</v>
      </c>
      <c r="E9" s="36">
        <v>3536.2440000000001</v>
      </c>
      <c r="F9" s="31">
        <v>24.954079043121002</v>
      </c>
      <c r="G9" s="12">
        <v>-0.9839999999999236</v>
      </c>
      <c r="K9" s="31">
        <v>24.954079043121002</v>
      </c>
      <c r="L9" s="12">
        <v>-0.9839999999999236</v>
      </c>
      <c r="O9" s="12"/>
      <c r="P9" s="12"/>
      <c r="Q9" s="21"/>
    </row>
    <row r="10" spans="1:18" x14ac:dyDescent="0.25">
      <c r="C10" t="s">
        <v>11</v>
      </c>
      <c r="D10" s="35">
        <v>30</v>
      </c>
      <c r="E10" s="36">
        <v>3535.9740000000002</v>
      </c>
      <c r="F10" s="31">
        <v>29.946783720948442</v>
      </c>
      <c r="G10" s="12">
        <v>-1.2539999999999054</v>
      </c>
      <c r="K10" s="31">
        <v>29.946783720948442</v>
      </c>
      <c r="L10" s="12">
        <v>-1.2539999999999054</v>
      </c>
      <c r="O10" s="12"/>
      <c r="P10" s="12"/>
      <c r="Q10" s="21"/>
    </row>
    <row r="11" spans="1:18" x14ac:dyDescent="0.25">
      <c r="C11" t="s">
        <v>12</v>
      </c>
      <c r="D11" s="35">
        <v>35</v>
      </c>
      <c r="E11" s="36">
        <v>3535.8609999999999</v>
      </c>
      <c r="F11" s="31">
        <v>34.945506657859426</v>
      </c>
      <c r="G11" s="12">
        <v>-1.3670000000001892</v>
      </c>
      <c r="K11" s="31">
        <v>34.945506657859426</v>
      </c>
      <c r="L11" s="12">
        <v>-1.3670000000001892</v>
      </c>
      <c r="O11" s="12"/>
      <c r="P11" s="12"/>
      <c r="Q11" s="21"/>
    </row>
    <row r="12" spans="1:18" x14ac:dyDescent="0.25">
      <c r="C12" t="s">
        <v>13</v>
      </c>
      <c r="D12" s="35">
        <v>40</v>
      </c>
      <c r="E12" s="36">
        <v>3535.9160000000002</v>
      </c>
      <c r="F12" s="31">
        <v>39.945204148708243</v>
      </c>
      <c r="G12" s="12">
        <v>-1.3119999999998981</v>
      </c>
      <c r="K12" s="31">
        <v>39.945204148708243</v>
      </c>
      <c r="L12" s="12">
        <v>-1.3119999999998981</v>
      </c>
      <c r="O12" s="12"/>
      <c r="P12" s="12"/>
      <c r="Q12" s="21"/>
    </row>
    <row r="13" spans="1:18" x14ac:dyDescent="0.25">
      <c r="C13" t="s">
        <v>14</v>
      </c>
      <c r="D13" s="35">
        <v>45</v>
      </c>
      <c r="E13" s="36">
        <v>3536.297</v>
      </c>
      <c r="F13" s="31">
        <v>44.930666915593591</v>
      </c>
      <c r="G13" s="12">
        <v>-0.93100000000004002</v>
      </c>
      <c r="K13" s="31">
        <v>44.930666915593591</v>
      </c>
      <c r="L13" s="12">
        <v>-0.93100000000004002</v>
      </c>
      <c r="O13" s="12"/>
      <c r="P13" s="12"/>
      <c r="Q13" s="21"/>
    </row>
    <row r="14" spans="1:18" x14ac:dyDescent="0.25">
      <c r="C14" t="s">
        <v>15</v>
      </c>
      <c r="D14" s="35">
        <v>50</v>
      </c>
      <c r="E14" s="36">
        <v>3536.002</v>
      </c>
      <c r="F14" s="31">
        <v>49.921956829032794</v>
      </c>
      <c r="G14" s="12">
        <v>-1.2260000000001128</v>
      </c>
      <c r="K14" s="31">
        <v>49.921956829032794</v>
      </c>
      <c r="L14" s="12">
        <v>-1.2260000000001128</v>
      </c>
      <c r="O14" s="12"/>
      <c r="P14" s="12"/>
      <c r="Q14" s="21"/>
    </row>
    <row r="15" spans="1:18" x14ac:dyDescent="0.25">
      <c r="C15" t="s">
        <v>16</v>
      </c>
      <c r="D15" s="35">
        <v>55</v>
      </c>
      <c r="E15" s="36">
        <v>3536.6579999999999</v>
      </c>
      <c r="F15" s="31">
        <v>54.878736428732587</v>
      </c>
      <c r="G15" s="12">
        <v>-0.57000000000016371</v>
      </c>
      <c r="K15" s="31">
        <v>54.878736428732587</v>
      </c>
      <c r="L15" s="12">
        <v>-0.57000000000016371</v>
      </c>
      <c r="O15" s="12"/>
      <c r="P15" s="12"/>
      <c r="Q15" s="21"/>
    </row>
    <row r="16" spans="1:18" x14ac:dyDescent="0.25">
      <c r="C16" t="s">
        <v>17</v>
      </c>
      <c r="D16" s="35">
        <v>60</v>
      </c>
      <c r="E16" s="36">
        <v>3536.8939999999998</v>
      </c>
      <c r="F16" s="31">
        <v>59.873163723227933</v>
      </c>
      <c r="G16" s="12">
        <v>-0.3340000000002874</v>
      </c>
      <c r="K16" s="31">
        <v>59.873163723227933</v>
      </c>
      <c r="L16" s="12">
        <v>-0.3340000000002874</v>
      </c>
      <c r="O16" s="12"/>
      <c r="P16" s="12"/>
      <c r="Q16" s="21"/>
    </row>
    <row r="17" spans="3:17" x14ac:dyDescent="0.25">
      <c r="C17" t="s">
        <v>18</v>
      </c>
      <c r="D17" s="35">
        <v>65</v>
      </c>
      <c r="E17" s="36">
        <v>3537.0030000000002</v>
      </c>
      <c r="F17" s="31">
        <v>64.871975482036206</v>
      </c>
      <c r="G17" s="12">
        <v>-0.22499999999990905</v>
      </c>
      <c r="K17" s="31">
        <v>64.871975482036206</v>
      </c>
      <c r="L17" s="12">
        <v>-0.22499999999990905</v>
      </c>
      <c r="O17" s="12"/>
      <c r="P17" s="12"/>
      <c r="Q17" s="21"/>
    </row>
    <row r="18" spans="3:17" x14ac:dyDescent="0.25">
      <c r="C18" t="s">
        <v>19</v>
      </c>
      <c r="D18" s="35">
        <v>70</v>
      </c>
      <c r="E18" s="36">
        <v>3536.123</v>
      </c>
      <c r="F18" s="31">
        <v>69.793926314785324</v>
      </c>
      <c r="G18" s="12">
        <v>-1.1050000000000182</v>
      </c>
      <c r="K18" s="31">
        <v>69.793926314785324</v>
      </c>
      <c r="L18" s="12">
        <v>-1.1050000000000182</v>
      </c>
      <c r="O18" s="12"/>
      <c r="P18" s="12"/>
      <c r="Q18" s="21"/>
    </row>
    <row r="19" spans="3:17" x14ac:dyDescent="0.25">
      <c r="C19" t="s">
        <v>20</v>
      </c>
      <c r="D19" s="35">
        <v>75</v>
      </c>
      <c r="E19" s="36">
        <v>3536.578</v>
      </c>
      <c r="F19" s="31">
        <v>74.773180777051749</v>
      </c>
      <c r="G19" s="12">
        <v>-0.65000000000009095</v>
      </c>
      <c r="K19" s="31">
        <v>74.773180777051749</v>
      </c>
      <c r="L19" s="12">
        <v>-0.65000000000009095</v>
      </c>
      <c r="O19" s="12"/>
      <c r="P19" s="12"/>
      <c r="Q19" s="21"/>
    </row>
    <row r="20" spans="3:17" x14ac:dyDescent="0.25">
      <c r="C20" t="s">
        <v>21</v>
      </c>
      <c r="D20" s="35">
        <v>80</v>
      </c>
      <c r="E20" s="36">
        <v>3537.2280000000001</v>
      </c>
      <c r="F20" s="31">
        <v>79.730750746300785</v>
      </c>
      <c r="G20" s="12">
        <v>0</v>
      </c>
      <c r="K20" s="31">
        <v>79.730750746300785</v>
      </c>
      <c r="L20" s="12">
        <v>0</v>
      </c>
      <c r="O20" s="12"/>
      <c r="P20" s="12"/>
      <c r="Q20" s="21"/>
    </row>
    <row r="21" spans="3:17" x14ac:dyDescent="0.25">
      <c r="C21" t="s">
        <v>22</v>
      </c>
      <c r="D21" s="35">
        <v>85</v>
      </c>
      <c r="E21" s="36">
        <v>3536.6190000000001</v>
      </c>
      <c r="F21" s="31">
        <v>84.693524063711138</v>
      </c>
      <c r="G21" s="12">
        <v>-0.6089999999999236</v>
      </c>
      <c r="K21" s="31">
        <v>84.693524063711138</v>
      </c>
      <c r="L21" s="12">
        <v>-0.6089999999999236</v>
      </c>
      <c r="O21" s="12"/>
      <c r="P21" s="12"/>
      <c r="Q21" s="21"/>
    </row>
    <row r="22" spans="3:17" x14ac:dyDescent="0.25">
      <c r="C22" t="s">
        <v>23</v>
      </c>
      <c r="D22" s="35">
        <v>90</v>
      </c>
      <c r="E22" s="36">
        <v>3535.9690000000001</v>
      </c>
      <c r="F22" s="31">
        <v>89.651094032960174</v>
      </c>
      <c r="G22" s="12">
        <v>-1.2590000000000146</v>
      </c>
      <c r="K22" s="31">
        <v>89.651094032960174</v>
      </c>
      <c r="L22" s="12">
        <v>-1.2590000000000146</v>
      </c>
      <c r="O22" s="12"/>
      <c r="P22" s="12"/>
      <c r="Q22" s="21"/>
    </row>
    <row r="23" spans="3:17" x14ac:dyDescent="0.25">
      <c r="C23" t="s">
        <v>24</v>
      </c>
      <c r="D23" s="35">
        <v>95</v>
      </c>
      <c r="E23" s="36">
        <v>3536.3519999999999</v>
      </c>
      <c r="F23" s="31">
        <v>94.636403551936922</v>
      </c>
      <c r="G23" s="12">
        <v>-0.87600000000020373</v>
      </c>
      <c r="K23" s="31">
        <v>94.636403551936922</v>
      </c>
      <c r="L23" s="12">
        <v>-0.87600000000020373</v>
      </c>
      <c r="O23" s="12"/>
      <c r="P23" s="12"/>
      <c r="Q23" s="21"/>
    </row>
    <row r="24" spans="3:17" x14ac:dyDescent="0.25">
      <c r="C24" t="s">
        <v>25</v>
      </c>
      <c r="D24" s="35">
        <v>100</v>
      </c>
      <c r="E24" s="36">
        <v>3535.9079999999999</v>
      </c>
      <c r="F24" s="31">
        <v>99.616650935350719</v>
      </c>
      <c r="G24" s="12">
        <v>-1.3200000000001637</v>
      </c>
      <c r="K24" s="31">
        <v>99.616650935350719</v>
      </c>
      <c r="L24" s="12">
        <v>-1.3200000000001637</v>
      </c>
      <c r="O24" s="12"/>
      <c r="P24" s="12"/>
      <c r="Q24" s="21"/>
    </row>
    <row r="25" spans="3:17" x14ac:dyDescent="0.25">
      <c r="C25" t="s">
        <v>26</v>
      </c>
      <c r="D25" s="35">
        <v>105</v>
      </c>
      <c r="E25" s="36">
        <v>3535.4569999999999</v>
      </c>
      <c r="F25" s="31">
        <v>104.5962692942212</v>
      </c>
      <c r="G25" s="12">
        <v>-1.7710000000001855</v>
      </c>
      <c r="K25" s="31">
        <v>104.5962692942212</v>
      </c>
      <c r="L25" s="12">
        <v>-1.7710000000001855</v>
      </c>
      <c r="O25" s="12"/>
      <c r="P25" s="12"/>
      <c r="Q25" s="21"/>
    </row>
    <row r="26" spans="3:17" x14ac:dyDescent="0.25">
      <c r="C26" t="s">
        <v>27</v>
      </c>
      <c r="D26" s="35">
        <v>110</v>
      </c>
      <c r="E26" s="36">
        <v>3534.277</v>
      </c>
      <c r="F26" s="31">
        <v>109.4550345694738</v>
      </c>
      <c r="G26" s="12">
        <v>-2.9510000000000218</v>
      </c>
      <c r="K26" s="31">
        <v>109.4550345694738</v>
      </c>
      <c r="L26" s="12">
        <v>-2.9510000000000218</v>
      </c>
      <c r="O26" s="12"/>
      <c r="P26" s="12"/>
      <c r="Q26" s="21"/>
    </row>
    <row r="27" spans="3:17" x14ac:dyDescent="0.25">
      <c r="C27" t="s">
        <v>28</v>
      </c>
      <c r="D27" s="35">
        <v>115</v>
      </c>
      <c r="E27" s="36">
        <v>3534.712</v>
      </c>
      <c r="F27" s="31">
        <v>114.43607612722053</v>
      </c>
      <c r="G27" s="12">
        <v>-2.5160000000000764</v>
      </c>
      <c r="K27" s="31">
        <v>114.43607612722053</v>
      </c>
      <c r="L27" s="12">
        <v>-2.5160000000000764</v>
      </c>
      <c r="O27" s="12"/>
      <c r="P27" s="12"/>
      <c r="Q27" s="21"/>
    </row>
    <row r="28" spans="3:17" x14ac:dyDescent="0.25">
      <c r="C28" t="s">
        <v>29</v>
      </c>
      <c r="D28" s="35">
        <v>120</v>
      </c>
      <c r="E28" s="36">
        <v>3535.212</v>
      </c>
      <c r="F28" s="31">
        <v>119.41101331275362</v>
      </c>
      <c r="G28" s="12">
        <v>-2.0160000000000764</v>
      </c>
      <c r="K28" s="31">
        <v>119.41101331275362</v>
      </c>
      <c r="L28" s="12">
        <v>-2.0160000000000764</v>
      </c>
      <c r="O28" s="12"/>
      <c r="P28" s="12"/>
      <c r="Q28" s="21"/>
    </row>
    <row r="29" spans="3:17" x14ac:dyDescent="0.25">
      <c r="C29" t="s">
        <v>30</v>
      </c>
      <c r="D29" s="35">
        <v>125</v>
      </c>
      <c r="E29" s="36">
        <v>3534.9140000000002</v>
      </c>
      <c r="F29" s="31">
        <v>124.40212501256562</v>
      </c>
      <c r="G29" s="12">
        <v>-2.3139999999998508</v>
      </c>
      <c r="K29" s="31">
        <v>124.40212501256562</v>
      </c>
      <c r="L29" s="12">
        <v>-2.3139999999998508</v>
      </c>
      <c r="O29" s="12"/>
      <c r="P29" s="12"/>
      <c r="Q29" s="21"/>
    </row>
    <row r="30" spans="3:17" x14ac:dyDescent="0.25">
      <c r="C30" t="s">
        <v>31</v>
      </c>
      <c r="D30" s="35">
        <v>130</v>
      </c>
      <c r="E30" s="36">
        <v>3534.1129999999998</v>
      </c>
      <c r="F30" s="31">
        <v>129.33754789211702</v>
      </c>
      <c r="G30" s="12">
        <v>-3.1150000000002365</v>
      </c>
      <c r="K30" s="31">
        <v>129.33754789211702</v>
      </c>
      <c r="L30" s="12">
        <v>-3.1150000000002365</v>
      </c>
      <c r="O30" s="12"/>
      <c r="P30" s="12"/>
      <c r="Q30" s="21"/>
    </row>
    <row r="31" spans="3:17" x14ac:dyDescent="0.25">
      <c r="C31" t="s">
        <v>32</v>
      </c>
      <c r="D31" s="35">
        <v>135</v>
      </c>
      <c r="E31" s="36">
        <v>3532.7489999999998</v>
      </c>
      <c r="F31" s="31">
        <v>134.14790172525653</v>
      </c>
      <c r="G31" s="12">
        <v>-4.4790000000002692</v>
      </c>
      <c r="K31" s="31">
        <v>134.14790172525653</v>
      </c>
      <c r="L31" s="12">
        <v>-4.4790000000002692</v>
      </c>
      <c r="O31" s="12"/>
      <c r="P31" s="12"/>
      <c r="Q31" s="21"/>
    </row>
    <row r="32" spans="3:17" x14ac:dyDescent="0.25">
      <c r="C32" t="s">
        <v>33</v>
      </c>
      <c r="D32" s="35">
        <v>140</v>
      </c>
      <c r="E32" s="36">
        <v>3533.7660000000001</v>
      </c>
      <c r="F32" s="31">
        <v>139.04338035354198</v>
      </c>
      <c r="G32" s="12">
        <v>-3.4619999999999891</v>
      </c>
      <c r="K32" s="31">
        <v>139.04338035354198</v>
      </c>
      <c r="L32" s="12">
        <v>-3.4619999999999891</v>
      </c>
      <c r="O32" s="12"/>
      <c r="P32" s="12"/>
      <c r="Q32" s="21"/>
    </row>
    <row r="33" spans="3:17" x14ac:dyDescent="0.25">
      <c r="C33" t="s">
        <v>34</v>
      </c>
      <c r="D33" s="35">
        <v>145</v>
      </c>
      <c r="E33" s="36">
        <v>3533.0859999999998</v>
      </c>
      <c r="F33" s="31">
        <v>143.996924539274</v>
      </c>
      <c r="G33" s="12">
        <v>-4.1420000000002801</v>
      </c>
      <c r="K33" s="31">
        <v>143.996924539274</v>
      </c>
      <c r="L33" s="12">
        <v>-4.1420000000002801</v>
      </c>
      <c r="O33" s="12"/>
      <c r="P33" s="12"/>
      <c r="Q33" s="21"/>
    </row>
    <row r="34" spans="3:17" x14ac:dyDescent="0.25">
      <c r="C34" t="s">
        <v>35</v>
      </c>
      <c r="D34" s="35">
        <v>150</v>
      </c>
      <c r="E34" s="36">
        <v>3532.7739999999999</v>
      </c>
      <c r="F34" s="31">
        <v>148.9871806449263</v>
      </c>
      <c r="G34" s="12">
        <v>-4.4540000000001783</v>
      </c>
      <c r="K34" s="31">
        <v>148.9871806449263</v>
      </c>
      <c r="L34" s="12">
        <v>-4.4540000000001783</v>
      </c>
      <c r="O34" s="12"/>
      <c r="P34" s="12"/>
      <c r="Q34" s="21"/>
    </row>
    <row r="35" spans="3:17" x14ac:dyDescent="0.25">
      <c r="C35" t="s">
        <v>36</v>
      </c>
      <c r="D35" s="35">
        <v>155</v>
      </c>
      <c r="E35" s="36">
        <v>3532.3359999999998</v>
      </c>
      <c r="F35" s="31">
        <v>153.96795929891204</v>
      </c>
      <c r="G35" s="12">
        <v>-4.8920000000002801</v>
      </c>
      <c r="K35" s="31">
        <v>153.96795929891204</v>
      </c>
      <c r="L35" s="12">
        <v>-4.8920000000002801</v>
      </c>
      <c r="O35" s="12"/>
      <c r="P35" s="12"/>
      <c r="Q35" s="21"/>
    </row>
    <row r="36" spans="3:17" x14ac:dyDescent="0.25">
      <c r="C36" t="s">
        <v>37</v>
      </c>
      <c r="D36" s="35">
        <v>160</v>
      </c>
      <c r="E36" s="36">
        <v>3531.8409999999999</v>
      </c>
      <c r="F36" s="31">
        <v>158.94339646563418</v>
      </c>
      <c r="G36" s="12">
        <v>-5.387000000000171</v>
      </c>
      <c r="K36" s="31">
        <v>158.94339646563418</v>
      </c>
      <c r="L36" s="12">
        <v>-5.387000000000171</v>
      </c>
      <c r="O36" s="12"/>
      <c r="P36" s="12"/>
      <c r="Q36" s="21"/>
    </row>
    <row r="37" spans="3:17" x14ac:dyDescent="0.25">
      <c r="C37" t="s">
        <v>38</v>
      </c>
      <c r="D37" s="35">
        <v>165</v>
      </c>
      <c r="E37" s="36">
        <v>3531.6759999999999</v>
      </c>
      <c r="F37" s="31">
        <v>163.94067322402969</v>
      </c>
      <c r="G37" s="12">
        <v>-5.5520000000001346</v>
      </c>
      <c r="K37" s="31">
        <v>163.94067322402969</v>
      </c>
      <c r="L37" s="12">
        <v>-5.5520000000001346</v>
      </c>
      <c r="O37" s="12"/>
      <c r="P37" s="12"/>
      <c r="Q37" s="21"/>
    </row>
    <row r="38" spans="3:17" x14ac:dyDescent="0.25">
      <c r="C38" t="s">
        <v>39</v>
      </c>
      <c r="D38" s="35">
        <v>170</v>
      </c>
      <c r="E38" s="36">
        <v>3531.8270000000002</v>
      </c>
      <c r="F38" s="31">
        <v>168.93839260390686</v>
      </c>
      <c r="G38" s="12">
        <v>-5.4009999999998399</v>
      </c>
      <c r="K38" s="31">
        <v>168.93839260390686</v>
      </c>
      <c r="L38" s="12">
        <v>-5.4009999999998399</v>
      </c>
      <c r="O38" s="12"/>
      <c r="P38" s="12"/>
      <c r="Q38" s="21"/>
    </row>
    <row r="39" spans="3:17" x14ac:dyDescent="0.25">
      <c r="C39" t="s">
        <v>40</v>
      </c>
      <c r="D39" s="35">
        <v>175</v>
      </c>
      <c r="E39" s="36">
        <v>3531.5680000000002</v>
      </c>
      <c r="F39" s="31">
        <v>173.93167999799905</v>
      </c>
      <c r="G39" s="12">
        <v>-5.6599999999998545</v>
      </c>
      <c r="K39" s="31">
        <v>173.93167999799905</v>
      </c>
      <c r="L39" s="12">
        <v>-5.6599999999998545</v>
      </c>
      <c r="O39" s="12"/>
      <c r="P39" s="12"/>
      <c r="Q39" s="21"/>
    </row>
    <row r="40" spans="3:17" x14ac:dyDescent="0.25">
      <c r="C40" t="s">
        <v>41</v>
      </c>
      <c r="D40" s="35">
        <v>180</v>
      </c>
      <c r="E40" s="36">
        <v>3531.4029999999998</v>
      </c>
      <c r="F40" s="31">
        <v>178.92895675639457</v>
      </c>
      <c r="G40" s="12">
        <v>-5.8250000000002728</v>
      </c>
      <c r="K40" s="31">
        <v>178.92895675639457</v>
      </c>
      <c r="L40" s="12">
        <v>-5.8250000000002728</v>
      </c>
      <c r="O40" s="12"/>
      <c r="P40" s="12"/>
      <c r="Q40" s="21"/>
    </row>
    <row r="41" spans="3:17" x14ac:dyDescent="0.25">
      <c r="C41" t="s">
        <v>42</v>
      </c>
      <c r="D41" s="35">
        <v>185</v>
      </c>
      <c r="E41" s="36">
        <v>3531.192</v>
      </c>
      <c r="F41" s="31">
        <v>183.92450267250825</v>
      </c>
      <c r="G41" s="12">
        <v>-6.0360000000000582</v>
      </c>
      <c r="K41" s="31">
        <v>183.92450267250825</v>
      </c>
      <c r="L41" s="12">
        <v>-6.0360000000000582</v>
      </c>
      <c r="O41" s="12"/>
      <c r="P41" s="12"/>
      <c r="Q41" s="21"/>
    </row>
    <row r="42" spans="3:17" x14ac:dyDescent="0.25">
      <c r="C42" t="s">
        <v>43</v>
      </c>
      <c r="D42" s="35">
        <v>190</v>
      </c>
      <c r="E42" s="36">
        <v>3531.9059999999999</v>
      </c>
      <c r="F42" s="31">
        <v>188.87326049644753</v>
      </c>
      <c r="G42" s="12">
        <v>-5.3220000000001164</v>
      </c>
      <c r="K42" s="31">
        <v>188.87326049644753</v>
      </c>
      <c r="L42" s="12">
        <v>-5.3220000000001164</v>
      </c>
      <c r="O42" s="12"/>
      <c r="P42" s="12"/>
      <c r="Q42" s="21"/>
    </row>
    <row r="43" spans="3:17" x14ac:dyDescent="0.25">
      <c r="C43" t="s">
        <v>44</v>
      </c>
      <c r="D43" s="35">
        <v>195</v>
      </c>
      <c r="E43" s="36">
        <v>3531.375</v>
      </c>
      <c r="F43" s="31">
        <v>193.84498444292726</v>
      </c>
      <c r="G43" s="12">
        <v>-5.8530000000000655</v>
      </c>
      <c r="K43" s="31">
        <v>193.84498444292726</v>
      </c>
      <c r="L43" s="12">
        <v>-5.8530000000000655</v>
      </c>
      <c r="O43" s="12"/>
      <c r="P43" s="12"/>
      <c r="Q43" s="21"/>
    </row>
    <row r="44" spans="3:17" x14ac:dyDescent="0.25">
      <c r="C44" t="s">
        <v>45</v>
      </c>
      <c r="D44" s="35">
        <v>200</v>
      </c>
      <c r="E44" s="36">
        <v>3531.34</v>
      </c>
      <c r="F44" s="31">
        <v>198.84486194142659</v>
      </c>
      <c r="G44" s="12">
        <v>-5.88799999999992</v>
      </c>
      <c r="K44" s="31">
        <v>198.84486194142659</v>
      </c>
      <c r="L44" s="12">
        <v>-5.88799999999992</v>
      </c>
      <c r="O44" s="12"/>
      <c r="P44" s="12"/>
      <c r="Q44" s="21"/>
    </row>
    <row r="45" spans="3:17" x14ac:dyDescent="0.25">
      <c r="C45" t="s">
        <v>46</v>
      </c>
      <c r="D45" s="35">
        <v>205</v>
      </c>
      <c r="E45" s="36">
        <v>3531.047</v>
      </c>
      <c r="F45" s="31">
        <v>203.83626965869433</v>
      </c>
      <c r="G45" s="12">
        <v>-6.18100000000004</v>
      </c>
      <c r="K45" s="31">
        <v>203.83626965869433</v>
      </c>
      <c r="L45" s="12">
        <v>-6.18100000000004</v>
      </c>
      <c r="O45" s="12"/>
      <c r="P45" s="12"/>
      <c r="Q45" s="21"/>
    </row>
    <row r="46" spans="3:17" x14ac:dyDescent="0.25">
      <c r="C46" t="s">
        <v>47</v>
      </c>
      <c r="D46" s="35">
        <v>210</v>
      </c>
      <c r="E46" s="36">
        <v>3531.9960000000001</v>
      </c>
      <c r="F46" s="31">
        <v>208.74538352985275</v>
      </c>
      <c r="G46" s="12">
        <v>-5.2319999999999709</v>
      </c>
      <c r="K46" s="31">
        <v>208.74538352985275</v>
      </c>
      <c r="L46" s="12">
        <v>-5.2319999999999709</v>
      </c>
      <c r="O46" s="12"/>
      <c r="P46" s="12"/>
      <c r="Q46" s="21"/>
    </row>
    <row r="47" spans="3:17" x14ac:dyDescent="0.25">
      <c r="C47" t="s">
        <v>48</v>
      </c>
      <c r="D47" s="35">
        <v>215</v>
      </c>
      <c r="E47" s="36">
        <v>3531.0059999999999</v>
      </c>
      <c r="F47" s="31">
        <v>213.64639362982189</v>
      </c>
      <c r="G47" s="12">
        <v>-6.2220000000002074</v>
      </c>
      <c r="K47" s="31">
        <v>213.64639362982189</v>
      </c>
      <c r="L47" s="12">
        <v>-6.2220000000002074</v>
      </c>
      <c r="O47" s="12"/>
      <c r="P47" s="12"/>
      <c r="Q47" s="21"/>
    </row>
    <row r="48" spans="3:17" x14ac:dyDescent="0.25">
      <c r="C48" t="s">
        <v>49</v>
      </c>
      <c r="D48" s="35">
        <v>220</v>
      </c>
      <c r="E48" s="36">
        <v>3530.6210000000001</v>
      </c>
      <c r="F48" s="31">
        <v>218.63154909379693</v>
      </c>
      <c r="G48" s="12">
        <v>-6.6069999999999709</v>
      </c>
      <c r="K48" s="31">
        <v>218.63154909379693</v>
      </c>
      <c r="L48" s="12">
        <v>-6.6069999999999709</v>
      </c>
      <c r="O48" s="12"/>
      <c r="P48" s="12"/>
      <c r="Q48" s="21"/>
    </row>
    <row r="49" spans="3:17" x14ac:dyDescent="0.25">
      <c r="C49" t="s">
        <v>50</v>
      </c>
      <c r="D49" s="35">
        <v>225</v>
      </c>
      <c r="E49" s="36">
        <v>3530.616</v>
      </c>
      <c r="F49" s="31">
        <v>223.63154659379632</v>
      </c>
      <c r="G49" s="12">
        <v>-6.61200000000008</v>
      </c>
      <c r="K49" s="31">
        <v>223.63154659379632</v>
      </c>
      <c r="L49" s="12">
        <v>-6.61200000000008</v>
      </c>
      <c r="O49" s="12"/>
      <c r="P49" s="12"/>
      <c r="Q49" s="21"/>
    </row>
    <row r="50" spans="3:17" x14ac:dyDescent="0.25">
      <c r="C50" t="s">
        <v>51</v>
      </c>
      <c r="D50" s="35">
        <v>230</v>
      </c>
      <c r="E50" s="36">
        <v>3529.8829999999998</v>
      </c>
      <c r="F50" s="31">
        <v>228.57752586993564</v>
      </c>
      <c r="G50" s="12">
        <v>-7.3450000000002547</v>
      </c>
      <c r="K50" s="31">
        <v>228.57752586993564</v>
      </c>
      <c r="L50" s="12">
        <v>-7.3450000000002547</v>
      </c>
      <c r="O50" s="12"/>
      <c r="P50" s="12"/>
      <c r="Q50" s="21"/>
    </row>
    <row r="51" spans="3:17" x14ac:dyDescent="0.25">
      <c r="C51" t="s">
        <v>52</v>
      </c>
      <c r="D51" s="35">
        <v>235</v>
      </c>
      <c r="E51" s="36">
        <v>3529.4349999999999</v>
      </c>
      <c r="F51" s="31">
        <v>233.55741502532857</v>
      </c>
      <c r="G51" s="12">
        <v>-7.7930000000001201</v>
      </c>
      <c r="K51" s="31">
        <v>233.55741502532857</v>
      </c>
      <c r="L51" s="12">
        <v>-7.7930000000001201</v>
      </c>
      <c r="O51" s="12"/>
      <c r="P51" s="12"/>
      <c r="Q51" s="21"/>
    </row>
    <row r="52" spans="3:17" x14ac:dyDescent="0.25">
      <c r="C52" t="s">
        <v>53</v>
      </c>
      <c r="D52" s="35">
        <v>240</v>
      </c>
      <c r="E52" s="36">
        <v>3529.1289999999999</v>
      </c>
      <c r="F52" s="31">
        <v>238.54804264117007</v>
      </c>
      <c r="G52" s="12">
        <v>-8.0990000000001601</v>
      </c>
      <c r="K52" s="31">
        <v>238.54804264117007</v>
      </c>
      <c r="L52" s="12">
        <v>-8.0990000000001601</v>
      </c>
      <c r="O52" s="12"/>
      <c r="P52" s="12"/>
      <c r="Q52" s="21"/>
    </row>
    <row r="53" spans="3:17" x14ac:dyDescent="0.25">
      <c r="C53" t="s">
        <v>54</v>
      </c>
      <c r="D53" s="35">
        <v>245</v>
      </c>
      <c r="E53" s="36">
        <v>3529.6880000000001</v>
      </c>
      <c r="F53" s="31">
        <v>243.51669628174514</v>
      </c>
      <c r="G53" s="12">
        <v>-7.5399999999999636</v>
      </c>
      <c r="K53" s="31">
        <v>243.51669628174514</v>
      </c>
      <c r="L53" s="12">
        <v>-7.5399999999999636</v>
      </c>
      <c r="O53" s="12"/>
      <c r="P53" s="12"/>
      <c r="Q53" s="21"/>
    </row>
    <row r="54" spans="3:17" x14ac:dyDescent="0.25">
      <c r="C54" t="s">
        <v>55</v>
      </c>
      <c r="D54" s="35">
        <v>250</v>
      </c>
      <c r="E54" s="36">
        <v>3530.31</v>
      </c>
      <c r="F54" s="31">
        <v>248.47785703302102</v>
      </c>
      <c r="G54" s="12">
        <v>-6.9180000000001201</v>
      </c>
      <c r="K54" s="31">
        <v>248.47785703302102</v>
      </c>
      <c r="L54" s="12">
        <v>-6.9180000000001201</v>
      </c>
      <c r="O54" s="12"/>
      <c r="P54" s="12"/>
      <c r="Q54" s="21"/>
    </row>
    <row r="55" spans="3:17" x14ac:dyDescent="0.25">
      <c r="C55" t="s">
        <v>56</v>
      </c>
      <c r="D55" s="35">
        <v>255</v>
      </c>
      <c r="E55" s="36">
        <v>3530.3359999999998</v>
      </c>
      <c r="F55" s="31">
        <v>253.47778943256404</v>
      </c>
      <c r="G55" s="12">
        <v>-6.8920000000002801</v>
      </c>
      <c r="K55" s="31">
        <v>253.47778943256404</v>
      </c>
      <c r="L55" s="12">
        <v>-6.8920000000002801</v>
      </c>
      <c r="O55" s="12"/>
      <c r="P55" s="12"/>
      <c r="Q55" s="21"/>
    </row>
    <row r="56" spans="3:17" x14ac:dyDescent="0.25">
      <c r="C56" t="s">
        <v>57</v>
      </c>
      <c r="D56" s="35">
        <v>260</v>
      </c>
      <c r="E56" s="36">
        <v>3530.2829999999999</v>
      </c>
      <c r="F56" s="31">
        <v>258.47750852467311</v>
      </c>
      <c r="G56" s="12">
        <v>-6.9450000000001637</v>
      </c>
      <c r="K56" s="31">
        <v>258.47750852467311</v>
      </c>
      <c r="L56" s="12">
        <v>-6.9450000000001637</v>
      </c>
      <c r="O56" s="12"/>
      <c r="P56" s="12"/>
      <c r="Q56" s="21"/>
    </row>
    <row r="57" spans="3:17" x14ac:dyDescent="0.25">
      <c r="C57" t="s">
        <v>58</v>
      </c>
      <c r="D57" s="35">
        <v>265</v>
      </c>
      <c r="E57" s="36">
        <v>3530.6280000000002</v>
      </c>
      <c r="F57" s="31">
        <v>263.46559182389734</v>
      </c>
      <c r="G57" s="12">
        <v>-6.5999999999999091</v>
      </c>
      <c r="K57" s="31">
        <v>263.46559182389734</v>
      </c>
      <c r="L57" s="12">
        <v>-6.5999999999999091</v>
      </c>
      <c r="O57" s="12"/>
      <c r="P57" s="12"/>
      <c r="Q57" s="21"/>
    </row>
    <row r="58" spans="3:17" x14ac:dyDescent="0.25">
      <c r="C58" t="s">
        <v>59</v>
      </c>
      <c r="D58" s="35">
        <v>270</v>
      </c>
      <c r="E58" s="36">
        <v>3530.34</v>
      </c>
      <c r="F58" s="31">
        <v>268.45729053275386</v>
      </c>
      <c r="G58" s="12">
        <v>-6.88799999999992</v>
      </c>
      <c r="K58" s="31">
        <v>268.45729053275386</v>
      </c>
      <c r="L58" s="12">
        <v>-6.88799999999992</v>
      </c>
      <c r="O58" s="12"/>
      <c r="P58" s="12"/>
      <c r="Q58" s="21"/>
    </row>
    <row r="59" spans="3:17" x14ac:dyDescent="0.25">
      <c r="C59" t="s">
        <v>60</v>
      </c>
      <c r="D59" s="35">
        <v>275</v>
      </c>
      <c r="E59" s="36">
        <v>3529.1320000000001</v>
      </c>
      <c r="F59" s="31">
        <v>273.30917016852385</v>
      </c>
      <c r="G59" s="12">
        <v>-8.0960000000000036</v>
      </c>
      <c r="K59" s="31">
        <v>273.30917016852385</v>
      </c>
      <c r="L59" s="12">
        <v>-8.0960000000000036</v>
      </c>
      <c r="O59" s="12"/>
      <c r="P59" s="12"/>
      <c r="Q59" s="21"/>
    </row>
    <row r="60" spans="3:17" x14ac:dyDescent="0.25">
      <c r="C60" t="s">
        <v>61</v>
      </c>
      <c r="D60" s="35">
        <v>280</v>
      </c>
      <c r="E60" s="36">
        <v>3528.2170000000001</v>
      </c>
      <c r="F60" s="31">
        <v>278.22473473426805</v>
      </c>
      <c r="G60" s="12">
        <v>-9.0109999999999673</v>
      </c>
      <c r="K60" s="31">
        <v>278.22473473426805</v>
      </c>
      <c r="L60" s="12">
        <v>-9.0109999999999673</v>
      </c>
      <c r="O60" s="12"/>
      <c r="P60" s="12"/>
      <c r="Q60" s="21"/>
    </row>
    <row r="61" spans="3:17" x14ac:dyDescent="0.25">
      <c r="C61" t="s">
        <v>62</v>
      </c>
      <c r="D61" s="35">
        <v>285</v>
      </c>
      <c r="E61" s="36">
        <v>3527.2640000000001</v>
      </c>
      <c r="F61" s="31">
        <v>283.13307365899607</v>
      </c>
      <c r="G61" s="12">
        <v>-9.9639999999999418</v>
      </c>
      <c r="K61" s="31">
        <v>283.13307365899607</v>
      </c>
      <c r="L61" s="12">
        <v>-9.9639999999999418</v>
      </c>
      <c r="O61" s="12"/>
      <c r="P61" s="12"/>
      <c r="Q61" s="21"/>
    </row>
    <row r="62" spans="3:17" x14ac:dyDescent="0.25">
      <c r="C62" t="s">
        <v>63</v>
      </c>
      <c r="D62" s="35">
        <v>290</v>
      </c>
      <c r="E62" s="36">
        <v>3527.672</v>
      </c>
      <c r="F62" s="31">
        <v>288.11639945609181</v>
      </c>
      <c r="G62" s="12">
        <v>-9.55600000000004</v>
      </c>
      <c r="K62" s="31">
        <v>288.11639945609181</v>
      </c>
      <c r="L62" s="12">
        <v>-9.55600000000004</v>
      </c>
      <c r="O62" s="12"/>
      <c r="P62" s="12"/>
      <c r="Q62" s="21"/>
    </row>
    <row r="63" spans="3:17" x14ac:dyDescent="0.25">
      <c r="C63" t="s">
        <v>64</v>
      </c>
      <c r="D63" s="35">
        <v>295</v>
      </c>
      <c r="E63" s="36">
        <v>3529.9830000000002</v>
      </c>
      <c r="F63" s="31">
        <v>292.5502780065259</v>
      </c>
      <c r="G63" s="12">
        <v>-7.2449999999998909</v>
      </c>
      <c r="K63" s="31">
        <v>292.5502780065259</v>
      </c>
      <c r="L63" s="12">
        <v>-7.2449999999998909</v>
      </c>
      <c r="O63" s="12"/>
      <c r="P63" s="12"/>
      <c r="Q63" s="21"/>
    </row>
    <row r="64" spans="3:17" x14ac:dyDescent="0.25">
      <c r="C64" t="s">
        <v>65</v>
      </c>
      <c r="D64" s="35">
        <v>300</v>
      </c>
      <c r="E64" s="36">
        <v>3531.2710000000002</v>
      </c>
      <c r="F64" s="31">
        <v>297.38153622773495</v>
      </c>
      <c r="G64" s="12">
        <v>-5.9569999999998799</v>
      </c>
      <c r="K64" s="31">
        <v>297.38153622773495</v>
      </c>
      <c r="L64" s="12">
        <v>-5.9569999999998799</v>
      </c>
      <c r="O64" s="12"/>
      <c r="P64" s="12"/>
      <c r="Q64" s="21"/>
    </row>
    <row r="65" spans="3:17" x14ac:dyDescent="0.25">
      <c r="C65" t="s">
        <v>66</v>
      </c>
      <c r="D65" s="35">
        <v>305</v>
      </c>
      <c r="E65" s="36">
        <v>3531.4279999999999</v>
      </c>
      <c r="F65" s="31">
        <v>302.37907071986206</v>
      </c>
      <c r="G65" s="12">
        <v>-5.8000000000001819</v>
      </c>
      <c r="K65" s="31">
        <v>302.37907071986206</v>
      </c>
      <c r="L65" s="12">
        <v>-5.8000000000001819</v>
      </c>
      <c r="O65" s="12"/>
      <c r="P65" s="12"/>
      <c r="Q65" s="21"/>
    </row>
    <row r="66" spans="3:17" x14ac:dyDescent="0.25">
      <c r="C66" t="s">
        <v>67</v>
      </c>
      <c r="D66" s="35">
        <v>310</v>
      </c>
      <c r="E66" s="36">
        <v>3531.4409999999998</v>
      </c>
      <c r="F66" s="31">
        <v>307.37905381983347</v>
      </c>
      <c r="G66" s="12">
        <v>-5.7870000000002619</v>
      </c>
      <c r="K66" s="31">
        <v>307.37905381983347</v>
      </c>
      <c r="L66" s="12">
        <v>-5.7870000000002619</v>
      </c>
      <c r="O66" s="12"/>
      <c r="P66" s="12"/>
      <c r="Q66" s="21"/>
    </row>
    <row r="67" spans="3:17" x14ac:dyDescent="0.25">
      <c r="C67" t="s">
        <v>68</v>
      </c>
      <c r="D67" s="35">
        <v>315</v>
      </c>
      <c r="E67" s="36">
        <v>3530.7020000000002</v>
      </c>
      <c r="F67" s="31">
        <v>312.32414016892795</v>
      </c>
      <c r="G67" s="12">
        <v>-6.5259999999998399</v>
      </c>
      <c r="K67" s="31">
        <v>312.32414016892795</v>
      </c>
      <c r="L67" s="12">
        <v>-6.5259999999998399</v>
      </c>
      <c r="O67" s="12"/>
      <c r="P67" s="12"/>
      <c r="Q67" s="21"/>
    </row>
    <row r="68" spans="3:17" x14ac:dyDescent="0.25">
      <c r="C68" t="s">
        <v>69</v>
      </c>
      <c r="D68" s="35">
        <v>320</v>
      </c>
      <c r="E68" s="36">
        <v>3529.9810000000002</v>
      </c>
      <c r="F68" s="31">
        <v>317.2718829876282</v>
      </c>
      <c r="G68" s="12">
        <v>-7.2469999999998436</v>
      </c>
      <c r="K68" s="31">
        <v>317.2718829876282</v>
      </c>
      <c r="L68" s="12">
        <v>-7.2469999999998436</v>
      </c>
      <c r="O68" s="12"/>
      <c r="P68" s="12"/>
      <c r="Q68" s="21"/>
    </row>
    <row r="69" spans="3:17" x14ac:dyDescent="0.25">
      <c r="C69" t="s">
        <v>70</v>
      </c>
      <c r="D69" s="35">
        <v>325</v>
      </c>
      <c r="E69" s="36">
        <v>3529.5920000000001</v>
      </c>
      <c r="F69" s="31">
        <v>322.25672792002075</v>
      </c>
      <c r="G69" s="12">
        <v>-7.6359999999999673</v>
      </c>
      <c r="K69" s="31">
        <v>322.25672792002075</v>
      </c>
      <c r="L69" s="12">
        <v>-7.6359999999999673</v>
      </c>
      <c r="O69" s="12"/>
      <c r="P69" s="12"/>
      <c r="Q69" s="21"/>
    </row>
    <row r="70" spans="3:17" x14ac:dyDescent="0.25">
      <c r="C70" t="s">
        <v>71</v>
      </c>
      <c r="D70" s="35">
        <v>330</v>
      </c>
      <c r="E70" s="36">
        <v>3529.857</v>
      </c>
      <c r="F70" s="31">
        <v>327.24970048153159</v>
      </c>
      <c r="G70" s="12">
        <v>-7.3710000000000946</v>
      </c>
      <c r="K70" s="31">
        <v>327.24970048153159</v>
      </c>
      <c r="L70" s="12">
        <v>-7.3710000000000946</v>
      </c>
      <c r="O70" s="12"/>
      <c r="P70" s="12"/>
      <c r="Q70" s="21"/>
    </row>
    <row r="71" spans="3:17" x14ac:dyDescent="0.25">
      <c r="C71" t="s">
        <v>72</v>
      </c>
      <c r="D71" s="35">
        <v>335</v>
      </c>
      <c r="E71" s="36">
        <v>3529.8339999999998</v>
      </c>
      <c r="F71" s="31">
        <v>332.24964758125174</v>
      </c>
      <c r="G71" s="12">
        <v>-7.3940000000002328</v>
      </c>
      <c r="K71" s="31">
        <v>332.24964758125174</v>
      </c>
      <c r="L71" s="12">
        <v>-7.3940000000002328</v>
      </c>
      <c r="O71" s="12"/>
      <c r="P71" s="12"/>
      <c r="Q71" s="21"/>
    </row>
    <row r="72" spans="3:17" x14ac:dyDescent="0.25">
      <c r="C72" t="s">
        <v>73</v>
      </c>
      <c r="D72" s="35">
        <v>340</v>
      </c>
      <c r="E72" s="36">
        <v>3529.2139999999999</v>
      </c>
      <c r="F72" s="31">
        <v>337.21105867085117</v>
      </c>
      <c r="G72" s="12">
        <v>-8.0140000000001237</v>
      </c>
      <c r="K72" s="31">
        <v>337.21105867085117</v>
      </c>
      <c r="L72" s="12">
        <v>-8.0140000000001237</v>
      </c>
      <c r="O72" s="12"/>
      <c r="P72" s="12"/>
      <c r="Q72" s="21"/>
    </row>
    <row r="73" spans="3:17" x14ac:dyDescent="0.25">
      <c r="C73" t="s">
        <v>74</v>
      </c>
      <c r="D73" s="35">
        <v>345</v>
      </c>
      <c r="E73" s="36">
        <v>3529.2379999999998</v>
      </c>
      <c r="F73" s="31">
        <v>342.21100107051939</v>
      </c>
      <c r="G73" s="12">
        <v>-7.9900000000002365</v>
      </c>
      <c r="K73" s="31">
        <v>342.21100107051939</v>
      </c>
      <c r="L73" s="12">
        <v>-7.9900000000002365</v>
      </c>
      <c r="O73" s="12"/>
      <c r="P73" s="12"/>
      <c r="Q73" s="21"/>
    </row>
    <row r="74" spans="3:17" x14ac:dyDescent="0.25">
      <c r="C74" t="s">
        <v>75</v>
      </c>
      <c r="D74" s="35">
        <v>350</v>
      </c>
      <c r="E74" s="36">
        <v>3529.7730000000001</v>
      </c>
      <c r="F74" s="31">
        <v>347.18229617340751</v>
      </c>
      <c r="G74" s="12">
        <v>-7.4549999999999272</v>
      </c>
      <c r="K74" s="31">
        <v>347.18229617340751</v>
      </c>
      <c r="L74" s="12">
        <v>-7.4549999999999272</v>
      </c>
      <c r="O74" s="12"/>
      <c r="P74" s="12"/>
      <c r="Q74" s="21"/>
    </row>
    <row r="75" spans="3:17" x14ac:dyDescent="0.25">
      <c r="C75" t="s">
        <v>76</v>
      </c>
      <c r="D75" s="35">
        <v>355</v>
      </c>
      <c r="E75" s="36">
        <v>3530.4929999999999</v>
      </c>
      <c r="F75" s="31">
        <v>352.13018461192348</v>
      </c>
      <c r="G75" s="12">
        <v>-6.7350000000001273</v>
      </c>
      <c r="K75" s="31">
        <v>352.13018461192348</v>
      </c>
      <c r="L75" s="12">
        <v>-6.7350000000001273</v>
      </c>
      <c r="O75" s="12"/>
      <c r="P75" s="12"/>
      <c r="Q75" s="21"/>
    </row>
    <row r="76" spans="3:17" x14ac:dyDescent="0.25">
      <c r="C76" t="s">
        <v>77</v>
      </c>
      <c r="D76" s="35">
        <v>360</v>
      </c>
      <c r="E76" s="36">
        <v>3529.2370000000001</v>
      </c>
      <c r="F76" s="31">
        <v>356.96986063413823</v>
      </c>
      <c r="G76" s="12">
        <v>-7.9909999999999854</v>
      </c>
      <c r="K76" s="31">
        <v>356.96986063413823</v>
      </c>
      <c r="L76" s="12">
        <v>-7.9909999999999854</v>
      </c>
      <c r="O76" s="12"/>
      <c r="P76" s="12"/>
      <c r="Q76" s="21"/>
    </row>
    <row r="77" spans="3:17" x14ac:dyDescent="0.25">
      <c r="C77" t="s">
        <v>78</v>
      </c>
      <c r="D77" s="35">
        <v>365</v>
      </c>
      <c r="E77" s="36">
        <v>3528.6680000000001</v>
      </c>
      <c r="F77" s="31">
        <v>361.93737902866883</v>
      </c>
      <c r="G77" s="12">
        <v>-8.5599999999999454</v>
      </c>
      <c r="K77" s="31">
        <v>361.93737902866883</v>
      </c>
      <c r="L77" s="12">
        <v>-8.5599999999999454</v>
      </c>
      <c r="O77" s="12"/>
      <c r="P77" s="12"/>
      <c r="Q77" s="21"/>
    </row>
    <row r="78" spans="3:17" x14ac:dyDescent="0.25">
      <c r="C78" t="s">
        <v>79</v>
      </c>
      <c r="D78" s="35">
        <v>370</v>
      </c>
      <c r="E78" s="36">
        <v>3528.7950000000001</v>
      </c>
      <c r="F78" s="31">
        <v>366.93576586844023</v>
      </c>
      <c r="G78" s="12">
        <v>-8.4329999999999927</v>
      </c>
      <c r="K78" s="31">
        <v>366.93576586844023</v>
      </c>
      <c r="L78" s="12">
        <v>-8.4329999999999927</v>
      </c>
      <c r="O78" s="12"/>
      <c r="P78" s="12"/>
      <c r="Q78" s="21"/>
    </row>
    <row r="79" spans="3:17" x14ac:dyDescent="0.25">
      <c r="C79" t="s">
        <v>80</v>
      </c>
      <c r="D79" s="35">
        <v>375</v>
      </c>
      <c r="E79" s="36">
        <v>3528.7930000000001</v>
      </c>
      <c r="F79" s="31">
        <v>371.9357654684402</v>
      </c>
      <c r="G79" s="12">
        <v>-8.4349999999999454</v>
      </c>
      <c r="K79" s="31">
        <v>371.9357654684402</v>
      </c>
      <c r="L79" s="12">
        <v>-8.4349999999999454</v>
      </c>
      <c r="O79" s="12"/>
      <c r="P79" s="12"/>
      <c r="Q79" s="21"/>
    </row>
    <row r="80" spans="3:17" x14ac:dyDescent="0.25">
      <c r="C80" t="s">
        <v>81</v>
      </c>
      <c r="D80" s="35">
        <v>380</v>
      </c>
      <c r="E80" s="36">
        <v>3528.1979999999999</v>
      </c>
      <c r="F80" s="31">
        <v>376.90023673938128</v>
      </c>
      <c r="G80" s="12">
        <v>-9.0300000000002001</v>
      </c>
      <c r="K80" s="31">
        <v>376.90023673938128</v>
      </c>
      <c r="L80" s="12">
        <v>-9.0300000000002001</v>
      </c>
      <c r="O80" s="12"/>
      <c r="P80" s="12"/>
      <c r="Q80" s="21"/>
    </row>
    <row r="81" spans="3:17" x14ac:dyDescent="0.25">
      <c r="C81" t="s">
        <v>82</v>
      </c>
      <c r="D81" s="35">
        <v>385</v>
      </c>
      <c r="E81" s="36">
        <v>3528.404</v>
      </c>
      <c r="F81" s="31">
        <v>381.89599133703717</v>
      </c>
      <c r="G81" s="12">
        <v>-8.8240000000000691</v>
      </c>
      <c r="K81" s="31">
        <v>381.89599133703717</v>
      </c>
      <c r="L81" s="12">
        <v>-8.8240000000000691</v>
      </c>
      <c r="O81" s="12"/>
      <c r="P81" s="12"/>
      <c r="Q81" s="21"/>
    </row>
    <row r="82" spans="3:17" x14ac:dyDescent="0.25">
      <c r="C82" t="s">
        <v>83</v>
      </c>
      <c r="D82" s="35">
        <v>390</v>
      </c>
      <c r="E82" s="36">
        <v>3528.5340000000001</v>
      </c>
      <c r="F82" s="31">
        <v>386.89430105133061</v>
      </c>
      <c r="G82" s="12">
        <v>-8.69399999999996</v>
      </c>
      <c r="K82" s="31">
        <v>386.89430105133061</v>
      </c>
      <c r="L82" s="12">
        <v>-8.69399999999996</v>
      </c>
      <c r="O82" s="12"/>
      <c r="P82" s="12"/>
      <c r="Q82" s="21"/>
    </row>
    <row r="83" spans="3:17" x14ac:dyDescent="0.25">
      <c r="C83" t="s">
        <v>84</v>
      </c>
      <c r="D83" s="35">
        <v>395</v>
      </c>
      <c r="E83" s="36">
        <v>3528.1170000000002</v>
      </c>
      <c r="F83" s="31">
        <v>391.87688180832794</v>
      </c>
      <c r="G83" s="12">
        <v>-9.1109999999998763</v>
      </c>
      <c r="K83" s="31">
        <v>391.87688180832794</v>
      </c>
      <c r="L83" s="12">
        <v>-9.1109999999998763</v>
      </c>
      <c r="O83" s="12"/>
      <c r="P83" s="12"/>
      <c r="Q83" s="21"/>
    </row>
    <row r="84" spans="3:17" x14ac:dyDescent="0.25">
      <c r="C84" t="s">
        <v>85</v>
      </c>
      <c r="D84" s="35">
        <v>400</v>
      </c>
      <c r="E84" s="36">
        <v>3527.942</v>
      </c>
      <c r="F84" s="31">
        <v>396.87381836986242</v>
      </c>
      <c r="G84" s="12">
        <v>-9.2860000000000582</v>
      </c>
      <c r="K84" s="31">
        <v>396.87381836986242</v>
      </c>
      <c r="L84" s="12">
        <v>-9.2860000000000582</v>
      </c>
      <c r="O84" s="12"/>
      <c r="P84" s="12"/>
      <c r="Q84" s="21"/>
    </row>
    <row r="85" spans="3:17" x14ac:dyDescent="0.25">
      <c r="C85" t="s">
        <v>86</v>
      </c>
      <c r="D85" s="35">
        <v>405</v>
      </c>
      <c r="E85" s="36">
        <v>3528.261</v>
      </c>
      <c r="F85" s="31">
        <v>401.86363189343223</v>
      </c>
      <c r="G85" s="12">
        <v>-8.9670000000000982</v>
      </c>
      <c r="K85" s="31">
        <v>401.86363189343223</v>
      </c>
      <c r="L85" s="12">
        <v>-8.9670000000000982</v>
      </c>
      <c r="O85" s="12"/>
      <c r="P85" s="12"/>
      <c r="Q85" s="21"/>
    </row>
    <row r="86" spans="3:17" x14ac:dyDescent="0.25">
      <c r="C86" t="s">
        <v>87</v>
      </c>
      <c r="D86" s="35">
        <v>410</v>
      </c>
      <c r="E86" s="36">
        <v>3528.82</v>
      </c>
      <c r="F86" s="31">
        <v>406.83228553400727</v>
      </c>
      <c r="G86" s="12">
        <v>-8.4079999999999018</v>
      </c>
      <c r="K86" s="31">
        <v>406.83228553400727</v>
      </c>
      <c r="L86" s="12">
        <v>-8.4079999999999018</v>
      </c>
      <c r="O86" s="12"/>
      <c r="P86" s="12"/>
      <c r="Q86" s="21"/>
    </row>
    <row r="87" spans="3:17" x14ac:dyDescent="0.25">
      <c r="C87" t="s">
        <v>88</v>
      </c>
      <c r="D87" s="35">
        <v>415</v>
      </c>
      <c r="E87" s="36">
        <v>3528.0859999999998</v>
      </c>
      <c r="F87" s="31">
        <v>411.77811650564382</v>
      </c>
      <c r="G87" s="12">
        <v>-9.1420000000002801</v>
      </c>
      <c r="K87" s="31">
        <v>411.77811650564382</v>
      </c>
      <c r="L87" s="12">
        <v>-9.1420000000002801</v>
      </c>
      <c r="O87" s="12"/>
      <c r="P87" s="12"/>
      <c r="Q87" s="21"/>
    </row>
    <row r="88" spans="3:17" x14ac:dyDescent="0.25">
      <c r="C88" t="s">
        <v>89</v>
      </c>
      <c r="D88" s="35">
        <v>420</v>
      </c>
      <c r="E88" s="36">
        <v>3528.1019999999999</v>
      </c>
      <c r="F88" s="31">
        <v>416.77809090557827</v>
      </c>
      <c r="G88" s="12">
        <v>-9.1260000000002037</v>
      </c>
      <c r="K88" s="31">
        <v>416.77809090557827</v>
      </c>
      <c r="L88" s="12">
        <v>-9.1260000000002037</v>
      </c>
      <c r="O88" s="12"/>
      <c r="P88" s="12"/>
      <c r="Q88" s="21"/>
    </row>
    <row r="89" spans="3:17" x14ac:dyDescent="0.25">
      <c r="C89" t="s">
        <v>90</v>
      </c>
      <c r="D89" s="35">
        <v>425</v>
      </c>
      <c r="E89" s="36">
        <v>3527.6289999999999</v>
      </c>
      <c r="F89" s="31">
        <v>421.75566772567856</v>
      </c>
      <c r="G89" s="12">
        <v>-9.5990000000001601</v>
      </c>
      <c r="K89" s="31">
        <v>421.75566772567856</v>
      </c>
      <c r="L89" s="12">
        <v>-9.5990000000001601</v>
      </c>
      <c r="O89" s="12"/>
      <c r="P89" s="12"/>
      <c r="Q89" s="21"/>
    </row>
    <row r="90" spans="3:17" x14ac:dyDescent="0.25">
      <c r="C90" t="s">
        <v>91</v>
      </c>
      <c r="D90" s="35">
        <v>430</v>
      </c>
      <c r="E90" s="36">
        <v>3528.047</v>
      </c>
      <c r="F90" s="31">
        <v>426.73816469005294</v>
      </c>
      <c r="G90" s="12">
        <v>-9.18100000000004</v>
      </c>
      <c r="K90" s="31">
        <v>426.73816469005294</v>
      </c>
      <c r="L90" s="12">
        <v>-9.18100000000004</v>
      </c>
      <c r="O90" s="12"/>
      <c r="P90" s="12"/>
      <c r="Q90" s="21"/>
    </row>
    <row r="91" spans="3:17" x14ac:dyDescent="0.25">
      <c r="C91" t="s">
        <v>92</v>
      </c>
      <c r="D91" s="35">
        <v>435</v>
      </c>
      <c r="E91" s="36">
        <v>3527.7429999999999</v>
      </c>
      <c r="F91" s="31">
        <v>431.72891453351332</v>
      </c>
      <c r="G91" s="12">
        <v>-9.4850000000001273</v>
      </c>
      <c r="K91" s="31">
        <v>431.72891453351332</v>
      </c>
      <c r="L91" s="12">
        <v>-9.4850000000001273</v>
      </c>
      <c r="O91" s="12"/>
      <c r="P91" s="12"/>
      <c r="Q91" s="21"/>
    </row>
    <row r="92" spans="3:17" x14ac:dyDescent="0.25">
      <c r="C92" t="s">
        <v>93</v>
      </c>
      <c r="D92" s="35">
        <v>440</v>
      </c>
      <c r="E92" s="36">
        <v>3527.326</v>
      </c>
      <c r="F92" s="31">
        <v>436.71149529051064</v>
      </c>
      <c r="G92" s="12">
        <v>-9.9020000000000437</v>
      </c>
      <c r="K92" s="31">
        <v>436.71149529051064</v>
      </c>
      <c r="L92" s="12">
        <v>-9.9020000000000437</v>
      </c>
      <c r="O92" s="12"/>
      <c r="P92" s="12"/>
      <c r="Q92" s="21"/>
    </row>
    <row r="93" spans="3:17" x14ac:dyDescent="0.25">
      <c r="C93" t="s">
        <v>94</v>
      </c>
      <c r="D93" s="35">
        <v>445</v>
      </c>
      <c r="E93" s="36">
        <v>3527.9560000000001</v>
      </c>
      <c r="F93" s="31">
        <v>441.67164649788322</v>
      </c>
      <c r="G93" s="12">
        <v>-9.2719999999999345</v>
      </c>
      <c r="K93" s="31">
        <v>441.67164649788322</v>
      </c>
      <c r="L93" s="12">
        <v>-9.2719999999999345</v>
      </c>
      <c r="O93" s="12"/>
      <c r="P93" s="12"/>
      <c r="Q93" s="21"/>
    </row>
    <row r="94" spans="3:17" x14ac:dyDescent="0.25">
      <c r="C94" t="s">
        <v>95</v>
      </c>
      <c r="D94" s="35">
        <v>450</v>
      </c>
      <c r="E94" s="36">
        <v>3527.9409999999998</v>
      </c>
      <c r="F94" s="31">
        <v>446.67162399783257</v>
      </c>
      <c r="G94" s="12">
        <v>-9.2870000000002619</v>
      </c>
      <c r="K94" s="31">
        <v>446.67162399783257</v>
      </c>
      <c r="L94" s="12">
        <v>-9.2870000000002619</v>
      </c>
      <c r="O94" s="12"/>
      <c r="P94" s="12"/>
      <c r="Q94" s="21"/>
    </row>
    <row r="95" spans="3:17" x14ac:dyDescent="0.25">
      <c r="C95" t="s">
        <v>96</v>
      </c>
      <c r="D95" s="35">
        <v>455</v>
      </c>
      <c r="E95" s="36">
        <v>3528.8229999999999</v>
      </c>
      <c r="F95" s="31">
        <v>451.59321682942681</v>
      </c>
      <c r="G95" s="12">
        <v>-8.4050000000002001</v>
      </c>
      <c r="K95" s="31">
        <v>451.59321682942681</v>
      </c>
      <c r="L95" s="12">
        <v>-8.4050000000002001</v>
      </c>
      <c r="O95" s="12"/>
      <c r="P95" s="12"/>
      <c r="Q95" s="21"/>
    </row>
    <row r="96" spans="3:17" x14ac:dyDescent="0.25">
      <c r="C96" t="s">
        <v>97</v>
      </c>
      <c r="D96" s="35">
        <v>460</v>
      </c>
      <c r="E96" s="36">
        <v>3528.951</v>
      </c>
      <c r="F96" s="31">
        <v>456.59157816090334</v>
      </c>
      <c r="G96" s="12">
        <v>-8.2770000000000437</v>
      </c>
      <c r="K96" s="31">
        <v>456.59157816090334</v>
      </c>
      <c r="L96" s="12">
        <v>-8.2770000000000437</v>
      </c>
      <c r="O96" s="12"/>
      <c r="P96" s="12"/>
      <c r="Q96" s="21"/>
    </row>
    <row r="97" spans="3:17" x14ac:dyDescent="0.25">
      <c r="C97" t="s">
        <v>98</v>
      </c>
      <c r="D97" s="35">
        <v>465</v>
      </c>
      <c r="E97" s="36">
        <v>3528.4679999999998</v>
      </c>
      <c r="F97" s="31">
        <v>461.56819458172583</v>
      </c>
      <c r="G97" s="12">
        <v>-8.7600000000002183</v>
      </c>
      <c r="K97" s="31">
        <v>461.56819458172583</v>
      </c>
      <c r="L97" s="12">
        <v>-8.7600000000002183</v>
      </c>
      <c r="O97" s="12"/>
      <c r="P97" s="12"/>
      <c r="Q97" s="21"/>
    </row>
    <row r="98" spans="3:17" x14ac:dyDescent="0.25">
      <c r="C98" t="s">
        <v>99</v>
      </c>
      <c r="D98" s="35">
        <v>470</v>
      </c>
      <c r="E98" s="36">
        <v>3528.471</v>
      </c>
      <c r="F98" s="31">
        <v>466.56819368172575</v>
      </c>
      <c r="G98" s="12">
        <v>-8.7570000000000618</v>
      </c>
      <c r="K98" s="31">
        <v>466.56819368172575</v>
      </c>
      <c r="L98" s="12">
        <v>-8.7570000000000618</v>
      </c>
      <c r="O98" s="12"/>
      <c r="P98" s="12"/>
      <c r="Q98" s="21"/>
    </row>
    <row r="99" spans="3:17" x14ac:dyDescent="0.25">
      <c r="C99" t="s">
        <v>100</v>
      </c>
      <c r="D99" s="35">
        <v>475</v>
      </c>
      <c r="E99" s="36">
        <v>3528.1410000000001</v>
      </c>
      <c r="F99" s="31">
        <v>471.55729179661586</v>
      </c>
      <c r="G99" s="12">
        <v>-9.0869999999999891</v>
      </c>
      <c r="K99" s="31">
        <v>471.55729179661586</v>
      </c>
      <c r="L99" s="12">
        <v>-9.0869999999999891</v>
      </c>
      <c r="O99" s="12"/>
      <c r="P99" s="12"/>
      <c r="Q99" s="21"/>
    </row>
    <row r="100" spans="3:17" x14ac:dyDescent="0.25">
      <c r="C100" t="s">
        <v>187</v>
      </c>
      <c r="D100" s="35">
        <v>480</v>
      </c>
      <c r="E100" s="36">
        <v>3527.527</v>
      </c>
      <c r="F100" s="31">
        <v>476.51944898880555</v>
      </c>
      <c r="G100" s="12">
        <v>-9.7010000000000218</v>
      </c>
      <c r="K100" s="31">
        <v>476.51944898880555</v>
      </c>
      <c r="L100" s="12">
        <v>-9.7010000000000218</v>
      </c>
      <c r="O100" s="12"/>
      <c r="P100" s="12"/>
      <c r="Q100" s="21"/>
    </row>
    <row r="101" spans="3:17" x14ac:dyDescent="0.25">
      <c r="C101" t="s">
        <v>188</v>
      </c>
      <c r="D101" s="35">
        <v>485</v>
      </c>
      <c r="E101" s="36">
        <v>3527.1770000000001</v>
      </c>
      <c r="F101" s="31">
        <v>481.50718394567724</v>
      </c>
      <c r="G101" s="12">
        <v>-10.050999999999931</v>
      </c>
      <c r="K101" s="31">
        <v>481.50718394567724</v>
      </c>
      <c r="L101" s="12">
        <v>-10.050999999999931</v>
      </c>
      <c r="O101" s="12"/>
      <c r="P101" s="12"/>
      <c r="Q101" s="21"/>
    </row>
    <row r="102" spans="3:17" x14ac:dyDescent="0.25">
      <c r="C102" t="s">
        <v>189</v>
      </c>
      <c r="D102" s="35">
        <v>490</v>
      </c>
      <c r="E102" s="36">
        <v>3527.3879999999999</v>
      </c>
      <c r="F102" s="31">
        <v>486.5027298617909</v>
      </c>
      <c r="G102" s="12">
        <v>-9.8400000000001455</v>
      </c>
      <c r="K102" s="31">
        <v>486.5027298617909</v>
      </c>
      <c r="L102" s="12">
        <v>-9.8400000000001455</v>
      </c>
      <c r="O102" s="12"/>
      <c r="P102" s="12"/>
      <c r="Q102" s="21"/>
    </row>
    <row r="103" spans="3:17" x14ac:dyDescent="0.25">
      <c r="C103" t="s">
        <v>190</v>
      </c>
      <c r="D103" s="35">
        <v>495</v>
      </c>
      <c r="E103" s="36">
        <v>3526.652</v>
      </c>
      <c r="F103" s="31">
        <v>491.44826360447229</v>
      </c>
      <c r="G103" s="12">
        <v>-10.576000000000022</v>
      </c>
      <c r="K103" s="31">
        <v>491.44826360447229</v>
      </c>
      <c r="L103" s="12">
        <v>-10.576000000000022</v>
      </c>
      <c r="O103" s="12"/>
      <c r="P103" s="12"/>
      <c r="Q103" s="21"/>
    </row>
    <row r="104" spans="3:17" x14ac:dyDescent="0.25">
      <c r="C104" t="s">
        <v>191</v>
      </c>
      <c r="D104" s="35">
        <v>500</v>
      </c>
      <c r="E104" s="36">
        <v>3527.5340000000001</v>
      </c>
      <c r="F104" s="31">
        <v>496.36985643606653</v>
      </c>
      <c r="G104" s="12">
        <v>-9.69399999999996</v>
      </c>
      <c r="K104" s="31">
        <v>496.36985643606653</v>
      </c>
      <c r="L104" s="12">
        <v>-9.69399999999996</v>
      </c>
      <c r="O104" s="12"/>
      <c r="P104" s="12"/>
      <c r="Q104" s="21"/>
    </row>
    <row r="105" spans="3:17" x14ac:dyDescent="0.25">
      <c r="C105" t="s">
        <v>192</v>
      </c>
      <c r="D105" s="35">
        <v>505</v>
      </c>
      <c r="E105" s="36">
        <v>3527.1179999999999</v>
      </c>
      <c r="F105" s="31">
        <v>501.35252078358178</v>
      </c>
      <c r="G105" s="12">
        <v>-10.110000000000127</v>
      </c>
      <c r="K105" s="31">
        <v>501.35252078358178</v>
      </c>
      <c r="L105" s="12">
        <v>-10.110000000000127</v>
      </c>
      <c r="O105" s="12"/>
      <c r="P105" s="12"/>
      <c r="Q105" s="21"/>
    </row>
    <row r="106" spans="3:17" x14ac:dyDescent="0.25">
      <c r="C106" t="s">
        <v>193</v>
      </c>
      <c r="D106" s="35">
        <v>510</v>
      </c>
      <c r="E106" s="36">
        <v>3527.1570000000002</v>
      </c>
      <c r="F106" s="31">
        <v>506.35236868126827</v>
      </c>
      <c r="G106" s="12">
        <v>-10.070999999999913</v>
      </c>
      <c r="K106" s="31">
        <v>506.35236868126827</v>
      </c>
      <c r="L106" s="12">
        <v>-10.070999999999913</v>
      </c>
      <c r="O106" s="12"/>
      <c r="P106" s="12"/>
      <c r="Q106" s="21"/>
    </row>
    <row r="107" spans="3:17" x14ac:dyDescent="0.25">
      <c r="C107" t="s">
        <v>194</v>
      </c>
      <c r="D107" s="35">
        <v>515</v>
      </c>
      <c r="E107" s="36">
        <v>3525.9079999999999</v>
      </c>
      <c r="F107" s="31">
        <v>511.19385595275821</v>
      </c>
      <c r="G107" s="12">
        <v>-11.320000000000164</v>
      </c>
      <c r="K107" s="31">
        <v>511.19385595275821</v>
      </c>
      <c r="L107" s="12">
        <v>-11.320000000000164</v>
      </c>
      <c r="O107" s="12"/>
      <c r="P107" s="12"/>
      <c r="Q107" s="21"/>
    </row>
    <row r="108" spans="3:17" x14ac:dyDescent="0.25">
      <c r="C108" t="s">
        <v>195</v>
      </c>
      <c r="D108" s="35">
        <v>520</v>
      </c>
      <c r="E108" s="36">
        <v>3526.9050000000002</v>
      </c>
      <c r="F108" s="31">
        <v>516.09344685404778</v>
      </c>
      <c r="G108" s="12">
        <v>-10.322999999999865</v>
      </c>
      <c r="K108" s="31">
        <v>516.09344685404778</v>
      </c>
      <c r="L108" s="12">
        <v>-10.322999999999865</v>
      </c>
      <c r="O108" s="12"/>
      <c r="P108" s="12"/>
      <c r="Q108" s="21"/>
    </row>
    <row r="109" spans="3:17" x14ac:dyDescent="0.25">
      <c r="C109" t="s">
        <v>196</v>
      </c>
      <c r="D109" s="35">
        <v>525</v>
      </c>
      <c r="E109" s="36">
        <v>3526.7449999999999</v>
      </c>
      <c r="F109" s="31">
        <v>521.090886198352</v>
      </c>
      <c r="G109" s="12">
        <v>-10.483000000000175</v>
      </c>
      <c r="K109" s="31">
        <v>521.090886198352</v>
      </c>
      <c r="L109" s="12">
        <v>-10.483000000000175</v>
      </c>
      <c r="O109" s="12"/>
      <c r="P109" s="12"/>
      <c r="Q109" s="21"/>
    </row>
    <row r="110" spans="3:17" x14ac:dyDescent="0.25">
      <c r="C110" t="s">
        <v>197</v>
      </c>
      <c r="D110" s="35">
        <v>530</v>
      </c>
      <c r="E110" s="36">
        <v>3526.5909999999999</v>
      </c>
      <c r="F110" s="31">
        <v>526.08851403563642</v>
      </c>
      <c r="G110" s="12">
        <v>-10.637000000000171</v>
      </c>
      <c r="K110" s="31">
        <v>526.08851403563642</v>
      </c>
      <c r="L110" s="12">
        <v>-10.637000000000171</v>
      </c>
      <c r="O110" s="12"/>
      <c r="P110" s="12"/>
      <c r="Q110" s="21"/>
    </row>
    <row r="111" spans="3:17" x14ac:dyDescent="0.25">
      <c r="C111" t="s">
        <v>198</v>
      </c>
      <c r="D111" s="35">
        <v>535</v>
      </c>
      <c r="E111" s="36">
        <v>3527.357</v>
      </c>
      <c r="F111" s="31">
        <v>531.02949005257881</v>
      </c>
      <c r="G111" s="12">
        <v>-9.8710000000000946</v>
      </c>
      <c r="K111" s="31">
        <v>531.02949005257881</v>
      </c>
      <c r="L111" s="12">
        <v>-9.8710000000000946</v>
      </c>
      <c r="O111" s="12"/>
      <c r="P111" s="12"/>
      <c r="Q111" s="21"/>
    </row>
    <row r="112" spans="3:17" x14ac:dyDescent="0.25">
      <c r="C112" t="s">
        <v>199</v>
      </c>
      <c r="D112" s="35">
        <v>540</v>
      </c>
      <c r="E112" s="36">
        <v>3526.634</v>
      </c>
      <c r="F112" s="31">
        <v>535.97694101241666</v>
      </c>
      <c r="G112" s="12">
        <v>-10.594000000000051</v>
      </c>
      <c r="K112" s="31">
        <v>535.97694101241666</v>
      </c>
      <c r="L112" s="12">
        <v>-10.594000000000051</v>
      </c>
      <c r="O112" s="12"/>
      <c r="P112" s="12"/>
      <c r="Q112" s="21"/>
    </row>
    <row r="113" spans="3:24" x14ac:dyDescent="0.25">
      <c r="C113" t="s">
        <v>200</v>
      </c>
      <c r="D113" s="35">
        <v>545</v>
      </c>
      <c r="E113" s="36">
        <v>3525.51</v>
      </c>
      <c r="F113" s="31">
        <v>540.84896564289636</v>
      </c>
      <c r="G113" s="12">
        <v>-11.717999999999847</v>
      </c>
      <c r="K113" s="31">
        <v>540.84896564289636</v>
      </c>
      <c r="L113" s="12">
        <v>-11.717999999999847</v>
      </c>
      <c r="O113" s="12"/>
      <c r="P113" s="12"/>
      <c r="Q113" s="21"/>
    </row>
    <row r="114" spans="3:24" x14ac:dyDescent="0.25">
      <c r="C114" t="s">
        <v>201</v>
      </c>
      <c r="D114" s="35">
        <v>550</v>
      </c>
      <c r="E114" s="36">
        <v>3526.8530000000001</v>
      </c>
      <c r="F114" s="31">
        <v>545.66522466832271</v>
      </c>
      <c r="G114" s="12">
        <v>-10.375</v>
      </c>
      <c r="K114" s="31">
        <v>545.66522466832271</v>
      </c>
      <c r="L114" s="12">
        <v>-10.375</v>
      </c>
      <c r="O114" s="12"/>
      <c r="P114" s="12"/>
      <c r="Q114" s="21"/>
    </row>
    <row r="115" spans="3:24" x14ac:dyDescent="0.25">
      <c r="C115" t="s">
        <v>202</v>
      </c>
      <c r="D115" s="35">
        <v>555</v>
      </c>
      <c r="E115" s="36">
        <v>3526.0479999999998</v>
      </c>
      <c r="F115" s="31">
        <v>550.5999966995314</v>
      </c>
      <c r="G115" s="12">
        <v>-11.180000000000291</v>
      </c>
      <c r="K115" s="31">
        <v>550.5999966995314</v>
      </c>
      <c r="L115" s="12">
        <v>-11.180000000000291</v>
      </c>
      <c r="O115" s="12"/>
      <c r="P115" s="12"/>
      <c r="Q115" s="21"/>
    </row>
    <row r="116" spans="3:24" x14ac:dyDescent="0.25">
      <c r="C116" t="s">
        <v>203</v>
      </c>
      <c r="D116" s="35">
        <v>560</v>
      </c>
      <c r="E116" s="36">
        <v>3526.4870000000001</v>
      </c>
      <c r="F116" s="31">
        <v>555.58068731429557</v>
      </c>
      <c r="G116" s="12">
        <v>-10.740999999999985</v>
      </c>
      <c r="K116" s="31">
        <v>555.58068731429557</v>
      </c>
      <c r="L116" s="12">
        <v>-10.740999999999985</v>
      </c>
      <c r="O116" s="12"/>
      <c r="P116" s="12"/>
      <c r="Q116" s="21"/>
    </row>
    <row r="117" spans="3:24" x14ac:dyDescent="0.25">
      <c r="C117" t="s">
        <v>204</v>
      </c>
      <c r="D117" s="35">
        <v>565</v>
      </c>
      <c r="E117" s="36">
        <v>3527.3980000000001</v>
      </c>
      <c r="F117" s="31">
        <v>560.49699477010017</v>
      </c>
      <c r="G117" s="12">
        <v>-9.8299999999999272</v>
      </c>
      <c r="K117" s="31">
        <v>560.49699477010017</v>
      </c>
      <c r="L117" s="12">
        <v>-9.8299999999999272</v>
      </c>
      <c r="O117" s="12"/>
      <c r="P117" s="12"/>
      <c r="Q117" s="21"/>
    </row>
    <row r="118" spans="3:24" x14ac:dyDescent="0.25">
      <c r="C118" t="s">
        <v>205</v>
      </c>
      <c r="D118" s="35">
        <v>570</v>
      </c>
      <c r="E118" s="36">
        <v>3526.96</v>
      </c>
      <c r="F118" s="31">
        <v>565.47777342408585</v>
      </c>
      <c r="G118" s="12">
        <v>-10.268000000000029</v>
      </c>
      <c r="K118" s="31">
        <v>565.47777342408585</v>
      </c>
      <c r="L118" s="12">
        <v>-10.268000000000029</v>
      </c>
      <c r="O118" s="12"/>
      <c r="P118" s="12"/>
      <c r="Q118" s="21"/>
    </row>
    <row r="119" spans="3:24" x14ac:dyDescent="0.25">
      <c r="C119" t="s">
        <v>206</v>
      </c>
      <c r="D119" s="35">
        <v>575</v>
      </c>
      <c r="E119" s="36">
        <v>3526.5920000000001</v>
      </c>
      <c r="F119" s="31">
        <v>570.46421263458467</v>
      </c>
      <c r="G119" s="12">
        <v>-10.635999999999967</v>
      </c>
      <c r="K119" s="31">
        <v>570.46421263458467</v>
      </c>
      <c r="L119" s="12">
        <v>-10.635999999999967</v>
      </c>
      <c r="O119" s="12"/>
      <c r="P119" s="12"/>
      <c r="Q119" s="21"/>
    </row>
    <row r="120" spans="3:24" x14ac:dyDescent="0.25">
      <c r="C120" t="s">
        <v>207</v>
      </c>
      <c r="D120" s="35">
        <v>580</v>
      </c>
      <c r="E120" s="36">
        <v>3527.3939999999998</v>
      </c>
      <c r="F120" s="31">
        <v>575.39947311403262</v>
      </c>
      <c r="G120" s="12">
        <v>-9.8340000000002874</v>
      </c>
      <c r="K120" s="31">
        <v>575.39947311403262</v>
      </c>
      <c r="L120" s="12">
        <v>-9.8340000000002874</v>
      </c>
      <c r="O120" s="12"/>
      <c r="P120" s="12"/>
      <c r="Q120" s="21"/>
    </row>
    <row r="121" spans="3:24" x14ac:dyDescent="0.25">
      <c r="C121" t="s">
        <v>208</v>
      </c>
      <c r="D121" s="35">
        <v>585</v>
      </c>
      <c r="E121" s="36">
        <v>3526.5929999999998</v>
      </c>
      <c r="F121" s="31">
        <v>580.33489599358404</v>
      </c>
      <c r="G121" s="12">
        <v>-10.635000000000218</v>
      </c>
      <c r="K121" s="31">
        <v>580.33489599358404</v>
      </c>
      <c r="L121" s="12">
        <v>-10.635000000000218</v>
      </c>
      <c r="O121" s="12"/>
      <c r="P121" s="12"/>
      <c r="Q121" s="21"/>
    </row>
    <row r="122" spans="3:24" x14ac:dyDescent="0.25">
      <c r="C122" t="s">
        <v>209</v>
      </c>
      <c r="D122" s="35">
        <v>590</v>
      </c>
      <c r="E122" s="36">
        <v>3527.7910000000002</v>
      </c>
      <c r="F122" s="31">
        <v>585.18925444759202</v>
      </c>
      <c r="G122" s="12">
        <v>-9.4369999999998981</v>
      </c>
      <c r="K122" s="31">
        <v>585.18925444759202</v>
      </c>
      <c r="L122" s="12">
        <v>-9.4369999999998981</v>
      </c>
      <c r="O122" s="12"/>
      <c r="P122" s="12"/>
      <c r="Q122" s="21"/>
    </row>
    <row r="123" spans="3:24" x14ac:dyDescent="0.25">
      <c r="C123" t="s">
        <v>210</v>
      </c>
      <c r="D123" s="35">
        <v>595</v>
      </c>
      <c r="E123" s="36">
        <v>3527.384</v>
      </c>
      <c r="F123" s="31">
        <v>590.17266201671578</v>
      </c>
      <c r="G123" s="12">
        <v>-9.8440000000000509</v>
      </c>
      <c r="K123" s="31">
        <v>590.17266201671578</v>
      </c>
      <c r="L123" s="12">
        <v>-9.8440000000000509</v>
      </c>
      <c r="O123" s="12"/>
      <c r="P123" s="12"/>
      <c r="Q123" s="21"/>
    </row>
    <row r="124" spans="3:24" x14ac:dyDescent="0.25">
      <c r="C124" t="s">
        <v>238</v>
      </c>
      <c r="D124" s="35">
        <v>600</v>
      </c>
      <c r="E124" s="36">
        <v>3529.998</v>
      </c>
      <c r="F124" s="31">
        <v>594.43493887304498</v>
      </c>
      <c r="G124" s="12">
        <v>-7.2300000000000182</v>
      </c>
      <c r="K124" s="31">
        <v>594.43493887304498</v>
      </c>
      <c r="L124" s="12">
        <v>-7.2300000000000182</v>
      </c>
      <c r="O124" s="12"/>
      <c r="P124" s="12"/>
      <c r="Q124" s="21"/>
      <c r="U124" s="12"/>
    </row>
    <row r="125" spans="3:24" x14ac:dyDescent="0.25">
      <c r="C125" t="s">
        <v>239</v>
      </c>
      <c r="D125" s="35">
        <v>605</v>
      </c>
      <c r="E125" s="36">
        <v>3529.5819999999999</v>
      </c>
      <c r="F125" s="31">
        <v>599.4176032205603</v>
      </c>
      <c r="G125" s="12">
        <v>-7.6460000000001855</v>
      </c>
      <c r="H125" t="s">
        <v>175</v>
      </c>
      <c r="I125">
        <f>I127-6</f>
        <v>609</v>
      </c>
      <c r="J125" s="21">
        <v>3528.4244897959102</v>
      </c>
      <c r="K125" s="31">
        <v>599.4176032205603</v>
      </c>
      <c r="L125" s="12">
        <v>-7.6460000000001855</v>
      </c>
      <c r="M125" s="12">
        <f>M127-6</f>
        <v>603.34312776397621</v>
      </c>
      <c r="N125" s="12">
        <f>J125-MAX($E$4:$E$171)</f>
        <v>-8.8035102040898892</v>
      </c>
      <c r="O125" s="12"/>
      <c r="P125" s="12"/>
      <c r="Q125" s="21">
        <v>3528.9760000000001</v>
      </c>
      <c r="R125" s="12">
        <f>Q125-MAX($E$4:$E$172)</f>
        <v>-8.2519999999999527</v>
      </c>
      <c r="S125" s="12">
        <f t="shared" ref="S125:S151" si="0">M125:M149</f>
        <v>603.34312776397621</v>
      </c>
      <c r="T125">
        <v>-8.2519999999999527</v>
      </c>
      <c r="U125" s="12">
        <v>-6</v>
      </c>
      <c r="V125" s="12">
        <f>R125</f>
        <v>-8.2519999999999527</v>
      </c>
      <c r="W125">
        <v>-6</v>
      </c>
      <c r="X125" s="12">
        <f>V125</f>
        <v>-8.2519999999999527</v>
      </c>
    </row>
    <row r="126" spans="3:24" x14ac:dyDescent="0.25">
      <c r="C126" t="s">
        <v>240</v>
      </c>
      <c r="D126" s="35">
        <v>610</v>
      </c>
      <c r="E126" s="36">
        <v>3528.8249999999998</v>
      </c>
      <c r="F126" s="31">
        <v>604.35996611698943</v>
      </c>
      <c r="G126" s="12">
        <v>-8.4030000000002474</v>
      </c>
      <c r="H126" t="s">
        <v>175</v>
      </c>
      <c r="I126">
        <f>I127-3</f>
        <v>612</v>
      </c>
      <c r="J126" s="21">
        <v>3528.748</v>
      </c>
      <c r="K126" s="31">
        <v>604.35996611698943</v>
      </c>
      <c r="L126" s="12">
        <v>-8.4030000000002474</v>
      </c>
      <c r="M126" s="12">
        <f>M127-3</f>
        <v>606.34312776397621</v>
      </c>
      <c r="N126" s="12">
        <f t="shared" ref="N126:N151" si="1">J126-MAX($E$4:$E$171)</f>
        <v>-8.4800000000000182</v>
      </c>
      <c r="O126" s="12"/>
      <c r="P126" s="12"/>
      <c r="Q126" s="21">
        <v>3528.6448979591801</v>
      </c>
      <c r="R126" s="12">
        <f t="shared" ref="R126:R151" si="2">Q126-MAX($E$4:$E$172)</f>
        <v>-8.5831020408199947</v>
      </c>
      <c r="S126" s="12">
        <f t="shared" si="0"/>
        <v>606.34312776397621</v>
      </c>
      <c r="T126">
        <v>-8.5831020408199947</v>
      </c>
      <c r="U126" s="12">
        <v>-3</v>
      </c>
      <c r="V126" s="12">
        <f t="shared" ref="V126:V151" si="3">R126</f>
        <v>-8.5831020408199947</v>
      </c>
      <c r="W126">
        <v>-3</v>
      </c>
      <c r="X126" s="12">
        <f t="shared" ref="X126:X151" si="4">V126</f>
        <v>-8.5831020408199947</v>
      </c>
    </row>
    <row r="127" spans="3:24" x14ac:dyDescent="0.25">
      <c r="C127" t="s">
        <v>241</v>
      </c>
      <c r="D127" s="35">
        <v>615</v>
      </c>
      <c r="E127" s="36">
        <v>3528.415</v>
      </c>
      <c r="F127" s="31">
        <v>609.34312776397621</v>
      </c>
      <c r="G127" s="12">
        <v>-8.8130000000001019</v>
      </c>
      <c r="H127" t="s">
        <v>103</v>
      </c>
      <c r="I127">
        <f>D127</f>
        <v>615</v>
      </c>
      <c r="J127" s="21">
        <v>3528.5880000000002</v>
      </c>
      <c r="K127" s="31">
        <v>609.34312776397621</v>
      </c>
      <c r="L127" s="12">
        <v>-8.8130000000001019</v>
      </c>
      <c r="M127" s="31">
        <f>K127</f>
        <v>609.34312776397621</v>
      </c>
      <c r="N127" s="12">
        <f t="shared" si="1"/>
        <v>-8.6399999999998727</v>
      </c>
      <c r="O127" s="12"/>
      <c r="P127" s="12"/>
      <c r="Q127" s="21">
        <v>3528.4</v>
      </c>
      <c r="R127" s="12">
        <f t="shared" si="2"/>
        <v>-8.8279999999999745</v>
      </c>
      <c r="S127" s="12">
        <f t="shared" si="0"/>
        <v>609.34312776397621</v>
      </c>
      <c r="T127">
        <v>-8.8279999999999745</v>
      </c>
      <c r="U127" s="12">
        <f>M127-$M$127</f>
        <v>0</v>
      </c>
      <c r="V127" s="12">
        <f t="shared" si="3"/>
        <v>-8.8279999999999745</v>
      </c>
      <c r="W127">
        <v>0</v>
      </c>
      <c r="X127" s="12">
        <f t="shared" si="4"/>
        <v>-8.8279999999999745</v>
      </c>
    </row>
    <row r="128" spans="3:24" x14ac:dyDescent="0.25">
      <c r="C128" t="s">
        <v>242</v>
      </c>
      <c r="D128" s="35">
        <v>620</v>
      </c>
      <c r="E128" s="36">
        <v>3528.51</v>
      </c>
      <c r="F128" s="31">
        <v>614.3422251825109</v>
      </c>
      <c r="G128" s="12">
        <v>-8.7179999999998472</v>
      </c>
      <c r="H128" t="s">
        <v>104</v>
      </c>
      <c r="I128">
        <f>I127+2</f>
        <v>617</v>
      </c>
      <c r="J128" s="21">
        <v>3528.4279999999999</v>
      </c>
      <c r="K128" s="31">
        <v>614.3422251825109</v>
      </c>
      <c r="L128" s="12">
        <v>-8.7179999999998472</v>
      </c>
      <c r="M128" s="31">
        <f>M127+(SQRT((I128-I127)^2-(J128-J127)^2))</f>
        <v>611.33671749107657</v>
      </c>
      <c r="N128" s="12">
        <f t="shared" si="1"/>
        <v>-8.8000000000001819</v>
      </c>
      <c r="O128" s="12"/>
      <c r="P128" s="12"/>
      <c r="Q128" s="21">
        <v>3528.44</v>
      </c>
      <c r="R128" s="12">
        <f t="shared" si="2"/>
        <v>-8.7880000000000109</v>
      </c>
      <c r="S128" s="12">
        <f t="shared" si="0"/>
        <v>611.33671749107657</v>
      </c>
      <c r="T128">
        <v>-8.7880000000000109</v>
      </c>
      <c r="U128" s="12">
        <f t="shared" ref="U128:U151" si="5">M128-$M$127</f>
        <v>1.9935897271003569</v>
      </c>
      <c r="V128" s="12">
        <f t="shared" si="3"/>
        <v>-8.7880000000000109</v>
      </c>
      <c r="W128">
        <v>2</v>
      </c>
      <c r="X128" s="12">
        <f t="shared" si="4"/>
        <v>-8.7880000000000109</v>
      </c>
    </row>
    <row r="129" spans="3:24" x14ac:dyDescent="0.25">
      <c r="C129" t="s">
        <v>243</v>
      </c>
      <c r="D129" s="35">
        <v>625</v>
      </c>
      <c r="E129" s="36">
        <v>3527.819</v>
      </c>
      <c r="F129" s="31">
        <v>619.29424689086397</v>
      </c>
      <c r="G129" s="12">
        <v>-9.4090000000001055</v>
      </c>
      <c r="H129" t="s">
        <v>105</v>
      </c>
      <c r="I129">
        <f t="shared" ref="I129:I151" si="6">I128+2</f>
        <v>619</v>
      </c>
      <c r="J129" s="21">
        <v>3528.4679999999998</v>
      </c>
      <c r="K129" s="31">
        <v>619.29424689086397</v>
      </c>
      <c r="L129" s="12">
        <v>-9.4090000000001055</v>
      </c>
      <c r="M129" s="31">
        <f t="shared" ref="M129:M151" si="7">M128+(SQRT((I129-I128)^2-(J129-J128)^2))</f>
        <v>613.33631745106857</v>
      </c>
      <c r="N129" s="12">
        <f t="shared" si="1"/>
        <v>-8.7600000000002183</v>
      </c>
      <c r="O129" s="12"/>
      <c r="P129" s="12"/>
      <c r="Q129" s="21">
        <v>3528.48</v>
      </c>
      <c r="R129" s="12">
        <f t="shared" si="2"/>
        <v>-8.7480000000000473</v>
      </c>
      <c r="S129" s="12">
        <f t="shared" si="0"/>
        <v>613.33631745106857</v>
      </c>
      <c r="T129">
        <v>-8.7480000000000473</v>
      </c>
      <c r="U129" s="12">
        <f t="shared" si="5"/>
        <v>3.9931896870923538</v>
      </c>
      <c r="V129" s="12">
        <f t="shared" si="3"/>
        <v>-8.7480000000000473</v>
      </c>
      <c r="W129">
        <v>4</v>
      </c>
      <c r="X129" s="12">
        <f t="shared" si="4"/>
        <v>-8.7480000000000473</v>
      </c>
    </row>
    <row r="130" spans="3:24" x14ac:dyDescent="0.25">
      <c r="C130" t="s">
        <v>244</v>
      </c>
      <c r="D130" s="35">
        <v>630</v>
      </c>
      <c r="E130" s="36">
        <v>3528.4540000000002</v>
      </c>
      <c r="F130" s="31">
        <v>624.25376047588418</v>
      </c>
      <c r="G130" s="12">
        <v>-8.7739999999998872</v>
      </c>
      <c r="H130" t="s">
        <v>106</v>
      </c>
      <c r="I130">
        <f t="shared" si="6"/>
        <v>621</v>
      </c>
      <c r="J130" s="21">
        <v>3528.5080000000003</v>
      </c>
      <c r="K130" s="31">
        <v>624.25376047588418</v>
      </c>
      <c r="L130" s="12">
        <v>-8.7739999999998872</v>
      </c>
      <c r="M130" s="31">
        <f t="shared" si="7"/>
        <v>615.33591741106056</v>
      </c>
      <c r="N130" s="12">
        <f t="shared" si="1"/>
        <v>-8.7199999999997999</v>
      </c>
      <c r="O130" s="12"/>
      <c r="P130" s="12"/>
      <c r="Q130" s="21">
        <v>3528.36</v>
      </c>
      <c r="R130" s="12">
        <f t="shared" si="2"/>
        <v>-8.8679999999999382</v>
      </c>
      <c r="S130" s="12">
        <f t="shared" si="0"/>
        <v>615.33591741106056</v>
      </c>
      <c r="T130">
        <v>-8.8679999999999382</v>
      </c>
      <c r="U130" s="12">
        <f t="shared" si="5"/>
        <v>5.9927896470843507</v>
      </c>
      <c r="V130" s="12">
        <f t="shared" si="3"/>
        <v>-8.8679999999999382</v>
      </c>
      <c r="W130">
        <v>6</v>
      </c>
      <c r="X130" s="12">
        <f t="shared" si="4"/>
        <v>-8.8679999999999382</v>
      </c>
    </row>
    <row r="131" spans="3:24" x14ac:dyDescent="0.25">
      <c r="C131" t="s">
        <v>245</v>
      </c>
      <c r="D131" s="35">
        <v>635</v>
      </c>
      <c r="E131" s="36">
        <v>3528.886</v>
      </c>
      <c r="F131" s="31">
        <v>629.23506311676033</v>
      </c>
      <c r="G131" s="12">
        <v>-8.3420000000000982</v>
      </c>
      <c r="H131" t="s">
        <v>107</v>
      </c>
      <c r="I131">
        <f t="shared" si="6"/>
        <v>623</v>
      </c>
      <c r="J131" s="21">
        <v>3528.3879999999999</v>
      </c>
      <c r="K131" s="31">
        <v>629.23506311676033</v>
      </c>
      <c r="L131" s="12">
        <v>-8.3420000000000982</v>
      </c>
      <c r="M131" s="31">
        <f t="shared" si="7"/>
        <v>617.33231416521539</v>
      </c>
      <c r="N131" s="12">
        <f t="shared" si="1"/>
        <v>-8.8400000000001455</v>
      </c>
      <c r="O131" s="12"/>
      <c r="P131" s="12"/>
      <c r="Q131" s="21">
        <v>3528.08</v>
      </c>
      <c r="R131" s="12">
        <f t="shared" si="2"/>
        <v>-9.1480000000001382</v>
      </c>
      <c r="S131" s="12">
        <f t="shared" si="0"/>
        <v>617.33231416521539</v>
      </c>
      <c r="T131">
        <v>-9.1480000000001382</v>
      </c>
      <c r="U131" s="12">
        <f t="shared" si="5"/>
        <v>7.9891864012391807</v>
      </c>
      <c r="V131" s="12">
        <f t="shared" si="3"/>
        <v>-9.1480000000001382</v>
      </c>
      <c r="W131">
        <v>8</v>
      </c>
      <c r="X131" s="12">
        <f t="shared" si="4"/>
        <v>-9.1480000000001382</v>
      </c>
    </row>
    <row r="132" spans="3:24" x14ac:dyDescent="0.25">
      <c r="C132" t="s">
        <v>246</v>
      </c>
      <c r="D132" s="35">
        <v>640</v>
      </c>
      <c r="E132" s="36">
        <v>3527.4879999999998</v>
      </c>
      <c r="F132" s="31">
        <v>634.03564599803622</v>
      </c>
      <c r="G132" s="12">
        <v>-9.7400000000002365</v>
      </c>
      <c r="H132" t="s">
        <v>108</v>
      </c>
      <c r="I132">
        <f t="shared" si="6"/>
        <v>625</v>
      </c>
      <c r="J132" s="21">
        <v>3528.1080000000002</v>
      </c>
      <c r="K132" s="31">
        <v>634.03564599803622</v>
      </c>
      <c r="L132" s="12">
        <v>-9.7400000000002365</v>
      </c>
      <c r="M132" s="31">
        <f t="shared" si="7"/>
        <v>619.31261717233326</v>
      </c>
      <c r="N132" s="12">
        <f t="shared" si="1"/>
        <v>-9.1199999999998909</v>
      </c>
      <c r="O132" s="12"/>
      <c r="P132" s="12"/>
      <c r="Q132" s="21">
        <v>3527.8</v>
      </c>
      <c r="R132" s="12">
        <f t="shared" si="2"/>
        <v>-9.4279999999998836</v>
      </c>
      <c r="S132" s="12">
        <f t="shared" si="0"/>
        <v>619.31261717233326</v>
      </c>
      <c r="T132">
        <v>-9.4279999999998836</v>
      </c>
      <c r="U132" s="12">
        <f t="shared" si="5"/>
        <v>9.9694894083570489</v>
      </c>
      <c r="V132" s="12">
        <f t="shared" si="3"/>
        <v>-9.4279999999998836</v>
      </c>
      <c r="W132">
        <v>10</v>
      </c>
      <c r="X132" s="12">
        <f t="shared" si="4"/>
        <v>-9.4279999999998836</v>
      </c>
    </row>
    <row r="133" spans="3:24" x14ac:dyDescent="0.25">
      <c r="C133" t="s">
        <v>247</v>
      </c>
      <c r="D133" s="35">
        <v>645</v>
      </c>
      <c r="E133" s="36">
        <v>3527.672</v>
      </c>
      <c r="F133" s="31">
        <v>639.03225925103072</v>
      </c>
      <c r="G133" s="12">
        <v>-9.55600000000004</v>
      </c>
      <c r="H133" t="s">
        <v>109</v>
      </c>
      <c r="I133">
        <f t="shared" si="6"/>
        <v>627</v>
      </c>
      <c r="J133" s="21">
        <v>3527.828</v>
      </c>
      <c r="K133" s="31">
        <v>639.03225925103072</v>
      </c>
      <c r="L133" s="12">
        <v>-9.55600000000004</v>
      </c>
      <c r="M133" s="31">
        <f t="shared" si="7"/>
        <v>621.29292017945113</v>
      </c>
      <c r="N133" s="12">
        <f t="shared" si="1"/>
        <v>-9.4000000000000909</v>
      </c>
      <c r="O133" s="12"/>
      <c r="P133" s="12"/>
      <c r="Q133" s="21">
        <v>3528.08</v>
      </c>
      <c r="R133" s="12">
        <f t="shared" si="2"/>
        <v>-9.1480000000001382</v>
      </c>
      <c r="S133" s="12">
        <f t="shared" si="0"/>
        <v>621.29292017945113</v>
      </c>
      <c r="T133">
        <v>-9.1480000000001382</v>
      </c>
      <c r="U133" s="12">
        <f t="shared" si="5"/>
        <v>11.949792415474917</v>
      </c>
      <c r="V133" s="12">
        <f t="shared" si="3"/>
        <v>-9.1480000000001382</v>
      </c>
      <c r="W133">
        <v>12</v>
      </c>
      <c r="X133" s="12">
        <f t="shared" si="4"/>
        <v>-9.1480000000001382</v>
      </c>
    </row>
    <row r="134" spans="3:24" x14ac:dyDescent="0.25">
      <c r="C134" t="s">
        <v>248</v>
      </c>
      <c r="D134" s="35">
        <v>650</v>
      </c>
      <c r="E134" s="36">
        <v>3528.2</v>
      </c>
      <c r="F134" s="31">
        <v>644.00430269412334</v>
      </c>
      <c r="G134" s="12">
        <v>-9.0280000000002474</v>
      </c>
      <c r="H134" t="s">
        <v>110</v>
      </c>
      <c r="I134">
        <f t="shared" si="6"/>
        <v>629</v>
      </c>
      <c r="J134" s="21">
        <v>3528.0680000000002</v>
      </c>
      <c r="K134" s="31">
        <v>644.00430269412334</v>
      </c>
      <c r="L134" s="12">
        <v>-9.0280000000002474</v>
      </c>
      <c r="M134" s="31">
        <f t="shared" si="7"/>
        <v>623.2784679628096</v>
      </c>
      <c r="N134" s="12">
        <f t="shared" si="1"/>
        <v>-9.1599999999998545</v>
      </c>
      <c r="O134" s="12"/>
      <c r="P134" s="12"/>
      <c r="Q134" s="21">
        <v>3528.36</v>
      </c>
      <c r="R134" s="12">
        <f t="shared" si="2"/>
        <v>-8.8679999999999382</v>
      </c>
      <c r="S134" s="12">
        <f t="shared" si="0"/>
        <v>623.2784679628096</v>
      </c>
      <c r="T134">
        <v>-8.8679999999999382</v>
      </c>
      <c r="U134" s="12">
        <f t="shared" si="5"/>
        <v>13.935340198833387</v>
      </c>
      <c r="V134" s="12">
        <f t="shared" si="3"/>
        <v>-8.8679999999999382</v>
      </c>
      <c r="W134">
        <v>14</v>
      </c>
      <c r="X134" s="12">
        <f t="shared" si="4"/>
        <v>-8.8679999999999382</v>
      </c>
    </row>
    <row r="135" spans="3:24" x14ac:dyDescent="0.25">
      <c r="C135" t="s">
        <v>249</v>
      </c>
      <c r="D135" s="35">
        <v>655</v>
      </c>
      <c r="E135" s="36">
        <v>3529.473</v>
      </c>
      <c r="F135" s="31">
        <v>648.83953495328103</v>
      </c>
      <c r="G135" s="12">
        <v>-7.7550000000001091</v>
      </c>
      <c r="H135" t="s">
        <v>111</v>
      </c>
      <c r="I135">
        <f t="shared" si="6"/>
        <v>631</v>
      </c>
      <c r="J135" s="21">
        <v>3528.308</v>
      </c>
      <c r="K135" s="31">
        <v>648.83953495328103</v>
      </c>
      <c r="L135" s="12">
        <v>-7.7550000000001091</v>
      </c>
      <c r="M135" s="31">
        <f t="shared" si="7"/>
        <v>625.26401574616818</v>
      </c>
      <c r="N135" s="12">
        <f t="shared" si="1"/>
        <v>-8.9200000000000728</v>
      </c>
      <c r="O135" s="12"/>
      <c r="P135" s="12"/>
      <c r="Q135" s="21">
        <v>3528.5816326530598</v>
      </c>
      <c r="R135" s="12">
        <f t="shared" si="2"/>
        <v>-8.6463673469402238</v>
      </c>
      <c r="S135" s="12">
        <f t="shared" si="0"/>
        <v>625.26401574616818</v>
      </c>
      <c r="T135">
        <v>-8.6463673469402238</v>
      </c>
      <c r="U135" s="12">
        <f t="shared" si="5"/>
        <v>15.920887982191971</v>
      </c>
      <c r="V135" s="12">
        <f t="shared" si="3"/>
        <v>-8.6463673469402238</v>
      </c>
      <c r="W135">
        <v>16</v>
      </c>
      <c r="X135" s="12">
        <f t="shared" si="4"/>
        <v>-8.6463673469402238</v>
      </c>
    </row>
    <row r="136" spans="3:24" x14ac:dyDescent="0.25">
      <c r="C136" t="s">
        <v>250</v>
      </c>
      <c r="D136" s="35">
        <v>660</v>
      </c>
      <c r="E136" s="36">
        <v>3529.9929999999999</v>
      </c>
      <c r="F136" s="31">
        <v>653.81242143901545</v>
      </c>
      <c r="G136" s="12">
        <v>-7.2350000000001273</v>
      </c>
      <c r="H136" t="s">
        <v>112</v>
      </c>
      <c r="I136">
        <f t="shared" si="6"/>
        <v>633</v>
      </c>
      <c r="J136" s="21">
        <v>3528.5280000000002</v>
      </c>
      <c r="K136" s="31">
        <v>653.81242143901545</v>
      </c>
      <c r="L136" s="12">
        <v>-7.2350000000001273</v>
      </c>
      <c r="M136" s="31">
        <f t="shared" si="7"/>
        <v>627.25187892053407</v>
      </c>
      <c r="N136" s="12">
        <f t="shared" si="1"/>
        <v>-8.6999999999998181</v>
      </c>
      <c r="O136" s="12"/>
      <c r="P136" s="12"/>
      <c r="Q136" s="21">
        <v>3528.74489795918</v>
      </c>
      <c r="R136" s="12">
        <f t="shared" si="2"/>
        <v>-8.4831020408200857</v>
      </c>
      <c r="S136" s="12">
        <f t="shared" si="0"/>
        <v>627.25187892053407</v>
      </c>
      <c r="T136">
        <v>-8.4831020408200857</v>
      </c>
      <c r="U136" s="12">
        <f t="shared" si="5"/>
        <v>17.908751156557855</v>
      </c>
      <c r="V136" s="12">
        <f t="shared" si="3"/>
        <v>-8.4831020408200857</v>
      </c>
      <c r="W136">
        <v>18</v>
      </c>
      <c r="X136" s="12">
        <f t="shared" si="4"/>
        <v>-8.4831020408200857</v>
      </c>
    </row>
    <row r="137" spans="3:24" x14ac:dyDescent="0.25">
      <c r="C137" t="s">
        <v>251</v>
      </c>
      <c r="D137" s="35">
        <v>665</v>
      </c>
      <c r="E137" s="36">
        <v>3530.0340000000001</v>
      </c>
      <c r="F137" s="31">
        <v>658.81225333618954</v>
      </c>
      <c r="G137" s="12">
        <v>-7.19399999999996</v>
      </c>
      <c r="H137" t="s">
        <v>113</v>
      </c>
      <c r="I137">
        <f t="shared" si="6"/>
        <v>635</v>
      </c>
      <c r="J137" s="21">
        <v>3528.7280000000001</v>
      </c>
      <c r="K137" s="31">
        <v>658.81225333618954</v>
      </c>
      <c r="L137" s="12">
        <v>-7.19399999999996</v>
      </c>
      <c r="M137" s="31">
        <f t="shared" si="7"/>
        <v>629.24185379474727</v>
      </c>
      <c r="N137" s="12">
        <f t="shared" si="1"/>
        <v>-8.5</v>
      </c>
      <c r="O137" s="12"/>
      <c r="P137" s="12"/>
      <c r="Q137" s="21">
        <v>3528.9</v>
      </c>
      <c r="R137" s="12">
        <f t="shared" si="2"/>
        <v>-8.3279999999999745</v>
      </c>
      <c r="S137" s="12">
        <f t="shared" si="0"/>
        <v>629.24185379474727</v>
      </c>
      <c r="T137">
        <v>-8.3279999999999745</v>
      </c>
      <c r="U137" s="12">
        <f t="shared" si="5"/>
        <v>19.898726030771059</v>
      </c>
      <c r="V137" s="12">
        <f t="shared" si="3"/>
        <v>-8.3279999999999745</v>
      </c>
      <c r="W137">
        <v>20</v>
      </c>
      <c r="X137" s="12">
        <f t="shared" si="4"/>
        <v>-8.3279999999999745</v>
      </c>
    </row>
    <row r="138" spans="3:24" x14ac:dyDescent="0.25">
      <c r="C138" t="s">
        <v>252</v>
      </c>
      <c r="D138" s="35">
        <v>670</v>
      </c>
      <c r="E138" s="36">
        <v>3530.643</v>
      </c>
      <c r="F138" s="31">
        <v>663.77502665359987</v>
      </c>
      <c r="G138" s="12">
        <v>-6.5850000000000364</v>
      </c>
      <c r="H138" t="s">
        <v>114</v>
      </c>
      <c r="I138">
        <f t="shared" si="6"/>
        <v>637</v>
      </c>
      <c r="J138" s="21">
        <v>3528.9279999999999</v>
      </c>
      <c r="K138" s="31">
        <v>663.77502665359987</v>
      </c>
      <c r="L138" s="12">
        <v>-6.5850000000000364</v>
      </c>
      <c r="M138" s="31">
        <f t="shared" si="7"/>
        <v>631.23182866896047</v>
      </c>
      <c r="N138" s="12">
        <f t="shared" si="1"/>
        <v>-8.3000000000001819</v>
      </c>
      <c r="O138" s="12"/>
      <c r="P138" s="12"/>
      <c r="Q138" s="21">
        <v>3528.3166666666598</v>
      </c>
      <c r="R138" s="12">
        <f t="shared" si="2"/>
        <v>-8.9113333333402807</v>
      </c>
      <c r="S138" s="12">
        <f t="shared" si="0"/>
        <v>631.23182866896047</v>
      </c>
      <c r="T138">
        <v>-8.9113333333402807</v>
      </c>
      <c r="U138" s="12">
        <f t="shared" si="5"/>
        <v>21.888700904984262</v>
      </c>
      <c r="V138" s="12">
        <f t="shared" si="3"/>
        <v>-8.9113333333402807</v>
      </c>
      <c r="W138">
        <v>22</v>
      </c>
      <c r="X138" s="12">
        <f t="shared" si="4"/>
        <v>-8.9113333333402807</v>
      </c>
    </row>
    <row r="139" spans="3:24" x14ac:dyDescent="0.25">
      <c r="C139" t="s">
        <v>253</v>
      </c>
      <c r="D139" s="35">
        <v>675</v>
      </c>
      <c r="E139" s="36">
        <v>3527.8180000000002</v>
      </c>
      <c r="F139" s="31">
        <v>667.90048117401352</v>
      </c>
      <c r="G139" s="12">
        <v>-9.4099999999998545</v>
      </c>
      <c r="H139" t="s">
        <v>115</v>
      </c>
      <c r="I139">
        <f t="shared" si="6"/>
        <v>639</v>
      </c>
      <c r="J139" s="21">
        <v>3528.3679999999999</v>
      </c>
      <c r="K139" s="31">
        <v>667.90048117401352</v>
      </c>
      <c r="L139" s="12">
        <v>-9.4099999999998545</v>
      </c>
      <c r="M139" s="31">
        <f t="shared" si="7"/>
        <v>633.15182866896043</v>
      </c>
      <c r="N139" s="12">
        <f t="shared" si="1"/>
        <v>-8.8600000000001273</v>
      </c>
      <c r="O139" s="12"/>
      <c r="P139" s="12"/>
      <c r="Q139" s="21">
        <v>3527.7333333333299</v>
      </c>
      <c r="R139" s="12">
        <f t="shared" si="2"/>
        <v>-9.4946666666701276</v>
      </c>
      <c r="S139" s="12">
        <f t="shared" si="0"/>
        <v>633.15182866896043</v>
      </c>
      <c r="T139">
        <v>-9.4946666666701276</v>
      </c>
      <c r="U139" s="12">
        <f t="shared" si="5"/>
        <v>23.808700904984221</v>
      </c>
      <c r="V139" s="12">
        <f t="shared" si="3"/>
        <v>-9.4946666666701276</v>
      </c>
      <c r="W139">
        <v>24</v>
      </c>
      <c r="X139" s="12">
        <f t="shared" si="4"/>
        <v>-9.4946666666701276</v>
      </c>
    </row>
    <row r="140" spans="3:24" x14ac:dyDescent="0.25">
      <c r="C140" t="s">
        <v>254</v>
      </c>
      <c r="D140" s="35">
        <v>680</v>
      </c>
      <c r="E140" s="36">
        <v>3526.413</v>
      </c>
      <c r="F140" s="31">
        <v>672.6990200141189</v>
      </c>
      <c r="G140" s="12">
        <v>-10.815000000000055</v>
      </c>
      <c r="H140" t="s">
        <v>116</v>
      </c>
      <c r="I140">
        <f t="shared" si="6"/>
        <v>641</v>
      </c>
      <c r="J140" s="21">
        <v>3527.808</v>
      </c>
      <c r="K140" s="31">
        <v>672.6990200141189</v>
      </c>
      <c r="L140" s="12">
        <v>-10.815000000000055</v>
      </c>
      <c r="M140" s="31">
        <f t="shared" si="7"/>
        <v>635.07182866896051</v>
      </c>
      <c r="N140" s="12">
        <f t="shared" si="1"/>
        <v>-9.4200000000000728</v>
      </c>
      <c r="O140" s="12"/>
      <c r="P140" s="12"/>
      <c r="Q140" s="21">
        <v>3527.5439999999999</v>
      </c>
      <c r="R140" s="12">
        <f t="shared" si="2"/>
        <v>-9.6840000000001965</v>
      </c>
      <c r="S140" s="12">
        <f t="shared" si="0"/>
        <v>635.07182866896051</v>
      </c>
      <c r="T140">
        <v>-9.6840000000001965</v>
      </c>
      <c r="U140" s="12">
        <f t="shared" si="5"/>
        <v>25.728700904984294</v>
      </c>
      <c r="V140" s="12">
        <f t="shared" si="3"/>
        <v>-9.6840000000001965</v>
      </c>
      <c r="W140">
        <v>26</v>
      </c>
      <c r="X140" s="12">
        <f t="shared" si="4"/>
        <v>-9.6840000000001965</v>
      </c>
    </row>
    <row r="141" spans="3:24" x14ac:dyDescent="0.25">
      <c r="C141" t="s">
        <v>255</v>
      </c>
      <c r="D141" s="35">
        <v>685</v>
      </c>
      <c r="E141" s="36">
        <v>3526.2689999999998</v>
      </c>
      <c r="F141" s="31">
        <v>677.69694598395881</v>
      </c>
      <c r="G141" s="12">
        <v>-10.959000000000287</v>
      </c>
      <c r="H141" t="s">
        <v>117</v>
      </c>
      <c r="I141">
        <f t="shared" si="6"/>
        <v>643</v>
      </c>
      <c r="J141" s="21">
        <v>3527.5480000000002</v>
      </c>
      <c r="K141" s="31">
        <v>677.69694598395881</v>
      </c>
      <c r="L141" s="12">
        <v>-10.959000000000287</v>
      </c>
      <c r="M141" s="31">
        <f t="shared" si="7"/>
        <v>637.05485665666015</v>
      </c>
      <c r="N141" s="12">
        <f t="shared" si="1"/>
        <v>-9.6799999999998363</v>
      </c>
      <c r="O141" s="12"/>
      <c r="P141" s="12"/>
      <c r="Q141" s="21">
        <v>3527.6239999999998</v>
      </c>
      <c r="R141" s="12">
        <f t="shared" si="2"/>
        <v>-9.6040000000002692</v>
      </c>
      <c r="S141" s="12">
        <f t="shared" si="0"/>
        <v>637.05485665666015</v>
      </c>
      <c r="T141">
        <v>-9.6040000000002692</v>
      </c>
      <c r="U141" s="12">
        <f t="shared" si="5"/>
        <v>27.711728892683936</v>
      </c>
      <c r="V141" s="12">
        <f t="shared" si="3"/>
        <v>-9.6040000000002692</v>
      </c>
      <c r="W141">
        <v>28</v>
      </c>
      <c r="X141" s="12">
        <f t="shared" si="4"/>
        <v>-9.6040000000002692</v>
      </c>
    </row>
    <row r="142" spans="3:24" x14ac:dyDescent="0.25">
      <c r="C142" t="s">
        <v>256</v>
      </c>
      <c r="D142" s="35">
        <v>690</v>
      </c>
      <c r="E142" s="36">
        <v>3526.6120000000001</v>
      </c>
      <c r="F142" s="31">
        <v>682.68516721000719</v>
      </c>
      <c r="G142" s="12">
        <v>-10.615999999999985</v>
      </c>
      <c r="H142" t="s">
        <v>118</v>
      </c>
      <c r="I142">
        <f t="shared" si="6"/>
        <v>645</v>
      </c>
      <c r="J142" s="21">
        <v>3527.5880000000002</v>
      </c>
      <c r="K142" s="31">
        <v>682.68516721000719</v>
      </c>
      <c r="L142" s="12">
        <v>-10.615999999999985</v>
      </c>
      <c r="M142" s="31">
        <f t="shared" si="7"/>
        <v>639.05445661665215</v>
      </c>
      <c r="N142" s="12">
        <f t="shared" si="1"/>
        <v>-9.6399999999998727</v>
      </c>
      <c r="O142" s="12"/>
      <c r="P142" s="12"/>
      <c r="Q142" s="21">
        <v>3527.71</v>
      </c>
      <c r="R142" s="12">
        <f t="shared" si="2"/>
        <v>-9.5180000000000291</v>
      </c>
      <c r="S142" s="12">
        <f t="shared" si="0"/>
        <v>639.05445661665215</v>
      </c>
      <c r="T142">
        <v>-9.5180000000000291</v>
      </c>
      <c r="U142" s="12">
        <f t="shared" si="5"/>
        <v>29.711328852675933</v>
      </c>
      <c r="V142" s="12">
        <f t="shared" si="3"/>
        <v>-9.5180000000000291</v>
      </c>
      <c r="W142">
        <v>30</v>
      </c>
      <c r="X142" s="12">
        <f t="shared" si="4"/>
        <v>-9.5180000000000291</v>
      </c>
    </row>
    <row r="143" spans="3:24" x14ac:dyDescent="0.25">
      <c r="C143" t="s">
        <v>257</v>
      </c>
      <c r="D143" s="35">
        <v>695</v>
      </c>
      <c r="E143" s="36">
        <v>3526.3290000000002</v>
      </c>
      <c r="F143" s="31">
        <v>687.67715188546447</v>
      </c>
      <c r="G143" s="12">
        <v>-10.898999999999887</v>
      </c>
      <c r="H143" t="s">
        <v>119</v>
      </c>
      <c r="I143">
        <f t="shared" si="6"/>
        <v>647</v>
      </c>
      <c r="J143" s="21">
        <v>3527.6280000000002</v>
      </c>
      <c r="K143" s="31">
        <v>687.67715188546447</v>
      </c>
      <c r="L143" s="12">
        <v>-10.898999999999887</v>
      </c>
      <c r="M143" s="31">
        <f t="shared" si="7"/>
        <v>641.05405657664414</v>
      </c>
      <c r="N143" s="12">
        <f t="shared" si="1"/>
        <v>-9.5999999999999091</v>
      </c>
      <c r="O143" s="12"/>
      <c r="P143" s="12"/>
      <c r="Q143" s="21">
        <v>3527.91</v>
      </c>
      <c r="R143" s="12">
        <f t="shared" si="2"/>
        <v>-9.318000000000211</v>
      </c>
      <c r="S143" s="12">
        <f t="shared" si="0"/>
        <v>641.05405657664414</v>
      </c>
      <c r="T143">
        <v>-9.318000000000211</v>
      </c>
      <c r="U143" s="12">
        <f t="shared" si="5"/>
        <v>31.71092881266793</v>
      </c>
      <c r="V143" s="12">
        <f t="shared" si="3"/>
        <v>-9.318000000000211</v>
      </c>
      <c r="W143">
        <v>32</v>
      </c>
      <c r="X143" s="12">
        <f t="shared" si="4"/>
        <v>-9.318000000000211</v>
      </c>
    </row>
    <row r="144" spans="3:24" x14ac:dyDescent="0.25">
      <c r="C144" t="s">
        <v>258</v>
      </c>
      <c r="D144" s="35">
        <v>700</v>
      </c>
      <c r="E144" s="36">
        <v>3526.8760000000002</v>
      </c>
      <c r="F144" s="31">
        <v>692.64714091965755</v>
      </c>
      <c r="G144" s="12">
        <v>-10.351999999999862</v>
      </c>
      <c r="H144" t="s">
        <v>120</v>
      </c>
      <c r="I144">
        <f t="shared" si="6"/>
        <v>649</v>
      </c>
      <c r="J144" s="21">
        <v>3527.8679999999999</v>
      </c>
      <c r="K144" s="31">
        <v>692.64714091965755</v>
      </c>
      <c r="L144" s="12">
        <v>-10.351999999999862</v>
      </c>
      <c r="M144" s="31">
        <f t="shared" si="7"/>
        <v>643.03960436000273</v>
      </c>
      <c r="N144" s="12">
        <f t="shared" si="1"/>
        <v>-9.3600000000001273</v>
      </c>
      <c r="O144" s="12"/>
      <c r="P144" s="12"/>
      <c r="Q144" s="21">
        <v>3528.1</v>
      </c>
      <c r="R144" s="12">
        <f t="shared" si="2"/>
        <v>-9.1280000000001564</v>
      </c>
      <c r="S144" s="12">
        <f t="shared" si="0"/>
        <v>643.03960436000273</v>
      </c>
      <c r="T144">
        <v>-9.1280000000001564</v>
      </c>
      <c r="U144" s="12">
        <f t="shared" si="5"/>
        <v>33.696476596026514</v>
      </c>
      <c r="V144" s="12">
        <f t="shared" si="3"/>
        <v>-9.1280000000001564</v>
      </c>
      <c r="W144">
        <v>34</v>
      </c>
      <c r="X144" s="12">
        <f t="shared" si="4"/>
        <v>-9.1280000000001564</v>
      </c>
    </row>
    <row r="145" spans="3:24" x14ac:dyDescent="0.25">
      <c r="C145" t="s">
        <v>259</v>
      </c>
      <c r="D145" s="35">
        <v>705</v>
      </c>
      <c r="E145" s="36">
        <v>3524.1579999999999</v>
      </c>
      <c r="F145" s="31">
        <v>696.84386297383253</v>
      </c>
      <c r="G145" s="12">
        <v>-13.070000000000164</v>
      </c>
      <c r="H145" t="s">
        <v>121</v>
      </c>
      <c r="I145">
        <f t="shared" si="6"/>
        <v>651</v>
      </c>
      <c r="J145" s="21">
        <v>3528.1080000000002</v>
      </c>
      <c r="K145" s="31">
        <v>696.84386297383253</v>
      </c>
      <c r="L145" s="12">
        <v>-13.070000000000164</v>
      </c>
      <c r="M145" s="31">
        <f t="shared" si="7"/>
        <v>645.0251521433612</v>
      </c>
      <c r="N145" s="12">
        <f t="shared" si="1"/>
        <v>-9.1199999999998909</v>
      </c>
      <c r="O145" s="12"/>
      <c r="P145" s="12"/>
      <c r="Q145" s="21">
        <v>3528.4708333333301</v>
      </c>
      <c r="R145" s="12">
        <f t="shared" si="2"/>
        <v>-8.7571666666699457</v>
      </c>
      <c r="S145" s="12">
        <f t="shared" si="0"/>
        <v>645.0251521433612</v>
      </c>
      <c r="T145">
        <v>-8.7571666666699457</v>
      </c>
      <c r="U145" s="12">
        <f t="shared" si="5"/>
        <v>35.682024379384984</v>
      </c>
      <c r="V145" s="12">
        <f t="shared" si="3"/>
        <v>-8.7571666666699457</v>
      </c>
      <c r="W145">
        <v>36</v>
      </c>
      <c r="X145" s="12">
        <f t="shared" si="4"/>
        <v>-8.7571666666699457</v>
      </c>
    </row>
    <row r="146" spans="3:24" x14ac:dyDescent="0.25">
      <c r="C146" t="s">
        <v>260</v>
      </c>
      <c r="D146" s="35">
        <v>710</v>
      </c>
      <c r="E146" s="36">
        <v>3524.1080000000002</v>
      </c>
      <c r="F146" s="31">
        <v>701.8436129675822</v>
      </c>
      <c r="G146" s="12">
        <v>-13.119999999999891</v>
      </c>
      <c r="H146" t="s">
        <v>122</v>
      </c>
      <c r="I146">
        <f t="shared" si="6"/>
        <v>653</v>
      </c>
      <c r="J146" s="21">
        <v>3528.4679999999998</v>
      </c>
      <c r="K146" s="31">
        <v>701.8436129675822</v>
      </c>
      <c r="L146" s="12">
        <v>-13.119999999999891</v>
      </c>
      <c r="M146" s="31">
        <f t="shared" si="7"/>
        <v>646.99248536373852</v>
      </c>
      <c r="N146" s="12">
        <f t="shared" si="1"/>
        <v>-8.7600000000002183</v>
      </c>
      <c r="O146" s="12"/>
      <c r="P146" s="12"/>
      <c r="Q146" s="21">
        <v>3529.0124999999998</v>
      </c>
      <c r="R146" s="12">
        <f t="shared" si="2"/>
        <v>-8.2155000000002474</v>
      </c>
      <c r="S146" s="12">
        <f t="shared" si="0"/>
        <v>646.99248536373852</v>
      </c>
      <c r="T146">
        <v>-8.2155000000002474</v>
      </c>
      <c r="U146" s="12">
        <f t="shared" si="5"/>
        <v>37.649357599762311</v>
      </c>
      <c r="V146" s="12">
        <f t="shared" si="3"/>
        <v>-8.2155000000002474</v>
      </c>
      <c r="W146">
        <v>38</v>
      </c>
      <c r="X146" s="12">
        <f t="shared" si="4"/>
        <v>-8.2155000000002474</v>
      </c>
    </row>
    <row r="147" spans="3:24" x14ac:dyDescent="0.25">
      <c r="C147" t="s">
        <v>261</v>
      </c>
      <c r="D147" s="35">
        <v>715</v>
      </c>
      <c r="E147" s="36">
        <v>3526.4270000000001</v>
      </c>
      <c r="F147" s="31">
        <v>706.27331261880011</v>
      </c>
      <c r="G147" s="12">
        <v>-10.800999999999931</v>
      </c>
      <c r="H147" t="s">
        <v>123</v>
      </c>
      <c r="I147">
        <f t="shared" si="6"/>
        <v>655</v>
      </c>
      <c r="J147" s="21">
        <v>3528.9479999999999</v>
      </c>
      <c r="K147" s="31">
        <v>706.27331261880011</v>
      </c>
      <c r="L147" s="12">
        <v>-10.800999999999931</v>
      </c>
      <c r="M147" s="31">
        <f t="shared" si="7"/>
        <v>648.93403113966042</v>
      </c>
      <c r="N147" s="12">
        <f t="shared" si="1"/>
        <v>-8.2800000000002001</v>
      </c>
      <c r="O147" s="12"/>
      <c r="P147" s="12"/>
      <c r="Q147" s="21">
        <v>3529.51</v>
      </c>
      <c r="R147" s="12">
        <f t="shared" si="2"/>
        <v>-7.7179999999998472</v>
      </c>
      <c r="S147" s="12">
        <f t="shared" si="0"/>
        <v>648.93403113966042</v>
      </c>
      <c r="T147">
        <v>-7.7179999999998472</v>
      </c>
      <c r="U147" s="12">
        <f t="shared" si="5"/>
        <v>39.590903375684206</v>
      </c>
      <c r="V147" s="12">
        <f t="shared" si="3"/>
        <v>-7.7179999999998472</v>
      </c>
      <c r="W147">
        <v>40</v>
      </c>
      <c r="X147" s="12">
        <f t="shared" si="4"/>
        <v>-7.7179999999998472</v>
      </c>
    </row>
    <row r="148" spans="3:24" x14ac:dyDescent="0.25">
      <c r="C148" t="s">
        <v>262</v>
      </c>
      <c r="D148" s="35">
        <v>720</v>
      </c>
      <c r="E148" s="36">
        <v>3525.5010000000002</v>
      </c>
      <c r="F148" s="31">
        <v>711.18681686729735</v>
      </c>
      <c r="G148" s="12">
        <v>-11.726999999999862</v>
      </c>
      <c r="H148" t="s">
        <v>124</v>
      </c>
      <c r="I148">
        <f t="shared" si="6"/>
        <v>657</v>
      </c>
      <c r="J148" s="21">
        <v>3529.4279999999999</v>
      </c>
      <c r="K148" s="31">
        <v>711.18681686729735</v>
      </c>
      <c r="L148" s="12">
        <v>-11.726999999999862</v>
      </c>
      <c r="M148" s="31">
        <f t="shared" si="7"/>
        <v>650.87557691558231</v>
      </c>
      <c r="N148" s="12">
        <f t="shared" si="1"/>
        <v>-7.8000000000001819</v>
      </c>
      <c r="O148" s="12"/>
      <c r="P148" s="12"/>
      <c r="Q148" s="21">
        <v>3529.71</v>
      </c>
      <c r="R148" s="12">
        <f t="shared" si="2"/>
        <v>-7.5180000000000291</v>
      </c>
      <c r="S148" s="12">
        <f t="shared" si="0"/>
        <v>650.87557691558231</v>
      </c>
      <c r="T148">
        <v>-7.5180000000000291</v>
      </c>
      <c r="U148" s="12">
        <f t="shared" si="5"/>
        <v>41.532449151606102</v>
      </c>
      <c r="V148" s="12">
        <f t="shared" si="3"/>
        <v>-7.5180000000000291</v>
      </c>
      <c r="W148">
        <v>42</v>
      </c>
      <c r="X148" s="12">
        <f t="shared" si="4"/>
        <v>-7.5180000000000291</v>
      </c>
    </row>
    <row r="149" spans="3:24" x14ac:dyDescent="0.25">
      <c r="C149" t="s">
        <v>263</v>
      </c>
      <c r="D149" s="35">
        <v>725</v>
      </c>
      <c r="E149" s="36">
        <v>3525.7779999999998</v>
      </c>
      <c r="F149" s="31">
        <v>716.17913807090599</v>
      </c>
      <c r="G149" s="12">
        <v>-11.450000000000273</v>
      </c>
      <c r="H149" t="s">
        <v>125</v>
      </c>
      <c r="I149">
        <f t="shared" si="6"/>
        <v>659</v>
      </c>
      <c r="J149" s="21">
        <v>3529.6680000000001</v>
      </c>
      <c r="K149" s="31">
        <v>716.17913807090599</v>
      </c>
      <c r="L149" s="12">
        <v>-11.450000000000273</v>
      </c>
      <c r="M149" s="31">
        <f t="shared" si="7"/>
        <v>652.86112469894078</v>
      </c>
      <c r="N149" s="12">
        <f t="shared" si="1"/>
        <v>-7.5599999999999454</v>
      </c>
      <c r="O149" s="12"/>
      <c r="P149" s="12"/>
      <c r="Q149" s="21">
        <v>3529.91</v>
      </c>
      <c r="R149" s="12">
        <f t="shared" si="2"/>
        <v>-7.318000000000211</v>
      </c>
      <c r="S149" s="12">
        <f t="shared" si="0"/>
        <v>652.86112469894078</v>
      </c>
      <c r="T149">
        <v>-7.318000000000211</v>
      </c>
      <c r="U149" s="12">
        <f t="shared" si="5"/>
        <v>43.517996934964572</v>
      </c>
      <c r="V149" s="12">
        <f t="shared" si="3"/>
        <v>-7.318000000000211</v>
      </c>
      <c r="W149">
        <v>44</v>
      </c>
      <c r="X149" s="12">
        <f t="shared" si="4"/>
        <v>-7.318000000000211</v>
      </c>
    </row>
    <row r="150" spans="3:24" x14ac:dyDescent="0.25">
      <c r="C150" t="s">
        <v>264</v>
      </c>
      <c r="D150" s="35">
        <v>730</v>
      </c>
      <c r="E150" s="36">
        <v>3525.74</v>
      </c>
      <c r="F150" s="31">
        <v>721.17899366882079</v>
      </c>
      <c r="G150" s="12">
        <v>-11.488000000000284</v>
      </c>
      <c r="H150" t="s">
        <v>126</v>
      </c>
      <c r="I150">
        <f t="shared" si="6"/>
        <v>661</v>
      </c>
      <c r="J150" s="21">
        <v>3529.9079999999999</v>
      </c>
      <c r="K150" s="31">
        <v>721.17899366882079</v>
      </c>
      <c r="L150" s="12">
        <v>-11.488000000000284</v>
      </c>
      <c r="M150" s="31">
        <f t="shared" si="7"/>
        <v>654.84667248229937</v>
      </c>
      <c r="N150" s="12">
        <f t="shared" si="1"/>
        <v>-7.3200000000001637</v>
      </c>
      <c r="O150" s="12"/>
      <c r="P150" s="12"/>
      <c r="Q150" s="21">
        <v>3530</v>
      </c>
      <c r="R150" s="12">
        <f t="shared" si="2"/>
        <v>-7.2280000000000655</v>
      </c>
      <c r="S150" s="12">
        <f t="shared" si="0"/>
        <v>654.84667248229937</v>
      </c>
      <c r="T150">
        <v>-7.2280000000000655</v>
      </c>
      <c r="U150" s="12">
        <f t="shared" si="5"/>
        <v>45.503544718323155</v>
      </c>
      <c r="V150" s="12">
        <f t="shared" si="3"/>
        <v>-7.2280000000000655</v>
      </c>
      <c r="W150">
        <v>46</v>
      </c>
      <c r="X150" s="12">
        <f t="shared" si="4"/>
        <v>-7.2280000000000655</v>
      </c>
    </row>
    <row r="151" spans="3:24" x14ac:dyDescent="0.25">
      <c r="C151" t="s">
        <v>265</v>
      </c>
      <c r="D151" s="35">
        <v>735</v>
      </c>
      <c r="E151" s="36">
        <v>3524.7710000000002</v>
      </c>
      <c r="F151" s="31">
        <v>726.0841989652381</v>
      </c>
      <c r="G151" s="12">
        <v>-12.45699999999988</v>
      </c>
      <c r="H151" t="s">
        <v>175</v>
      </c>
      <c r="I151">
        <f t="shared" si="6"/>
        <v>663</v>
      </c>
      <c r="J151" s="21">
        <v>3530.0280000000002</v>
      </c>
      <c r="K151" s="31">
        <v>726.0841989652381</v>
      </c>
      <c r="L151" s="12">
        <v>-12.45699999999988</v>
      </c>
      <c r="M151" s="31">
        <f t="shared" si="7"/>
        <v>656.8430692364542</v>
      </c>
      <c r="N151" s="12">
        <f t="shared" si="1"/>
        <v>-7.1999999999998181</v>
      </c>
      <c r="O151" s="12"/>
      <c r="P151" s="12"/>
      <c r="Q151" s="21">
        <v>3530</v>
      </c>
      <c r="R151" s="12">
        <f t="shared" si="2"/>
        <v>-7.2280000000000655</v>
      </c>
      <c r="S151" s="12">
        <f t="shared" si="0"/>
        <v>656.8430692364542</v>
      </c>
      <c r="T151">
        <v>-7.2280000000000655</v>
      </c>
      <c r="U151" s="12">
        <f t="shared" si="5"/>
        <v>47.499941472477985</v>
      </c>
      <c r="V151" s="12">
        <f t="shared" si="3"/>
        <v>-7.2280000000000655</v>
      </c>
      <c r="W151">
        <v>48</v>
      </c>
      <c r="X151" s="12">
        <f t="shared" si="4"/>
        <v>-7.2280000000000655</v>
      </c>
    </row>
    <row r="152" spans="3:24" x14ac:dyDescent="0.25">
      <c r="C152" t="s">
        <v>266</v>
      </c>
      <c r="D152" s="35">
        <v>740</v>
      </c>
      <c r="E152" s="36">
        <v>3524.1280000000002</v>
      </c>
      <c r="F152" s="31">
        <v>731.04268169688089</v>
      </c>
      <c r="G152" s="12">
        <v>-13.099999999999909</v>
      </c>
      <c r="J152" s="21"/>
      <c r="K152" s="31">
        <v>731.04268169688089</v>
      </c>
      <c r="L152" s="12">
        <v>-13.099999999999909</v>
      </c>
      <c r="M152" s="31"/>
      <c r="O152" s="12"/>
      <c r="P152" s="12"/>
      <c r="U152" s="12"/>
    </row>
    <row r="153" spans="3:24" x14ac:dyDescent="0.25">
      <c r="C153" t="s">
        <v>267</v>
      </c>
      <c r="D153" s="35">
        <v>745</v>
      </c>
      <c r="E153" s="36">
        <v>3522.933</v>
      </c>
      <c r="F153" s="31">
        <v>735.89777953317628</v>
      </c>
      <c r="G153" s="12">
        <v>-14.295000000000073</v>
      </c>
      <c r="K153" s="31">
        <v>735.89777953317628</v>
      </c>
      <c r="L153" s="12">
        <v>-14.295000000000073</v>
      </c>
      <c r="M153" s="31"/>
      <c r="O153" s="12"/>
      <c r="P153" s="12"/>
      <c r="Q153" s="21"/>
    </row>
    <row r="154" spans="3:24" x14ac:dyDescent="0.25">
      <c r="C154" t="s">
        <v>268</v>
      </c>
      <c r="D154" s="35">
        <v>750</v>
      </c>
      <c r="E154" s="36">
        <v>3522.0610000000001</v>
      </c>
      <c r="F154" s="31">
        <v>740.8211539857241</v>
      </c>
      <c r="G154" s="12">
        <v>-15.166999999999916</v>
      </c>
      <c r="K154" s="31">
        <v>740.8211539857241</v>
      </c>
      <c r="L154" s="12">
        <v>-15.166999999999916</v>
      </c>
      <c r="M154" s="31"/>
      <c r="O154" s="12"/>
      <c r="P154" s="12"/>
      <c r="Q154" s="21"/>
    </row>
    <row r="155" spans="3:24" x14ac:dyDescent="0.25">
      <c r="C155" t="s">
        <v>269</v>
      </c>
      <c r="D155" s="35">
        <v>755</v>
      </c>
      <c r="E155" s="36">
        <v>3521.1869999999999</v>
      </c>
      <c r="F155" s="31">
        <v>745.7441737906812</v>
      </c>
      <c r="G155" s="12">
        <v>-16.041000000000167</v>
      </c>
      <c r="K155" s="31">
        <v>745.7441737906812</v>
      </c>
      <c r="L155" s="12">
        <v>-16.041000000000167</v>
      </c>
      <c r="M155" s="31"/>
      <c r="O155" s="12"/>
      <c r="P155" s="12"/>
      <c r="Q155" s="21"/>
    </row>
    <row r="156" spans="3:24" x14ac:dyDescent="0.25">
      <c r="C156" t="s">
        <v>270</v>
      </c>
      <c r="D156" s="35">
        <v>760</v>
      </c>
      <c r="E156" s="36">
        <v>3520.3090000000002</v>
      </c>
      <c r="F156" s="31">
        <v>750.66648178592084</v>
      </c>
      <c r="G156" s="12">
        <v>-16.918999999999869</v>
      </c>
      <c r="K156" s="31">
        <v>750.66648178592084</v>
      </c>
      <c r="L156" s="12">
        <v>-16.918999999999869</v>
      </c>
      <c r="M156" s="31"/>
      <c r="O156" s="12"/>
      <c r="P156" s="12"/>
      <c r="Q156" s="21"/>
    </row>
    <row r="157" spans="3:24" x14ac:dyDescent="0.25">
      <c r="C157" t="s">
        <v>271</v>
      </c>
      <c r="D157" s="35">
        <v>765</v>
      </c>
      <c r="E157" s="36">
        <v>3520.1930000000002</v>
      </c>
      <c r="F157" s="31">
        <v>755.66513600480812</v>
      </c>
      <c r="G157" s="12">
        <v>-17.034999999999854</v>
      </c>
      <c r="K157" s="31">
        <v>755.66513600480812</v>
      </c>
      <c r="L157" s="12">
        <v>-17.034999999999854</v>
      </c>
      <c r="M157" s="31"/>
      <c r="O157" s="12"/>
      <c r="P157" s="12"/>
      <c r="Q157" s="21"/>
    </row>
    <row r="158" spans="3:24" x14ac:dyDescent="0.25">
      <c r="C158" t="s">
        <v>272</v>
      </c>
      <c r="D158" s="35">
        <v>770</v>
      </c>
      <c r="E158" s="36">
        <v>3520.998</v>
      </c>
      <c r="F158" s="31">
        <v>760.59990803601693</v>
      </c>
      <c r="G158" s="12">
        <v>-16.230000000000018</v>
      </c>
      <c r="K158" s="31">
        <v>760.59990803601693</v>
      </c>
      <c r="L158" s="12">
        <v>-16.230000000000018</v>
      </c>
      <c r="M158" s="31"/>
      <c r="O158" s="12"/>
      <c r="P158" s="12"/>
      <c r="Q158" s="21"/>
    </row>
    <row r="159" spans="3:24" x14ac:dyDescent="0.25">
      <c r="C159" t="s">
        <v>273</v>
      </c>
      <c r="D159" s="35">
        <v>775</v>
      </c>
      <c r="E159" s="36">
        <v>3518.8420000000001</v>
      </c>
      <c r="F159" s="31">
        <v>765.11118989375984</v>
      </c>
      <c r="G159" s="12">
        <v>-18.385999999999967</v>
      </c>
      <c r="K159" s="31">
        <v>765.11118989375984</v>
      </c>
      <c r="L159" s="12">
        <v>-18.385999999999967</v>
      </c>
      <c r="M159" s="31"/>
      <c r="O159" s="12"/>
      <c r="P159" s="12"/>
      <c r="Q159" s="21"/>
    </row>
    <row r="160" spans="3:24" x14ac:dyDescent="0.25">
      <c r="C160" t="s">
        <v>274</v>
      </c>
      <c r="D160" s="35">
        <v>780</v>
      </c>
      <c r="E160" s="36">
        <v>3516.9810000000002</v>
      </c>
      <c r="F160" s="31">
        <v>769.75195265434138</v>
      </c>
      <c r="G160" s="12">
        <v>-20.246999999999844</v>
      </c>
      <c r="K160" s="31">
        <v>769.75195265434138</v>
      </c>
      <c r="L160" s="12">
        <v>-20.246999999999844</v>
      </c>
      <c r="M160" s="31"/>
      <c r="O160" s="12"/>
      <c r="P160" s="12"/>
      <c r="Q160" s="21"/>
    </row>
    <row r="161" spans="3:17" x14ac:dyDescent="0.25">
      <c r="C161" t="s">
        <v>275</v>
      </c>
      <c r="D161" s="35">
        <v>785</v>
      </c>
      <c r="E161" s="36">
        <v>3516.5590000000002</v>
      </c>
      <c r="F161" s="31">
        <v>774.73411242697011</v>
      </c>
      <c r="G161" s="12">
        <v>-20.668999999999869</v>
      </c>
      <c r="K161" s="31">
        <v>774.73411242697011</v>
      </c>
      <c r="L161" s="12">
        <v>-20.668999999999869</v>
      </c>
      <c r="M161" s="31"/>
      <c r="O161" s="12"/>
      <c r="P161" s="12"/>
      <c r="Q161" s="21"/>
    </row>
    <row r="162" spans="3:17" x14ac:dyDescent="0.25">
      <c r="C162" t="s">
        <v>276</v>
      </c>
      <c r="D162" s="35">
        <v>790</v>
      </c>
      <c r="E162" s="36">
        <v>3518.2170000000001</v>
      </c>
      <c r="F162" s="31">
        <v>779.4512128075005</v>
      </c>
      <c r="G162" s="12">
        <v>-19.010999999999967</v>
      </c>
      <c r="K162" s="31">
        <v>779.4512128075005</v>
      </c>
      <c r="L162" s="12">
        <v>-19.010999999999967</v>
      </c>
      <c r="M162" s="31"/>
      <c r="O162" s="12"/>
      <c r="P162" s="12"/>
      <c r="Q162" s="21"/>
    </row>
    <row r="163" spans="3:17" x14ac:dyDescent="0.25">
      <c r="C163" t="s">
        <v>277</v>
      </c>
      <c r="D163" s="35">
        <v>795</v>
      </c>
      <c r="E163" s="36">
        <v>3519.8139999999999</v>
      </c>
      <c r="F163" s="31">
        <v>784.18931274312877</v>
      </c>
      <c r="G163" s="12">
        <v>-17.414000000000215</v>
      </c>
      <c r="K163" s="31">
        <v>784.18931274312877</v>
      </c>
      <c r="L163" s="12">
        <v>-17.414000000000215</v>
      </c>
      <c r="M163" s="31"/>
      <c r="O163" s="12"/>
      <c r="P163" s="12"/>
      <c r="Q163" s="21"/>
    </row>
    <row r="164" spans="3:17" x14ac:dyDescent="0.25">
      <c r="C164" t="s">
        <v>278</v>
      </c>
      <c r="D164" s="35">
        <v>800</v>
      </c>
      <c r="E164" s="36">
        <v>3517.5439999999999</v>
      </c>
      <c r="F164" s="31">
        <v>788.64432116062926</v>
      </c>
      <c r="G164" s="12">
        <v>-19.684000000000196</v>
      </c>
      <c r="K164" s="31">
        <v>788.64432116062926</v>
      </c>
      <c r="L164" s="12">
        <v>-19.684000000000196</v>
      </c>
      <c r="M164" s="31"/>
      <c r="O164" s="12"/>
      <c r="P164" s="12"/>
      <c r="Q164" s="21"/>
    </row>
    <row r="165" spans="3:17" x14ac:dyDescent="0.25">
      <c r="C165" t="s">
        <v>279</v>
      </c>
      <c r="D165" s="35">
        <v>805</v>
      </c>
      <c r="E165" s="36">
        <v>3518.71</v>
      </c>
      <c r="F165" s="31">
        <v>793.506465132171</v>
      </c>
      <c r="G165" s="12">
        <v>-18.518000000000029</v>
      </c>
      <c r="K165" s="31">
        <v>793.506465132171</v>
      </c>
      <c r="L165" s="12">
        <v>-18.518000000000029</v>
      </c>
      <c r="M165" s="31"/>
      <c r="O165" s="12"/>
      <c r="P165" s="12"/>
      <c r="Q165" s="21"/>
    </row>
    <row r="166" spans="3:17" x14ac:dyDescent="0.25">
      <c r="C166" t="s">
        <v>280</v>
      </c>
      <c r="D166" s="35">
        <v>810</v>
      </c>
      <c r="E166" s="36">
        <v>3518.8119999999999</v>
      </c>
      <c r="F166" s="31">
        <v>798.50542462390524</v>
      </c>
      <c r="G166" s="12">
        <v>-18.416000000000167</v>
      </c>
      <c r="K166" s="31">
        <v>798.50542462390524</v>
      </c>
      <c r="L166" s="12">
        <v>-18.416000000000167</v>
      </c>
      <c r="M166" s="31"/>
      <c r="O166" s="12"/>
      <c r="P166" s="12"/>
      <c r="Q166" s="21"/>
    </row>
    <row r="167" spans="3:17" x14ac:dyDescent="0.25">
      <c r="C167" t="s">
        <v>281</v>
      </c>
      <c r="D167" s="35">
        <v>815</v>
      </c>
      <c r="E167" s="36">
        <v>3518.6379999999999</v>
      </c>
      <c r="F167" s="31">
        <v>803.5023961067136</v>
      </c>
      <c r="G167" s="12">
        <v>-18.590000000000146</v>
      </c>
      <c r="K167" s="31">
        <v>803.5023961067136</v>
      </c>
      <c r="L167" s="12">
        <v>-18.590000000000146</v>
      </c>
      <c r="M167" s="31"/>
      <c r="O167" s="12"/>
      <c r="P167" s="12"/>
      <c r="Q167" s="21"/>
    </row>
    <row r="168" spans="3:17" x14ac:dyDescent="0.25">
      <c r="C168" t="s">
        <v>282</v>
      </c>
      <c r="D168" s="35">
        <v>820</v>
      </c>
      <c r="E168" s="36">
        <v>3517.0479999999998</v>
      </c>
      <c r="F168" s="31">
        <v>808.24284967151095</v>
      </c>
      <c r="G168" s="12">
        <v>-20.180000000000291</v>
      </c>
      <c r="K168" s="31">
        <v>808.24284967151095</v>
      </c>
      <c r="L168" s="12">
        <v>-20.180000000000291</v>
      </c>
      <c r="M168" s="31"/>
      <c r="O168" s="12"/>
      <c r="P168" s="12"/>
      <c r="Q168" s="21"/>
    </row>
    <row r="169" spans="3:17" x14ac:dyDescent="0.25">
      <c r="C169" t="s">
        <v>283</v>
      </c>
      <c r="D169" s="35">
        <v>825</v>
      </c>
      <c r="E169" s="36">
        <v>3517.0129999999999</v>
      </c>
      <c r="F169" s="31">
        <v>813.24272717001031</v>
      </c>
      <c r="G169" s="12">
        <v>-20.215000000000146</v>
      </c>
      <c r="K169" s="31">
        <v>813.24272717001031</v>
      </c>
      <c r="L169" s="12">
        <v>-20.215000000000146</v>
      </c>
      <c r="M169" s="31"/>
      <c r="O169" s="12"/>
      <c r="P169" s="12"/>
      <c r="Q169" s="21"/>
    </row>
    <row r="170" spans="3:17" x14ac:dyDescent="0.25">
      <c r="C170" t="s">
        <v>284</v>
      </c>
      <c r="D170" s="35">
        <v>830</v>
      </c>
      <c r="E170" s="36">
        <v>3517.136</v>
      </c>
      <c r="F170" s="31">
        <v>818.24121404105438</v>
      </c>
      <c r="G170" s="12">
        <v>-20.092000000000098</v>
      </c>
      <c r="K170" s="31">
        <v>818.24121404105438</v>
      </c>
      <c r="L170" s="12">
        <v>-20.092000000000098</v>
      </c>
      <c r="M170" s="31"/>
      <c r="O170" s="12"/>
      <c r="P170" s="12"/>
      <c r="Q170" s="21"/>
    </row>
    <row r="171" spans="3:17" x14ac:dyDescent="0.25">
      <c r="C171" t="s">
        <v>285</v>
      </c>
      <c r="D171" s="35">
        <v>835</v>
      </c>
      <c r="E171" s="36">
        <v>3516.8539999999998</v>
      </c>
      <c r="F171" s="31">
        <v>823.23325530690943</v>
      </c>
      <c r="G171" s="12">
        <v>-20.374000000000251</v>
      </c>
      <c r="K171" s="31">
        <v>823.23325530690943</v>
      </c>
      <c r="L171" s="12">
        <v>-20.374000000000251</v>
      </c>
      <c r="M171" s="31"/>
      <c r="O171" s="12"/>
      <c r="P171" s="12"/>
      <c r="Q171" s="21"/>
    </row>
    <row r="172" spans="3:17" x14ac:dyDescent="0.25">
      <c r="Q172" s="21"/>
    </row>
    <row r="173" spans="3:17" x14ac:dyDescent="0.25">
      <c r="P173" s="37"/>
      <c r="Q173" s="21"/>
    </row>
    <row r="174" spans="3:17" x14ac:dyDescent="0.25">
      <c r="Q174" s="21"/>
    </row>
    <row r="175" spans="3:17" x14ac:dyDescent="0.25">
      <c r="P175" s="37"/>
      <c r="Q175" s="21"/>
    </row>
    <row r="176" spans="3:17" x14ac:dyDescent="0.25">
      <c r="Q176" s="21"/>
    </row>
    <row r="177" spans="16:17" x14ac:dyDescent="0.25">
      <c r="P177" s="37"/>
      <c r="Q177" s="21"/>
    </row>
    <row r="178" spans="16:17" x14ac:dyDescent="0.25">
      <c r="Q178" s="21"/>
    </row>
    <row r="179" spans="16:17" x14ac:dyDescent="0.25">
      <c r="Q179" s="21"/>
    </row>
    <row r="180" spans="16:17" x14ac:dyDescent="0.25">
      <c r="Q180" s="21"/>
    </row>
    <row r="181" spans="16:17" x14ac:dyDescent="0.25">
      <c r="Q181" s="21"/>
    </row>
    <row r="182" spans="16:17" x14ac:dyDescent="0.25">
      <c r="Q182" s="21"/>
    </row>
    <row r="183" spans="16:17" x14ac:dyDescent="0.25">
      <c r="Q183" s="21"/>
    </row>
    <row r="184" spans="16:17" x14ac:dyDescent="0.25">
      <c r="Q184" s="21"/>
    </row>
    <row r="185" spans="16:17" x14ac:dyDescent="0.25">
      <c r="Q185" s="21"/>
    </row>
    <row r="186" spans="16:17" x14ac:dyDescent="0.25">
      <c r="Q186" s="21"/>
    </row>
    <row r="187" spans="16:17" x14ac:dyDescent="0.25">
      <c r="Q187" s="21"/>
    </row>
    <row r="188" spans="16:17" x14ac:dyDescent="0.25">
      <c r="Q188" s="21"/>
    </row>
    <row r="189" spans="16:17" x14ac:dyDescent="0.25">
      <c r="Q189" s="21"/>
    </row>
    <row r="190" spans="16:17" x14ac:dyDescent="0.25">
      <c r="Q190" s="21"/>
    </row>
    <row r="191" spans="16:17" x14ac:dyDescent="0.25">
      <c r="Q191" s="21"/>
    </row>
    <row r="192" spans="16:17" x14ac:dyDescent="0.25">
      <c r="Q192" s="21"/>
    </row>
    <row r="193" spans="17:17" x14ac:dyDescent="0.25">
      <c r="Q193" s="21"/>
    </row>
    <row r="194" spans="17:17" x14ac:dyDescent="0.25">
      <c r="Q194" s="21"/>
    </row>
    <row r="195" spans="17:17" x14ac:dyDescent="0.25">
      <c r="Q195" s="21"/>
    </row>
    <row r="196" spans="17:17" x14ac:dyDescent="0.25">
      <c r="Q196" s="21"/>
    </row>
    <row r="197" spans="17:17" x14ac:dyDescent="0.25">
      <c r="Q197" s="21"/>
    </row>
    <row r="198" spans="17:17" x14ac:dyDescent="0.25">
      <c r="Q198" s="21"/>
    </row>
    <row r="199" spans="17:17" x14ac:dyDescent="0.25">
      <c r="Q199" s="21"/>
    </row>
    <row r="200" spans="17:17" x14ac:dyDescent="0.25">
      <c r="Q200" s="21"/>
    </row>
    <row r="201" spans="17:17" x14ac:dyDescent="0.25">
      <c r="Q201" s="21"/>
    </row>
    <row r="202" spans="17:17" x14ac:dyDescent="0.25">
      <c r="Q202" s="21"/>
    </row>
    <row r="203" spans="17:17" x14ac:dyDescent="0.25">
      <c r="Q203" s="21"/>
    </row>
    <row r="204" spans="17:17" x14ac:dyDescent="0.25">
      <c r="Q204" s="21"/>
    </row>
    <row r="205" spans="17:17" x14ac:dyDescent="0.25">
      <c r="Q205" s="21"/>
    </row>
    <row r="206" spans="17:17" x14ac:dyDescent="0.25">
      <c r="Q206" s="21"/>
    </row>
    <row r="207" spans="17:17" x14ac:dyDescent="0.25">
      <c r="Q207" s="21"/>
    </row>
    <row r="208" spans="17:17" x14ac:dyDescent="0.25">
      <c r="Q208" s="21"/>
    </row>
    <row r="209" spans="17:17" x14ac:dyDescent="0.25">
      <c r="Q209" s="21"/>
    </row>
    <row r="210" spans="17:17" x14ac:dyDescent="0.25">
      <c r="Q210" s="21"/>
    </row>
    <row r="211" spans="17:17" x14ac:dyDescent="0.25">
      <c r="Q211" s="21"/>
    </row>
    <row r="212" spans="17:17" x14ac:dyDescent="0.25">
      <c r="Q212" s="21"/>
    </row>
    <row r="213" spans="17:17" x14ac:dyDescent="0.25">
      <c r="Q213" s="21"/>
    </row>
    <row r="214" spans="17:17" x14ac:dyDescent="0.25">
      <c r="Q214" s="21"/>
    </row>
    <row r="215" spans="17:17" x14ac:dyDescent="0.25">
      <c r="Q215" s="21"/>
    </row>
    <row r="216" spans="17:17" x14ac:dyDescent="0.25">
      <c r="Q216" s="21"/>
    </row>
    <row r="217" spans="17:17" x14ac:dyDescent="0.25">
      <c r="Q217" s="21"/>
    </row>
    <row r="218" spans="17:17" x14ac:dyDescent="0.25">
      <c r="Q218" s="21"/>
    </row>
    <row r="219" spans="17:17" x14ac:dyDescent="0.25">
      <c r="Q219" s="21"/>
    </row>
    <row r="220" spans="17:17" x14ac:dyDescent="0.25">
      <c r="Q220" s="21"/>
    </row>
    <row r="221" spans="17:17" x14ac:dyDescent="0.25">
      <c r="Q221" s="21"/>
    </row>
    <row r="222" spans="17:17" x14ac:dyDescent="0.25">
      <c r="Q222" s="21"/>
    </row>
    <row r="223" spans="17:17" x14ac:dyDescent="0.25">
      <c r="Q223" s="21"/>
    </row>
    <row r="224" spans="17:17" x14ac:dyDescent="0.25">
      <c r="Q224" s="21"/>
    </row>
    <row r="225" spans="17:17" x14ac:dyDescent="0.25">
      <c r="Q225" s="21"/>
    </row>
    <row r="226" spans="17:17" x14ac:dyDescent="0.25">
      <c r="Q226" s="21"/>
    </row>
    <row r="227" spans="17:17" x14ac:dyDescent="0.25">
      <c r="Q227" s="21"/>
    </row>
    <row r="228" spans="17:17" x14ac:dyDescent="0.25">
      <c r="Q228" s="21"/>
    </row>
    <row r="229" spans="17:17" x14ac:dyDescent="0.25">
      <c r="Q229" s="21"/>
    </row>
    <row r="230" spans="17:17" x14ac:dyDescent="0.25">
      <c r="Q230" s="21"/>
    </row>
    <row r="231" spans="17:17" x14ac:dyDescent="0.25">
      <c r="Q231" s="21"/>
    </row>
    <row r="232" spans="17:17" x14ac:dyDescent="0.25">
      <c r="Q232" s="21"/>
    </row>
    <row r="233" spans="17:17" x14ac:dyDescent="0.25">
      <c r="Q233" s="21"/>
    </row>
    <row r="234" spans="17:17" x14ac:dyDescent="0.25">
      <c r="Q234" s="21"/>
    </row>
    <row r="235" spans="17:17" x14ac:dyDescent="0.25">
      <c r="Q235" s="21"/>
    </row>
    <row r="236" spans="17:17" x14ac:dyDescent="0.25">
      <c r="Q236" s="21"/>
    </row>
    <row r="237" spans="17:17" x14ac:dyDescent="0.25">
      <c r="Q237" s="21"/>
    </row>
    <row r="238" spans="17:17" x14ac:dyDescent="0.25">
      <c r="Q238" s="21"/>
    </row>
    <row r="239" spans="17:17" x14ac:dyDescent="0.25">
      <c r="Q239" s="21"/>
    </row>
    <row r="240" spans="17:17" x14ac:dyDescent="0.25">
      <c r="Q240" s="21"/>
    </row>
    <row r="241" spans="17:17" x14ac:dyDescent="0.25">
      <c r="Q241" s="21"/>
    </row>
    <row r="242" spans="17:17" x14ac:dyDescent="0.25">
      <c r="Q242" s="21"/>
    </row>
    <row r="243" spans="17:17" x14ac:dyDescent="0.25">
      <c r="Q243" s="21"/>
    </row>
    <row r="244" spans="17:17" x14ac:dyDescent="0.25">
      <c r="Q244" s="21"/>
    </row>
    <row r="245" spans="17:17" x14ac:dyDescent="0.25">
      <c r="Q245" s="21"/>
    </row>
    <row r="246" spans="17:17" x14ac:dyDescent="0.25">
      <c r="Q246" s="21"/>
    </row>
    <row r="247" spans="17:17" x14ac:dyDescent="0.25">
      <c r="Q247" s="21"/>
    </row>
    <row r="248" spans="17:17" x14ac:dyDescent="0.25">
      <c r="Q248" s="21"/>
    </row>
    <row r="249" spans="17:17" x14ac:dyDescent="0.25">
      <c r="Q249" s="21"/>
    </row>
    <row r="250" spans="17:17" x14ac:dyDescent="0.25">
      <c r="Q250" s="21"/>
    </row>
    <row r="251" spans="17:17" x14ac:dyDescent="0.25">
      <c r="Q251" s="21"/>
    </row>
    <row r="252" spans="17:17" x14ac:dyDescent="0.25">
      <c r="Q252" s="21"/>
    </row>
    <row r="253" spans="17:17" x14ac:dyDescent="0.25">
      <c r="Q253" s="21"/>
    </row>
    <row r="254" spans="17:17" x14ac:dyDescent="0.25">
      <c r="Q254" s="21"/>
    </row>
    <row r="255" spans="17:17" x14ac:dyDescent="0.25">
      <c r="Q255" s="21"/>
    </row>
    <row r="256" spans="17:17" x14ac:dyDescent="0.25">
      <c r="Q256" s="21"/>
    </row>
    <row r="257" spans="17:17" x14ac:dyDescent="0.25">
      <c r="Q257" s="21"/>
    </row>
    <row r="258" spans="17:17" x14ac:dyDescent="0.25">
      <c r="Q258" s="21"/>
    </row>
    <row r="259" spans="17:17" x14ac:dyDescent="0.25">
      <c r="Q259" s="21"/>
    </row>
    <row r="260" spans="17:17" x14ac:dyDescent="0.25">
      <c r="Q260" s="21"/>
    </row>
    <row r="261" spans="17:17" x14ac:dyDescent="0.25">
      <c r="Q261" s="21"/>
    </row>
    <row r="262" spans="17:17" x14ac:dyDescent="0.25">
      <c r="Q262" s="21"/>
    </row>
    <row r="263" spans="17:17" x14ac:dyDescent="0.25">
      <c r="Q263" s="21"/>
    </row>
    <row r="264" spans="17:17" x14ac:dyDescent="0.25">
      <c r="Q264" s="21"/>
    </row>
    <row r="265" spans="17:17" x14ac:dyDescent="0.25">
      <c r="Q265" s="21"/>
    </row>
    <row r="266" spans="17:17" x14ac:dyDescent="0.25">
      <c r="Q266" s="21"/>
    </row>
    <row r="267" spans="17:17" x14ac:dyDescent="0.25">
      <c r="Q267" s="21"/>
    </row>
    <row r="268" spans="17:17" x14ac:dyDescent="0.25">
      <c r="Q268" s="21"/>
    </row>
    <row r="269" spans="17:17" x14ac:dyDescent="0.25">
      <c r="Q269" s="21"/>
    </row>
    <row r="270" spans="17:17" x14ac:dyDescent="0.25">
      <c r="Q270" s="21"/>
    </row>
    <row r="271" spans="17:17" x14ac:dyDescent="0.25">
      <c r="Q271" s="21"/>
    </row>
    <row r="272" spans="17:17" x14ac:dyDescent="0.25">
      <c r="Q272" s="21"/>
    </row>
    <row r="273" spans="17:17" x14ac:dyDescent="0.25">
      <c r="Q273" s="21"/>
    </row>
    <row r="274" spans="17:17" x14ac:dyDescent="0.25">
      <c r="Q274" s="21"/>
    </row>
    <row r="275" spans="17:17" x14ac:dyDescent="0.25">
      <c r="Q275" s="21"/>
    </row>
    <row r="276" spans="17:17" x14ac:dyDescent="0.25">
      <c r="Q276" s="21"/>
    </row>
    <row r="277" spans="17:17" x14ac:dyDescent="0.25">
      <c r="Q277" s="21"/>
    </row>
    <row r="278" spans="17:17" x14ac:dyDescent="0.25">
      <c r="Q278" s="21"/>
    </row>
    <row r="279" spans="17:17" x14ac:dyDescent="0.25">
      <c r="Q279" s="21"/>
    </row>
    <row r="280" spans="17:17" x14ac:dyDescent="0.25">
      <c r="Q280" s="21"/>
    </row>
    <row r="281" spans="17:17" x14ac:dyDescent="0.25">
      <c r="Q281" s="21"/>
    </row>
    <row r="282" spans="17:17" x14ac:dyDescent="0.25">
      <c r="Q282" s="21"/>
    </row>
    <row r="283" spans="17:17" x14ac:dyDescent="0.25">
      <c r="Q283" s="21"/>
    </row>
    <row r="284" spans="17:17" x14ac:dyDescent="0.25">
      <c r="Q284" s="21"/>
    </row>
    <row r="285" spans="17:17" x14ac:dyDescent="0.25">
      <c r="Q285" s="21"/>
    </row>
    <row r="286" spans="17:17" x14ac:dyDescent="0.25">
      <c r="Q286" s="21"/>
    </row>
    <row r="287" spans="17:17" x14ac:dyDescent="0.25">
      <c r="Q287" s="21"/>
    </row>
    <row r="288" spans="17:17" x14ac:dyDescent="0.25">
      <c r="Q288" s="21"/>
    </row>
    <row r="289" spans="17:17" x14ac:dyDescent="0.25">
      <c r="Q289" s="21"/>
    </row>
    <row r="290" spans="17:17" x14ac:dyDescent="0.25">
      <c r="Q290" s="21"/>
    </row>
    <row r="291" spans="17:17" x14ac:dyDescent="0.25">
      <c r="Q291" s="21"/>
    </row>
    <row r="292" spans="17:17" x14ac:dyDescent="0.25">
      <c r="Q292" s="21"/>
    </row>
    <row r="293" spans="17:17" x14ac:dyDescent="0.25">
      <c r="Q293" s="21"/>
    </row>
    <row r="294" spans="17:17" x14ac:dyDescent="0.25">
      <c r="Q294" s="21"/>
    </row>
    <row r="295" spans="17:17" x14ac:dyDescent="0.25">
      <c r="Q295" s="21"/>
    </row>
    <row r="296" spans="17:17" x14ac:dyDescent="0.25">
      <c r="Q296" s="21"/>
    </row>
    <row r="297" spans="17:17" x14ac:dyDescent="0.25">
      <c r="Q297" s="21"/>
    </row>
    <row r="298" spans="17:17" x14ac:dyDescent="0.25">
      <c r="Q298" s="21"/>
    </row>
    <row r="299" spans="17:17" x14ac:dyDescent="0.25">
      <c r="Q299" s="21"/>
    </row>
    <row r="300" spans="17:17" x14ac:dyDescent="0.25">
      <c r="Q300" s="21"/>
    </row>
    <row r="301" spans="17:17" x14ac:dyDescent="0.25">
      <c r="Q301" s="21"/>
    </row>
    <row r="302" spans="17:17" x14ac:dyDescent="0.25">
      <c r="Q302" s="21"/>
    </row>
    <row r="303" spans="17:17" x14ac:dyDescent="0.25">
      <c r="Q303" s="21"/>
    </row>
    <row r="304" spans="17:17" x14ac:dyDescent="0.25">
      <c r="Q304" s="21"/>
    </row>
    <row r="305" spans="17:17" x14ac:dyDescent="0.25">
      <c r="Q305" s="21"/>
    </row>
    <row r="306" spans="17:17" x14ac:dyDescent="0.25">
      <c r="Q306" s="21"/>
    </row>
    <row r="307" spans="17:17" x14ac:dyDescent="0.25">
      <c r="Q307" s="21"/>
    </row>
    <row r="308" spans="17:17" x14ac:dyDescent="0.25">
      <c r="Q308" s="21"/>
    </row>
    <row r="309" spans="17:17" x14ac:dyDescent="0.25">
      <c r="Q309" s="21"/>
    </row>
    <row r="310" spans="17:17" x14ac:dyDescent="0.25">
      <c r="Q310" s="21"/>
    </row>
    <row r="311" spans="17:17" x14ac:dyDescent="0.25">
      <c r="Q311" s="21"/>
    </row>
    <row r="312" spans="17:17" x14ac:dyDescent="0.25">
      <c r="Q312" s="21"/>
    </row>
    <row r="313" spans="17:17" x14ac:dyDescent="0.25">
      <c r="Q313" s="21"/>
    </row>
    <row r="314" spans="17:17" x14ac:dyDescent="0.25">
      <c r="Q314" s="21"/>
    </row>
    <row r="315" spans="17:17" x14ac:dyDescent="0.25">
      <c r="Q315" s="21"/>
    </row>
    <row r="316" spans="17:17" x14ac:dyDescent="0.25">
      <c r="Q316" s="21"/>
    </row>
    <row r="317" spans="17:17" x14ac:dyDescent="0.25">
      <c r="Q317" s="21"/>
    </row>
    <row r="318" spans="17:17" x14ac:dyDescent="0.25">
      <c r="Q318" s="21"/>
    </row>
    <row r="319" spans="17:17" x14ac:dyDescent="0.25">
      <c r="Q319" s="21"/>
    </row>
    <row r="320" spans="17:17" x14ac:dyDescent="0.25">
      <c r="Q320" s="21"/>
    </row>
    <row r="321" spans="17:17" x14ac:dyDescent="0.25">
      <c r="Q321" s="21"/>
    </row>
    <row r="322" spans="17:17" x14ac:dyDescent="0.25">
      <c r="Q322" s="21"/>
    </row>
    <row r="323" spans="17:17" x14ac:dyDescent="0.25">
      <c r="Q323" s="21"/>
    </row>
    <row r="324" spans="17:17" x14ac:dyDescent="0.25">
      <c r="Q324" s="21"/>
    </row>
    <row r="325" spans="17:17" x14ac:dyDescent="0.25">
      <c r="Q325" s="21"/>
    </row>
    <row r="326" spans="17:17" x14ac:dyDescent="0.25">
      <c r="Q326" s="21"/>
    </row>
    <row r="327" spans="17:17" x14ac:dyDescent="0.25">
      <c r="Q327" s="21"/>
    </row>
    <row r="328" spans="17:17" x14ac:dyDescent="0.25">
      <c r="Q328" s="21"/>
    </row>
    <row r="329" spans="17:17" x14ac:dyDescent="0.25">
      <c r="Q329" s="21"/>
    </row>
    <row r="330" spans="17:17" x14ac:dyDescent="0.25">
      <c r="Q330" s="21"/>
    </row>
    <row r="331" spans="17:17" x14ac:dyDescent="0.25">
      <c r="Q331" s="21"/>
    </row>
    <row r="332" spans="17:17" x14ac:dyDescent="0.25">
      <c r="Q332" s="21"/>
    </row>
    <row r="333" spans="17:17" x14ac:dyDescent="0.25">
      <c r="Q333" s="21"/>
    </row>
    <row r="334" spans="17:17" x14ac:dyDescent="0.25">
      <c r="Q334" s="21"/>
    </row>
    <row r="335" spans="17:17" x14ac:dyDescent="0.25">
      <c r="Q335" s="21"/>
    </row>
    <row r="336" spans="17:17" x14ac:dyDescent="0.25">
      <c r="Q336" s="21"/>
    </row>
    <row r="337" spans="17:17" x14ac:dyDescent="0.25">
      <c r="Q337" s="21"/>
    </row>
    <row r="338" spans="17:17" x14ac:dyDescent="0.25">
      <c r="Q338" s="21"/>
    </row>
    <row r="339" spans="17:17" x14ac:dyDescent="0.25">
      <c r="Q339" s="21"/>
    </row>
    <row r="340" spans="17:17" x14ac:dyDescent="0.25">
      <c r="Q340" s="21"/>
    </row>
    <row r="341" spans="17:17" x14ac:dyDescent="0.25">
      <c r="Q341" s="21"/>
    </row>
    <row r="342" spans="17:17" x14ac:dyDescent="0.25">
      <c r="Q342" s="21"/>
    </row>
    <row r="343" spans="17:17" x14ac:dyDescent="0.25">
      <c r="Q343" s="21"/>
    </row>
    <row r="344" spans="17:17" x14ac:dyDescent="0.25">
      <c r="Q344" s="21"/>
    </row>
    <row r="345" spans="17:17" x14ac:dyDescent="0.25">
      <c r="Q345" s="21"/>
    </row>
    <row r="346" spans="17:17" x14ac:dyDescent="0.25">
      <c r="Q346" s="21"/>
    </row>
    <row r="347" spans="17:17" x14ac:dyDescent="0.25">
      <c r="Q347" s="21"/>
    </row>
    <row r="348" spans="17:17" x14ac:dyDescent="0.25">
      <c r="Q348" s="21"/>
    </row>
    <row r="349" spans="17:17" x14ac:dyDescent="0.25">
      <c r="Q349" s="21"/>
    </row>
    <row r="350" spans="17:17" x14ac:dyDescent="0.25">
      <c r="Q350" s="21"/>
    </row>
    <row r="351" spans="17:17" x14ac:dyDescent="0.25">
      <c r="Q351" s="21"/>
    </row>
    <row r="352" spans="17:17" x14ac:dyDescent="0.25">
      <c r="Q352" s="21"/>
    </row>
    <row r="353" spans="17:17" x14ac:dyDescent="0.25">
      <c r="Q353" s="21"/>
    </row>
    <row r="354" spans="17:17" x14ac:dyDescent="0.25">
      <c r="Q354" s="21"/>
    </row>
    <row r="355" spans="17:17" x14ac:dyDescent="0.25">
      <c r="Q355" s="21"/>
    </row>
    <row r="356" spans="17:17" x14ac:dyDescent="0.25">
      <c r="Q356" s="21"/>
    </row>
    <row r="357" spans="17:17" x14ac:dyDescent="0.25">
      <c r="Q357" s="21"/>
    </row>
    <row r="358" spans="17:17" x14ac:dyDescent="0.25">
      <c r="Q358" s="21"/>
    </row>
    <row r="359" spans="17:17" x14ac:dyDescent="0.25">
      <c r="Q359" s="21"/>
    </row>
    <row r="360" spans="17:17" x14ac:dyDescent="0.25">
      <c r="Q360" s="21"/>
    </row>
    <row r="361" spans="17:17" x14ac:dyDescent="0.25">
      <c r="Q361" s="21"/>
    </row>
    <row r="362" spans="17:17" x14ac:dyDescent="0.25">
      <c r="Q362" s="21"/>
    </row>
    <row r="363" spans="17:17" x14ac:dyDescent="0.25">
      <c r="Q363" s="21"/>
    </row>
    <row r="364" spans="17:17" x14ac:dyDescent="0.25">
      <c r="Q364" s="21"/>
    </row>
    <row r="365" spans="17:17" x14ac:dyDescent="0.25">
      <c r="Q365" s="21"/>
    </row>
    <row r="366" spans="17:17" x14ac:dyDescent="0.25">
      <c r="Q366" s="21"/>
    </row>
    <row r="367" spans="17:17" x14ac:dyDescent="0.25">
      <c r="Q367" s="21"/>
    </row>
    <row r="368" spans="17:17" x14ac:dyDescent="0.25">
      <c r="Q368" s="21"/>
    </row>
    <row r="369" spans="17:17" x14ac:dyDescent="0.25">
      <c r="Q369" s="21"/>
    </row>
    <row r="370" spans="17:17" x14ac:dyDescent="0.25">
      <c r="Q370" s="21"/>
    </row>
    <row r="371" spans="17:17" x14ac:dyDescent="0.25">
      <c r="Q371" s="21"/>
    </row>
    <row r="372" spans="17:17" x14ac:dyDescent="0.25">
      <c r="Q372" s="21"/>
    </row>
    <row r="373" spans="17:17" x14ac:dyDescent="0.25">
      <c r="Q373" s="21"/>
    </row>
    <row r="374" spans="17:17" x14ac:dyDescent="0.25">
      <c r="Q374" s="21"/>
    </row>
    <row r="375" spans="17:17" x14ac:dyDescent="0.25">
      <c r="Q375" s="21"/>
    </row>
    <row r="376" spans="17:17" x14ac:dyDescent="0.25">
      <c r="Q376" s="21"/>
    </row>
    <row r="377" spans="17:17" x14ac:dyDescent="0.25">
      <c r="Q377" s="21"/>
    </row>
    <row r="378" spans="17:17" x14ac:dyDescent="0.25">
      <c r="Q378" s="21"/>
    </row>
    <row r="379" spans="17:17" x14ac:dyDescent="0.25">
      <c r="Q379" s="21"/>
    </row>
    <row r="380" spans="17:17" x14ac:dyDescent="0.25">
      <c r="Q380" s="21"/>
    </row>
    <row r="381" spans="17:17" x14ac:dyDescent="0.25">
      <c r="Q381" s="21"/>
    </row>
    <row r="382" spans="17:17" x14ac:dyDescent="0.25">
      <c r="Q382" s="21"/>
    </row>
    <row r="383" spans="17:17" x14ac:dyDescent="0.25">
      <c r="Q383" s="21"/>
    </row>
    <row r="384" spans="17:17" x14ac:dyDescent="0.25">
      <c r="Q384" s="21"/>
    </row>
    <row r="385" spans="17:17" x14ac:dyDescent="0.25">
      <c r="Q385" s="21"/>
    </row>
    <row r="386" spans="17:17" x14ac:dyDescent="0.25">
      <c r="Q386" s="21"/>
    </row>
    <row r="387" spans="17:17" x14ac:dyDescent="0.25">
      <c r="Q387" s="21"/>
    </row>
    <row r="388" spans="17:17" x14ac:dyDescent="0.25">
      <c r="Q388" s="21"/>
    </row>
    <row r="389" spans="17:17" x14ac:dyDescent="0.25">
      <c r="Q389" s="21"/>
    </row>
    <row r="390" spans="17:17" x14ac:dyDescent="0.25">
      <c r="Q390" s="21"/>
    </row>
    <row r="391" spans="17:17" x14ac:dyDescent="0.25">
      <c r="Q391" s="21"/>
    </row>
    <row r="392" spans="17:17" x14ac:dyDescent="0.25">
      <c r="Q392" s="21"/>
    </row>
    <row r="393" spans="17:17" x14ac:dyDescent="0.25">
      <c r="Q393" s="21"/>
    </row>
    <row r="394" spans="17:17" x14ac:dyDescent="0.25">
      <c r="Q394" s="21"/>
    </row>
    <row r="395" spans="17:17" x14ac:dyDescent="0.25">
      <c r="Q395" s="21"/>
    </row>
    <row r="396" spans="17:17" x14ac:dyDescent="0.25">
      <c r="Q396" s="21"/>
    </row>
    <row r="397" spans="17:17" x14ac:dyDescent="0.25">
      <c r="Q397" s="21"/>
    </row>
    <row r="398" spans="17:17" x14ac:dyDescent="0.25">
      <c r="Q398" s="21"/>
    </row>
    <row r="399" spans="17:17" x14ac:dyDescent="0.25">
      <c r="Q399" s="21"/>
    </row>
    <row r="400" spans="17:17" x14ac:dyDescent="0.25">
      <c r="Q400" s="21"/>
    </row>
    <row r="401" spans="17:17" x14ac:dyDescent="0.25">
      <c r="Q401" s="21"/>
    </row>
    <row r="402" spans="17:17" x14ac:dyDescent="0.25">
      <c r="Q402" s="21"/>
    </row>
    <row r="403" spans="17:17" x14ac:dyDescent="0.25">
      <c r="Q403" s="21"/>
    </row>
    <row r="404" spans="17:17" x14ac:dyDescent="0.25">
      <c r="Q404" s="21"/>
    </row>
    <row r="405" spans="17:17" x14ac:dyDescent="0.25">
      <c r="Q405" s="21"/>
    </row>
    <row r="406" spans="17:17" x14ac:dyDescent="0.25">
      <c r="Q406" s="21"/>
    </row>
    <row r="407" spans="17:17" x14ac:dyDescent="0.25">
      <c r="Q407" s="21"/>
    </row>
    <row r="408" spans="17:17" x14ac:dyDescent="0.25">
      <c r="Q408" s="21"/>
    </row>
    <row r="409" spans="17:17" x14ac:dyDescent="0.25">
      <c r="Q409" s="21"/>
    </row>
    <row r="410" spans="17:17" x14ac:dyDescent="0.25">
      <c r="Q410" s="21"/>
    </row>
    <row r="411" spans="17:17" x14ac:dyDescent="0.25">
      <c r="Q411" s="21"/>
    </row>
    <row r="412" spans="17:17" x14ac:dyDescent="0.25">
      <c r="Q412" s="21"/>
    </row>
    <row r="413" spans="17:17" x14ac:dyDescent="0.25">
      <c r="Q413" s="21"/>
    </row>
    <row r="414" spans="17:17" x14ac:dyDescent="0.25">
      <c r="Q414" s="21"/>
    </row>
    <row r="415" spans="17:17" x14ac:dyDescent="0.25">
      <c r="Q415" s="21"/>
    </row>
    <row r="416" spans="17:17" x14ac:dyDescent="0.25">
      <c r="Q416" s="21"/>
    </row>
    <row r="417" spans="17:17" x14ac:dyDescent="0.25">
      <c r="Q417" s="21"/>
    </row>
    <row r="418" spans="17:17" x14ac:dyDescent="0.25">
      <c r="Q418" s="21"/>
    </row>
    <row r="419" spans="17:17" x14ac:dyDescent="0.25">
      <c r="Q419" s="21"/>
    </row>
  </sheetData>
  <mergeCells count="3">
    <mergeCell ref="H2:J2"/>
    <mergeCell ref="C2:E2"/>
    <mergeCell ref="F2:G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ECEF-AA8B-476C-86DF-7B2DCA28E246}">
  <dimension ref="A1:N51"/>
  <sheetViews>
    <sheetView workbookViewId="0">
      <selection sqref="A1:G1048576"/>
    </sheetView>
  </sheetViews>
  <sheetFormatPr defaultRowHeight="15" x14ac:dyDescent="0.25"/>
  <sheetData>
    <row r="1" spans="1:14" x14ac:dyDescent="0.25">
      <c r="A1" s="1" t="s">
        <v>235</v>
      </c>
    </row>
    <row r="2" spans="1:14" x14ac:dyDescent="0.25">
      <c r="A2" s="1" t="s">
        <v>236</v>
      </c>
      <c r="C2" s="146" t="s">
        <v>216</v>
      </c>
      <c r="D2" s="146"/>
      <c r="E2" s="146"/>
      <c r="F2" s="146"/>
      <c r="G2" s="146"/>
      <c r="H2" s="146" t="s">
        <v>4</v>
      </c>
      <c r="I2" s="146"/>
      <c r="J2" s="146"/>
      <c r="K2" s="146"/>
      <c r="L2" s="146"/>
    </row>
    <row r="3" spans="1:14" x14ac:dyDescent="0.25">
      <c r="A3" t="s">
        <v>237</v>
      </c>
      <c r="B3" t="s">
        <v>2</v>
      </c>
      <c r="C3" t="s">
        <v>3</v>
      </c>
      <c r="D3" t="s">
        <v>2</v>
      </c>
      <c r="E3" t="s">
        <v>3</v>
      </c>
      <c r="F3" t="s">
        <v>298</v>
      </c>
      <c r="G3" t="s">
        <v>3</v>
      </c>
      <c r="H3" t="s">
        <v>230</v>
      </c>
      <c r="I3" t="s">
        <v>2</v>
      </c>
      <c r="J3" t="s">
        <v>3</v>
      </c>
      <c r="K3" t="s">
        <v>2</v>
      </c>
      <c r="L3" t="s">
        <v>3</v>
      </c>
      <c r="M3" t="s">
        <v>298</v>
      </c>
      <c r="N3" t="s">
        <v>3</v>
      </c>
    </row>
    <row r="4" spans="1:14" x14ac:dyDescent="0.25">
      <c r="A4" t="s">
        <v>5</v>
      </c>
      <c r="B4">
        <v>0</v>
      </c>
      <c r="C4">
        <v>3537.4369999999999</v>
      </c>
      <c r="D4">
        <f>B4</f>
        <v>0</v>
      </c>
      <c r="E4">
        <f>C4-MAX($C$4:$C$51)</f>
        <v>-14.920000000000073</v>
      </c>
      <c r="F4">
        <v>0</v>
      </c>
      <c r="G4">
        <f>E4</f>
        <v>-14.920000000000073</v>
      </c>
    </row>
    <row r="5" spans="1:14" x14ac:dyDescent="0.25">
      <c r="A5" t="s">
        <v>6</v>
      </c>
      <c r="B5">
        <v>5</v>
      </c>
      <c r="C5">
        <v>3537.067</v>
      </c>
      <c r="D5">
        <f t="shared" ref="D5:D51" si="0">B5</f>
        <v>5</v>
      </c>
      <c r="E5">
        <f t="shared" ref="E5:E51" si="1">C5-MAX($C$4:$C$51)</f>
        <v>-15.289999999999964</v>
      </c>
      <c r="F5" s="31">
        <f>F4+(SQRT((B5-B4)^2-(C5-C4)^2))</f>
        <v>4.98629120689918</v>
      </c>
      <c r="G5">
        <f t="shared" ref="G5:G51" si="2">E5</f>
        <v>-15.289999999999964</v>
      </c>
    </row>
    <row r="6" spans="1:14" x14ac:dyDescent="0.25">
      <c r="A6" t="s">
        <v>7</v>
      </c>
      <c r="B6">
        <v>10</v>
      </c>
      <c r="C6">
        <v>3537.201</v>
      </c>
      <c r="D6">
        <f t="shared" si="0"/>
        <v>10</v>
      </c>
      <c r="E6">
        <f t="shared" si="1"/>
        <v>-15.155999999999949</v>
      </c>
      <c r="F6" s="31">
        <f t="shared" ref="F6:F51" si="3">F5+(SQRT((B6-B5)^2-(C6-C5)^2))</f>
        <v>9.9844952843654049</v>
      </c>
      <c r="G6">
        <f t="shared" si="2"/>
        <v>-15.155999999999949</v>
      </c>
    </row>
    <row r="7" spans="1:14" x14ac:dyDescent="0.25">
      <c r="A7" t="s">
        <v>8</v>
      </c>
      <c r="B7">
        <v>15</v>
      </c>
      <c r="C7">
        <v>3537.1219999999998</v>
      </c>
      <c r="D7">
        <f t="shared" si="0"/>
        <v>15</v>
      </c>
      <c r="E7">
        <f t="shared" si="1"/>
        <v>-15.235000000000127</v>
      </c>
      <c r="F7" s="31">
        <f t="shared" si="3"/>
        <v>14.983871145410458</v>
      </c>
      <c r="G7">
        <f t="shared" si="2"/>
        <v>-15.235000000000127</v>
      </c>
    </row>
    <row r="8" spans="1:14" x14ac:dyDescent="0.25">
      <c r="A8" t="s">
        <v>9</v>
      </c>
      <c r="B8">
        <v>20</v>
      </c>
      <c r="C8">
        <v>3538.4810000000002</v>
      </c>
      <c r="D8">
        <f t="shared" si="0"/>
        <v>20</v>
      </c>
      <c r="E8">
        <f t="shared" si="1"/>
        <v>-13.875999999999749</v>
      </c>
      <c r="F8" s="31">
        <f t="shared" si="3"/>
        <v>19.795639947005043</v>
      </c>
      <c r="G8">
        <f t="shared" si="2"/>
        <v>-13.875999999999749</v>
      </c>
    </row>
    <row r="9" spans="1:14" x14ac:dyDescent="0.25">
      <c r="A9" t="s">
        <v>10</v>
      </c>
      <c r="B9">
        <v>25</v>
      </c>
      <c r="C9">
        <v>3540.2959999999998</v>
      </c>
      <c r="D9">
        <f t="shared" si="0"/>
        <v>25</v>
      </c>
      <c r="E9">
        <f t="shared" si="1"/>
        <v>-12.061000000000149</v>
      </c>
      <c r="F9" s="31">
        <f t="shared" si="3"/>
        <v>24.454585643190121</v>
      </c>
      <c r="G9">
        <f t="shared" si="2"/>
        <v>-12.061000000000149</v>
      </c>
    </row>
    <row r="10" spans="1:14" x14ac:dyDescent="0.25">
      <c r="A10" t="s">
        <v>11</v>
      </c>
      <c r="B10">
        <v>30</v>
      </c>
      <c r="C10">
        <v>3540.7190000000001</v>
      </c>
      <c r="D10">
        <f t="shared" si="0"/>
        <v>30</v>
      </c>
      <c r="E10">
        <f t="shared" si="1"/>
        <v>-11.63799999999992</v>
      </c>
      <c r="F10" s="31">
        <f t="shared" si="3"/>
        <v>29.436660612517642</v>
      </c>
      <c r="G10">
        <f t="shared" si="2"/>
        <v>-11.63799999999992</v>
      </c>
    </row>
    <row r="11" spans="1:14" x14ac:dyDescent="0.25">
      <c r="A11" t="s">
        <v>12</v>
      </c>
      <c r="B11">
        <v>35</v>
      </c>
      <c r="C11">
        <v>3540.7240000000002</v>
      </c>
      <c r="D11">
        <f t="shared" si="0"/>
        <v>35</v>
      </c>
      <c r="E11">
        <f t="shared" si="1"/>
        <v>-11.632999999999811</v>
      </c>
      <c r="F11" s="31">
        <f t="shared" si="3"/>
        <v>34.436658112517016</v>
      </c>
      <c r="G11">
        <f t="shared" si="2"/>
        <v>-11.632999999999811</v>
      </c>
    </row>
    <row r="12" spans="1:14" x14ac:dyDescent="0.25">
      <c r="A12" t="s">
        <v>13</v>
      </c>
      <c r="B12">
        <v>40</v>
      </c>
      <c r="C12">
        <v>3540.3119999999999</v>
      </c>
      <c r="D12">
        <f t="shared" si="0"/>
        <v>40</v>
      </c>
      <c r="E12">
        <f t="shared" si="1"/>
        <v>-12.045000000000073</v>
      </c>
      <c r="F12" s="31">
        <f t="shared" si="3"/>
        <v>39.419654801257614</v>
      </c>
      <c r="G12">
        <f t="shared" si="2"/>
        <v>-12.045000000000073</v>
      </c>
    </row>
    <row r="13" spans="1:14" x14ac:dyDescent="0.25">
      <c r="A13" t="s">
        <v>14</v>
      </c>
      <c r="B13">
        <v>45</v>
      </c>
      <c r="C13">
        <v>3540.9229999999998</v>
      </c>
      <c r="D13">
        <f t="shared" si="0"/>
        <v>45</v>
      </c>
      <c r="E13">
        <f t="shared" si="1"/>
        <v>-11.434000000000196</v>
      </c>
      <c r="F13" s="31">
        <f t="shared" si="3"/>
        <v>44.382182282289847</v>
      </c>
      <c r="G13">
        <f t="shared" si="2"/>
        <v>-11.434000000000196</v>
      </c>
    </row>
    <row r="14" spans="1:14" x14ac:dyDescent="0.25">
      <c r="A14" t="s">
        <v>15</v>
      </c>
      <c r="B14">
        <v>50</v>
      </c>
      <c r="C14">
        <v>3541.4630000000002</v>
      </c>
      <c r="D14">
        <f t="shared" si="0"/>
        <v>50</v>
      </c>
      <c r="E14">
        <f t="shared" si="1"/>
        <v>-10.893999999999778</v>
      </c>
      <c r="F14" s="31">
        <f t="shared" si="3"/>
        <v>49.3529367521867</v>
      </c>
      <c r="G14">
        <f t="shared" si="2"/>
        <v>-10.893999999999778</v>
      </c>
    </row>
    <row r="15" spans="1:14" x14ac:dyDescent="0.25">
      <c r="A15" t="s">
        <v>16</v>
      </c>
      <c r="B15">
        <v>55</v>
      </c>
      <c r="C15">
        <v>3542.056</v>
      </c>
      <c r="D15">
        <f t="shared" si="0"/>
        <v>55</v>
      </c>
      <c r="E15">
        <f t="shared" si="1"/>
        <v>-10.300999999999931</v>
      </c>
      <c r="F15" s="31">
        <f t="shared" si="3"/>
        <v>54.317647317768561</v>
      </c>
      <c r="G15">
        <f t="shared" si="2"/>
        <v>-10.300999999999931</v>
      </c>
      <c r="H15" t="s">
        <v>175</v>
      </c>
      <c r="M15" s="12">
        <f>M16-5</f>
        <v>54.298601443234872</v>
      </c>
      <c r="N15">
        <f>E15</f>
        <v>-10.300999999999931</v>
      </c>
    </row>
    <row r="16" spans="1:14" x14ac:dyDescent="0.25">
      <c r="A16" t="s">
        <v>17</v>
      </c>
      <c r="B16">
        <v>60</v>
      </c>
      <c r="C16">
        <v>3542.4920000000002</v>
      </c>
      <c r="D16">
        <f t="shared" si="0"/>
        <v>60</v>
      </c>
      <c r="E16">
        <f t="shared" si="1"/>
        <v>-9.8649999999997817</v>
      </c>
      <c r="F16" s="31">
        <f t="shared" si="3"/>
        <v>59.298601443234872</v>
      </c>
      <c r="G16">
        <f t="shared" si="2"/>
        <v>-9.8649999999997817</v>
      </c>
      <c r="H16" t="s">
        <v>103</v>
      </c>
      <c r="I16">
        <f>D16</f>
        <v>60</v>
      </c>
      <c r="J16">
        <f>C16</f>
        <v>3542.4920000000002</v>
      </c>
      <c r="K16">
        <f>D16</f>
        <v>60</v>
      </c>
      <c r="L16">
        <f>G16</f>
        <v>-9.8649999999997817</v>
      </c>
      <c r="M16" s="12">
        <f>F16</f>
        <v>59.298601443234872</v>
      </c>
      <c r="N16">
        <f>L16</f>
        <v>-9.8649999999997817</v>
      </c>
    </row>
    <row r="17" spans="1:14" x14ac:dyDescent="0.25">
      <c r="A17" t="s">
        <v>18</v>
      </c>
      <c r="B17">
        <v>65</v>
      </c>
      <c r="C17">
        <v>3542.6379999999999</v>
      </c>
      <c r="D17">
        <f t="shared" si="0"/>
        <v>65</v>
      </c>
      <c r="E17">
        <f t="shared" si="1"/>
        <v>-9.7190000000000509</v>
      </c>
      <c r="F17" s="31">
        <f t="shared" si="3"/>
        <v>64.296469388669209</v>
      </c>
      <c r="G17">
        <f t="shared" si="2"/>
        <v>-9.7190000000000509</v>
      </c>
      <c r="H17" t="s">
        <v>104</v>
      </c>
      <c r="I17">
        <f t="shared" ref="I17:I39" si="4">D17</f>
        <v>65</v>
      </c>
      <c r="J17">
        <f t="shared" ref="J17:J39" si="5">C17</f>
        <v>3542.6379999999999</v>
      </c>
      <c r="K17">
        <f t="shared" ref="K17:K39" si="6">D17</f>
        <v>65</v>
      </c>
      <c r="L17">
        <f t="shared" ref="L17:L39" si="7">G17</f>
        <v>-9.7190000000000509</v>
      </c>
      <c r="M17" s="12">
        <f t="shared" ref="M17:M39" si="8">F17</f>
        <v>64.296469388669209</v>
      </c>
      <c r="N17">
        <f t="shared" ref="N17:N38" si="9">L17</f>
        <v>-9.7190000000000509</v>
      </c>
    </row>
    <row r="18" spans="1:14" x14ac:dyDescent="0.25">
      <c r="A18" t="s">
        <v>19</v>
      </c>
      <c r="B18">
        <v>70</v>
      </c>
      <c r="C18">
        <v>3542.9070000000002</v>
      </c>
      <c r="D18">
        <f t="shared" si="0"/>
        <v>70</v>
      </c>
      <c r="E18">
        <f t="shared" si="1"/>
        <v>-9.4499999999998181</v>
      </c>
      <c r="F18" s="31">
        <f t="shared" si="3"/>
        <v>69.289228044963323</v>
      </c>
      <c r="G18">
        <f t="shared" si="2"/>
        <v>-9.4499999999998181</v>
      </c>
      <c r="H18" t="s">
        <v>105</v>
      </c>
      <c r="I18">
        <f t="shared" si="4"/>
        <v>70</v>
      </c>
      <c r="J18">
        <f t="shared" si="5"/>
        <v>3542.9070000000002</v>
      </c>
      <c r="K18">
        <f t="shared" si="6"/>
        <v>70</v>
      </c>
      <c r="L18">
        <f t="shared" si="7"/>
        <v>-9.4499999999998181</v>
      </c>
      <c r="M18" s="12">
        <f t="shared" si="8"/>
        <v>69.289228044963323</v>
      </c>
      <c r="N18">
        <f t="shared" si="9"/>
        <v>-9.4499999999998181</v>
      </c>
    </row>
    <row r="19" spans="1:14" x14ac:dyDescent="0.25">
      <c r="A19" t="s">
        <v>20</v>
      </c>
      <c r="B19">
        <v>75</v>
      </c>
      <c r="C19">
        <v>3542.6779999999999</v>
      </c>
      <c r="D19">
        <f t="shared" si="0"/>
        <v>75</v>
      </c>
      <c r="E19">
        <f t="shared" si="1"/>
        <v>-9.6790000000000873</v>
      </c>
      <c r="F19" s="31">
        <f t="shared" si="3"/>
        <v>74.283981192016725</v>
      </c>
      <c r="G19">
        <f t="shared" si="2"/>
        <v>-9.6790000000000873</v>
      </c>
      <c r="H19" t="s">
        <v>106</v>
      </c>
      <c r="I19">
        <f t="shared" si="4"/>
        <v>75</v>
      </c>
      <c r="J19">
        <f t="shared" si="5"/>
        <v>3542.6779999999999</v>
      </c>
      <c r="K19">
        <f t="shared" si="6"/>
        <v>75</v>
      </c>
      <c r="L19">
        <f t="shared" si="7"/>
        <v>-9.6790000000000873</v>
      </c>
      <c r="M19" s="12">
        <f t="shared" si="8"/>
        <v>74.283981192016725</v>
      </c>
      <c r="N19">
        <f t="shared" si="9"/>
        <v>-9.6790000000000873</v>
      </c>
    </row>
    <row r="20" spans="1:14" x14ac:dyDescent="0.25">
      <c r="A20" t="s">
        <v>21</v>
      </c>
      <c r="B20">
        <v>80</v>
      </c>
      <c r="C20">
        <v>3543.6570000000002</v>
      </c>
      <c r="D20">
        <f t="shared" si="0"/>
        <v>80</v>
      </c>
      <c r="E20">
        <f t="shared" si="1"/>
        <v>-8.6999999999998181</v>
      </c>
      <c r="F20" s="31">
        <f t="shared" si="3"/>
        <v>79.187200440632836</v>
      </c>
      <c r="G20">
        <f t="shared" si="2"/>
        <v>-8.6999999999998181</v>
      </c>
      <c r="H20" t="s">
        <v>107</v>
      </c>
      <c r="I20">
        <f t="shared" si="4"/>
        <v>80</v>
      </c>
      <c r="J20">
        <f t="shared" si="5"/>
        <v>3543.6570000000002</v>
      </c>
      <c r="K20">
        <f t="shared" si="6"/>
        <v>80</v>
      </c>
      <c r="L20">
        <f t="shared" si="7"/>
        <v>-8.6999999999998181</v>
      </c>
      <c r="M20" s="12">
        <f t="shared" si="8"/>
        <v>79.187200440632836</v>
      </c>
      <c r="N20">
        <f t="shared" si="9"/>
        <v>-8.6999999999998181</v>
      </c>
    </row>
    <row r="21" spans="1:14" x14ac:dyDescent="0.25">
      <c r="A21" t="s">
        <v>22</v>
      </c>
      <c r="B21">
        <v>85</v>
      </c>
      <c r="C21">
        <v>3544.7629999999999</v>
      </c>
      <c r="D21">
        <f t="shared" si="0"/>
        <v>85</v>
      </c>
      <c r="E21">
        <f t="shared" si="1"/>
        <v>-7.5940000000000509</v>
      </c>
      <c r="F21" s="31">
        <f t="shared" si="3"/>
        <v>84.063342768334167</v>
      </c>
      <c r="G21">
        <f t="shared" si="2"/>
        <v>-7.5940000000000509</v>
      </c>
      <c r="H21" t="s">
        <v>108</v>
      </c>
      <c r="I21">
        <f t="shared" si="4"/>
        <v>85</v>
      </c>
      <c r="J21">
        <f t="shared" si="5"/>
        <v>3544.7629999999999</v>
      </c>
      <c r="K21">
        <f t="shared" si="6"/>
        <v>85</v>
      </c>
      <c r="L21">
        <f t="shared" si="7"/>
        <v>-7.5940000000000509</v>
      </c>
      <c r="M21" s="12">
        <f t="shared" si="8"/>
        <v>84.063342768334167</v>
      </c>
      <c r="N21">
        <f t="shared" si="9"/>
        <v>-7.5940000000000509</v>
      </c>
    </row>
    <row r="22" spans="1:14" x14ac:dyDescent="0.25">
      <c r="A22" t="s">
        <v>23</v>
      </c>
      <c r="B22">
        <v>90</v>
      </c>
      <c r="C22">
        <v>3545.03</v>
      </c>
      <c r="D22">
        <f t="shared" si="0"/>
        <v>90</v>
      </c>
      <c r="E22">
        <f t="shared" si="1"/>
        <v>-7.3269999999997708</v>
      </c>
      <c r="F22" s="31">
        <f t="shared" si="3"/>
        <v>89.056208778953703</v>
      </c>
      <c r="G22">
        <f t="shared" si="2"/>
        <v>-7.3269999999997708</v>
      </c>
      <c r="H22" t="s">
        <v>109</v>
      </c>
      <c r="I22">
        <f t="shared" si="4"/>
        <v>90</v>
      </c>
      <c r="J22">
        <f t="shared" si="5"/>
        <v>3545.03</v>
      </c>
      <c r="K22">
        <f t="shared" si="6"/>
        <v>90</v>
      </c>
      <c r="L22">
        <f t="shared" si="7"/>
        <v>-7.3269999999997708</v>
      </c>
      <c r="M22" s="12">
        <f t="shared" si="8"/>
        <v>89.056208778953703</v>
      </c>
      <c r="N22">
        <f t="shared" si="9"/>
        <v>-7.3269999999997708</v>
      </c>
    </row>
    <row r="23" spans="1:14" x14ac:dyDescent="0.25">
      <c r="A23" t="s">
        <v>24</v>
      </c>
      <c r="B23">
        <v>95</v>
      </c>
      <c r="C23">
        <v>3544.674</v>
      </c>
      <c r="D23">
        <f t="shared" si="0"/>
        <v>95</v>
      </c>
      <c r="E23">
        <f t="shared" si="1"/>
        <v>-7.6829999999999927</v>
      </c>
      <c r="F23" s="31">
        <f t="shared" si="3"/>
        <v>94.043519076097823</v>
      </c>
      <c r="G23">
        <f t="shared" si="2"/>
        <v>-7.6829999999999927</v>
      </c>
      <c r="H23" t="s">
        <v>110</v>
      </c>
      <c r="I23">
        <f t="shared" si="4"/>
        <v>95</v>
      </c>
      <c r="J23">
        <f t="shared" si="5"/>
        <v>3544.674</v>
      </c>
      <c r="K23">
        <f t="shared" si="6"/>
        <v>95</v>
      </c>
      <c r="L23">
        <f t="shared" si="7"/>
        <v>-7.6829999999999927</v>
      </c>
      <c r="M23" s="12">
        <f t="shared" si="8"/>
        <v>94.043519076097823</v>
      </c>
      <c r="N23">
        <f t="shared" si="9"/>
        <v>-7.6829999999999927</v>
      </c>
    </row>
    <row r="24" spans="1:14" x14ac:dyDescent="0.25">
      <c r="A24" t="s">
        <v>25</v>
      </c>
      <c r="B24">
        <v>100</v>
      </c>
      <c r="C24">
        <v>3545.4720000000002</v>
      </c>
      <c r="D24">
        <f t="shared" si="0"/>
        <v>100</v>
      </c>
      <c r="E24">
        <f t="shared" si="1"/>
        <v>-6.8849999999997635</v>
      </c>
      <c r="F24" s="31">
        <f t="shared" si="3"/>
        <v>98.979427908319067</v>
      </c>
      <c r="G24">
        <f t="shared" si="2"/>
        <v>-6.8849999999997635</v>
      </c>
      <c r="H24" t="s">
        <v>111</v>
      </c>
      <c r="I24">
        <f t="shared" si="4"/>
        <v>100</v>
      </c>
      <c r="J24">
        <f t="shared" si="5"/>
        <v>3545.4720000000002</v>
      </c>
      <c r="K24">
        <f t="shared" si="6"/>
        <v>100</v>
      </c>
      <c r="L24">
        <f t="shared" si="7"/>
        <v>-6.8849999999997635</v>
      </c>
      <c r="M24" s="12">
        <f t="shared" si="8"/>
        <v>98.979427908319067</v>
      </c>
      <c r="N24">
        <f t="shared" si="9"/>
        <v>-6.8849999999997635</v>
      </c>
    </row>
    <row r="25" spans="1:14" x14ac:dyDescent="0.25">
      <c r="A25" t="s">
        <v>26</v>
      </c>
      <c r="B25">
        <v>105</v>
      </c>
      <c r="C25">
        <v>3547.2640000000001</v>
      </c>
      <c r="D25">
        <f t="shared" si="0"/>
        <v>105</v>
      </c>
      <c r="E25">
        <f t="shared" si="1"/>
        <v>-5.0929999999998472</v>
      </c>
      <c r="F25" s="31">
        <f t="shared" si="3"/>
        <v>103.64726852256462</v>
      </c>
      <c r="G25">
        <f t="shared" si="2"/>
        <v>-5.0929999999998472</v>
      </c>
      <c r="H25" t="s">
        <v>112</v>
      </c>
      <c r="I25">
        <f t="shared" si="4"/>
        <v>105</v>
      </c>
      <c r="J25">
        <f t="shared" si="5"/>
        <v>3547.2640000000001</v>
      </c>
      <c r="K25">
        <f t="shared" si="6"/>
        <v>105</v>
      </c>
      <c r="L25">
        <f t="shared" si="7"/>
        <v>-5.0929999999998472</v>
      </c>
      <c r="M25" s="12">
        <f t="shared" si="8"/>
        <v>103.64726852256462</v>
      </c>
      <c r="N25">
        <f t="shared" si="9"/>
        <v>-5.0929999999998472</v>
      </c>
    </row>
    <row r="26" spans="1:14" x14ac:dyDescent="0.25">
      <c r="A26" t="s">
        <v>27</v>
      </c>
      <c r="B26">
        <v>110</v>
      </c>
      <c r="C26">
        <v>3547.0079999999998</v>
      </c>
      <c r="D26">
        <f t="shared" si="0"/>
        <v>110</v>
      </c>
      <c r="E26">
        <f t="shared" si="1"/>
        <v>-5.3490000000001601</v>
      </c>
      <c r="F26" s="31">
        <f t="shared" si="3"/>
        <v>108.64071062195856</v>
      </c>
      <c r="G26">
        <f t="shared" si="2"/>
        <v>-5.3490000000001601</v>
      </c>
      <c r="H26" t="s">
        <v>113</v>
      </c>
      <c r="I26">
        <f t="shared" si="4"/>
        <v>110</v>
      </c>
      <c r="J26">
        <f t="shared" si="5"/>
        <v>3547.0079999999998</v>
      </c>
      <c r="K26">
        <f t="shared" si="6"/>
        <v>110</v>
      </c>
      <c r="L26">
        <f t="shared" si="7"/>
        <v>-5.3490000000001601</v>
      </c>
      <c r="M26" s="12">
        <f t="shared" si="8"/>
        <v>108.64071062195856</v>
      </c>
      <c r="N26">
        <f t="shared" si="9"/>
        <v>-5.3490000000001601</v>
      </c>
    </row>
    <row r="27" spans="1:14" x14ac:dyDescent="0.25">
      <c r="A27" t="s">
        <v>28</v>
      </c>
      <c r="B27">
        <v>115</v>
      </c>
      <c r="C27">
        <v>3546.4740000000002</v>
      </c>
      <c r="D27">
        <f t="shared" si="0"/>
        <v>115</v>
      </c>
      <c r="E27">
        <f t="shared" si="1"/>
        <v>-5.8829999999998108</v>
      </c>
      <c r="F27" s="31">
        <f t="shared" si="3"/>
        <v>113.61211324093848</v>
      </c>
      <c r="G27">
        <f t="shared" si="2"/>
        <v>-5.8829999999998108</v>
      </c>
      <c r="H27" t="s">
        <v>114</v>
      </c>
      <c r="I27">
        <f t="shared" si="4"/>
        <v>115</v>
      </c>
      <c r="J27">
        <f t="shared" si="5"/>
        <v>3546.4740000000002</v>
      </c>
      <c r="K27">
        <f t="shared" si="6"/>
        <v>115</v>
      </c>
      <c r="L27">
        <f t="shared" si="7"/>
        <v>-5.8829999999998108</v>
      </c>
      <c r="M27" s="12">
        <f t="shared" si="8"/>
        <v>113.61211324093848</v>
      </c>
      <c r="N27">
        <f t="shared" si="9"/>
        <v>-5.8829999999998108</v>
      </c>
    </row>
    <row r="28" spans="1:14" x14ac:dyDescent="0.25">
      <c r="A28" t="s">
        <v>29</v>
      </c>
      <c r="B28">
        <v>120</v>
      </c>
      <c r="C28">
        <v>3546.96</v>
      </c>
      <c r="D28">
        <f t="shared" si="0"/>
        <v>120</v>
      </c>
      <c r="E28">
        <f t="shared" si="1"/>
        <v>-5.3969999999999345</v>
      </c>
      <c r="F28" s="31">
        <f t="shared" si="3"/>
        <v>118.58843758728088</v>
      </c>
      <c r="G28">
        <f t="shared" si="2"/>
        <v>-5.3969999999999345</v>
      </c>
      <c r="H28" t="s">
        <v>115</v>
      </c>
      <c r="I28">
        <f t="shared" si="4"/>
        <v>120</v>
      </c>
      <c r="J28">
        <f t="shared" si="5"/>
        <v>3546.96</v>
      </c>
      <c r="K28">
        <f t="shared" si="6"/>
        <v>120</v>
      </c>
      <c r="L28">
        <f t="shared" si="7"/>
        <v>-5.3969999999999345</v>
      </c>
      <c r="M28" s="12">
        <f t="shared" si="8"/>
        <v>118.58843758728088</v>
      </c>
      <c r="N28">
        <f t="shared" si="9"/>
        <v>-5.3969999999999345</v>
      </c>
    </row>
    <row r="29" spans="1:14" x14ac:dyDescent="0.25">
      <c r="A29" t="s">
        <v>30</v>
      </c>
      <c r="B29">
        <v>125</v>
      </c>
      <c r="C29">
        <v>3546.8739999999998</v>
      </c>
      <c r="D29">
        <f t="shared" si="0"/>
        <v>125</v>
      </c>
      <c r="E29">
        <f t="shared" si="1"/>
        <v>-5.4830000000001746</v>
      </c>
      <c r="F29" s="31">
        <f t="shared" si="3"/>
        <v>123.58769793257197</v>
      </c>
      <c r="G29">
        <f t="shared" si="2"/>
        <v>-5.4830000000001746</v>
      </c>
      <c r="H29" t="s">
        <v>116</v>
      </c>
      <c r="I29">
        <f t="shared" si="4"/>
        <v>125</v>
      </c>
      <c r="J29">
        <f t="shared" si="5"/>
        <v>3546.8739999999998</v>
      </c>
      <c r="K29">
        <f t="shared" si="6"/>
        <v>125</v>
      </c>
      <c r="L29">
        <f t="shared" si="7"/>
        <v>-5.4830000000001746</v>
      </c>
      <c r="M29" s="12">
        <f t="shared" si="8"/>
        <v>123.58769793257197</v>
      </c>
      <c r="N29">
        <f t="shared" si="9"/>
        <v>-5.4830000000001746</v>
      </c>
    </row>
    <row r="30" spans="1:14" x14ac:dyDescent="0.25">
      <c r="A30" t="s">
        <v>31</v>
      </c>
      <c r="B30">
        <v>130</v>
      </c>
      <c r="C30">
        <v>3547.8330000000001</v>
      </c>
      <c r="D30">
        <f t="shared" si="0"/>
        <v>130</v>
      </c>
      <c r="E30">
        <f t="shared" si="1"/>
        <v>-4.5239999999998872</v>
      </c>
      <c r="F30" s="31">
        <f t="shared" si="3"/>
        <v>128.49486809469184</v>
      </c>
      <c r="G30">
        <f t="shared" si="2"/>
        <v>-4.5239999999998872</v>
      </c>
      <c r="H30" t="s">
        <v>117</v>
      </c>
      <c r="I30">
        <f t="shared" si="4"/>
        <v>130</v>
      </c>
      <c r="J30">
        <f t="shared" si="5"/>
        <v>3547.8330000000001</v>
      </c>
      <c r="K30">
        <f t="shared" si="6"/>
        <v>130</v>
      </c>
      <c r="L30">
        <f t="shared" si="7"/>
        <v>-4.5239999999998872</v>
      </c>
      <c r="M30" s="12">
        <f t="shared" si="8"/>
        <v>128.49486809469184</v>
      </c>
      <c r="N30">
        <f t="shared" si="9"/>
        <v>-4.5239999999998872</v>
      </c>
    </row>
    <row r="31" spans="1:14" x14ac:dyDescent="0.25">
      <c r="A31" t="s">
        <v>32</v>
      </c>
      <c r="B31">
        <v>135</v>
      </c>
      <c r="C31">
        <v>3547.491</v>
      </c>
      <c r="D31">
        <f t="shared" si="0"/>
        <v>135</v>
      </c>
      <c r="E31">
        <f t="shared" si="1"/>
        <v>-4.8659999999999854</v>
      </c>
      <c r="F31" s="31">
        <f t="shared" si="3"/>
        <v>133.48315798201796</v>
      </c>
      <c r="G31">
        <f t="shared" si="2"/>
        <v>-4.8659999999999854</v>
      </c>
      <c r="H31" t="s">
        <v>118</v>
      </c>
      <c r="I31">
        <f t="shared" si="4"/>
        <v>135</v>
      </c>
      <c r="J31">
        <f t="shared" si="5"/>
        <v>3547.491</v>
      </c>
      <c r="K31">
        <f t="shared" si="6"/>
        <v>135</v>
      </c>
      <c r="L31">
        <f t="shared" si="7"/>
        <v>-4.8659999999999854</v>
      </c>
      <c r="M31" s="12">
        <f t="shared" si="8"/>
        <v>133.48315798201796</v>
      </c>
      <c r="N31">
        <f t="shared" si="9"/>
        <v>-4.8659999999999854</v>
      </c>
    </row>
    <row r="32" spans="1:14" x14ac:dyDescent="0.25">
      <c r="A32" t="s">
        <v>33</v>
      </c>
      <c r="B32">
        <v>140</v>
      </c>
      <c r="C32">
        <v>3546.5929999999998</v>
      </c>
      <c r="D32">
        <f t="shared" si="0"/>
        <v>140</v>
      </c>
      <c r="E32">
        <f t="shared" si="1"/>
        <v>-5.7640000000001237</v>
      </c>
      <c r="F32" s="31">
        <f t="shared" si="3"/>
        <v>138.40185659038985</v>
      </c>
      <c r="G32">
        <f t="shared" si="2"/>
        <v>-5.7640000000001237</v>
      </c>
      <c r="H32" t="s">
        <v>119</v>
      </c>
      <c r="I32">
        <f t="shared" si="4"/>
        <v>140</v>
      </c>
      <c r="J32">
        <f t="shared" si="5"/>
        <v>3546.5929999999998</v>
      </c>
      <c r="K32">
        <f t="shared" si="6"/>
        <v>140</v>
      </c>
      <c r="L32">
        <f t="shared" si="7"/>
        <v>-5.7640000000001237</v>
      </c>
      <c r="M32" s="12">
        <f t="shared" si="8"/>
        <v>138.40185659038985</v>
      </c>
      <c r="N32">
        <f t="shared" si="9"/>
        <v>-5.7640000000001237</v>
      </c>
    </row>
    <row r="33" spans="1:14" x14ac:dyDescent="0.25">
      <c r="A33" t="s">
        <v>34</v>
      </c>
      <c r="B33">
        <v>145</v>
      </c>
      <c r="C33">
        <v>3547.58</v>
      </c>
      <c r="D33">
        <f t="shared" si="0"/>
        <v>145</v>
      </c>
      <c r="E33">
        <f t="shared" si="1"/>
        <v>-4.7770000000000437</v>
      </c>
      <c r="F33" s="31">
        <f t="shared" si="3"/>
        <v>143.30347173236089</v>
      </c>
      <c r="G33">
        <f t="shared" si="2"/>
        <v>-4.7770000000000437</v>
      </c>
      <c r="H33" t="s">
        <v>120</v>
      </c>
      <c r="I33">
        <f t="shared" si="4"/>
        <v>145</v>
      </c>
      <c r="J33">
        <f t="shared" si="5"/>
        <v>3547.58</v>
      </c>
      <c r="K33">
        <f t="shared" si="6"/>
        <v>145</v>
      </c>
      <c r="L33">
        <f t="shared" si="7"/>
        <v>-4.7770000000000437</v>
      </c>
      <c r="M33" s="12">
        <f t="shared" si="8"/>
        <v>143.30347173236089</v>
      </c>
      <c r="N33">
        <f t="shared" si="9"/>
        <v>-4.7770000000000437</v>
      </c>
    </row>
    <row r="34" spans="1:14" x14ac:dyDescent="0.25">
      <c r="A34" t="s">
        <v>35</v>
      </c>
      <c r="B34">
        <v>150</v>
      </c>
      <c r="C34">
        <v>3547.6179999999999</v>
      </c>
      <c r="D34">
        <f t="shared" si="0"/>
        <v>150</v>
      </c>
      <c r="E34">
        <f t="shared" si="1"/>
        <v>-4.7390000000000327</v>
      </c>
      <c r="F34" s="31">
        <f t="shared" si="3"/>
        <v>148.30332733027569</v>
      </c>
      <c r="G34">
        <f t="shared" si="2"/>
        <v>-4.7390000000000327</v>
      </c>
      <c r="H34" t="s">
        <v>121</v>
      </c>
      <c r="I34">
        <f t="shared" si="4"/>
        <v>150</v>
      </c>
      <c r="J34">
        <f t="shared" si="5"/>
        <v>3547.6179999999999</v>
      </c>
      <c r="K34">
        <f t="shared" si="6"/>
        <v>150</v>
      </c>
      <c r="L34">
        <f t="shared" si="7"/>
        <v>-4.7390000000000327</v>
      </c>
      <c r="M34" s="12">
        <f t="shared" si="8"/>
        <v>148.30332733027569</v>
      </c>
      <c r="N34">
        <f t="shared" si="9"/>
        <v>-4.7390000000000327</v>
      </c>
    </row>
    <row r="35" spans="1:14" x14ac:dyDescent="0.25">
      <c r="A35" t="s">
        <v>36</v>
      </c>
      <c r="B35">
        <v>155</v>
      </c>
      <c r="C35">
        <v>3547.576</v>
      </c>
      <c r="D35">
        <f t="shared" si="0"/>
        <v>155</v>
      </c>
      <c r="E35">
        <f t="shared" si="1"/>
        <v>-4.7809999999999491</v>
      </c>
      <c r="F35" s="31">
        <f t="shared" si="3"/>
        <v>153.3031509271639</v>
      </c>
      <c r="G35">
        <f t="shared" si="2"/>
        <v>-4.7809999999999491</v>
      </c>
      <c r="H35" t="s">
        <v>122</v>
      </c>
      <c r="I35">
        <f t="shared" si="4"/>
        <v>155</v>
      </c>
      <c r="J35">
        <f t="shared" si="5"/>
        <v>3547.576</v>
      </c>
      <c r="K35">
        <f t="shared" si="6"/>
        <v>155</v>
      </c>
      <c r="L35">
        <f t="shared" si="7"/>
        <v>-4.7809999999999491</v>
      </c>
      <c r="M35" s="12">
        <f t="shared" si="8"/>
        <v>153.3031509271639</v>
      </c>
      <c r="N35">
        <f t="shared" si="9"/>
        <v>-4.7809999999999491</v>
      </c>
    </row>
    <row r="36" spans="1:14" x14ac:dyDescent="0.25">
      <c r="A36" t="s">
        <v>37</v>
      </c>
      <c r="B36">
        <v>160</v>
      </c>
      <c r="C36">
        <v>3547.7040000000002</v>
      </c>
      <c r="D36">
        <f t="shared" si="0"/>
        <v>160</v>
      </c>
      <c r="E36">
        <f t="shared" si="1"/>
        <v>-4.6529999999997926</v>
      </c>
      <c r="F36" s="31">
        <f t="shared" si="3"/>
        <v>158.30151225864043</v>
      </c>
      <c r="G36">
        <f t="shared" si="2"/>
        <v>-4.6529999999997926</v>
      </c>
      <c r="H36" t="s">
        <v>123</v>
      </c>
      <c r="I36">
        <f t="shared" si="4"/>
        <v>160</v>
      </c>
      <c r="J36">
        <f t="shared" si="5"/>
        <v>3547.7040000000002</v>
      </c>
      <c r="K36">
        <f t="shared" si="6"/>
        <v>160</v>
      </c>
      <c r="L36">
        <f t="shared" si="7"/>
        <v>-4.6529999999997926</v>
      </c>
      <c r="M36" s="12">
        <f t="shared" si="8"/>
        <v>158.30151225864043</v>
      </c>
      <c r="N36">
        <f t="shared" si="9"/>
        <v>-4.6529999999997926</v>
      </c>
    </row>
    <row r="37" spans="1:14" x14ac:dyDescent="0.25">
      <c r="A37" t="s">
        <v>38</v>
      </c>
      <c r="B37">
        <v>165</v>
      </c>
      <c r="C37">
        <v>3547.6170000000002</v>
      </c>
      <c r="D37">
        <f t="shared" si="0"/>
        <v>165</v>
      </c>
      <c r="E37">
        <f t="shared" si="1"/>
        <v>-4.7399999999997817</v>
      </c>
      <c r="F37" s="31">
        <f t="shared" si="3"/>
        <v>163.30075530134201</v>
      </c>
      <c r="G37">
        <f t="shared" si="2"/>
        <v>-4.7399999999997817</v>
      </c>
      <c r="H37" t="s">
        <v>124</v>
      </c>
      <c r="I37">
        <f t="shared" si="4"/>
        <v>165</v>
      </c>
      <c r="J37">
        <f t="shared" si="5"/>
        <v>3547.6170000000002</v>
      </c>
      <c r="K37">
        <f t="shared" si="6"/>
        <v>165</v>
      </c>
      <c r="L37">
        <f t="shared" si="7"/>
        <v>-4.7399999999997817</v>
      </c>
      <c r="M37" s="12">
        <f t="shared" si="8"/>
        <v>163.30075530134201</v>
      </c>
      <c r="N37">
        <f t="shared" si="9"/>
        <v>-4.7399999999997817</v>
      </c>
    </row>
    <row r="38" spans="1:14" x14ac:dyDescent="0.25">
      <c r="A38" t="s">
        <v>39</v>
      </c>
      <c r="B38">
        <v>170</v>
      </c>
      <c r="C38">
        <v>3548.0630000000001</v>
      </c>
      <c r="D38">
        <f t="shared" si="0"/>
        <v>170</v>
      </c>
      <c r="E38">
        <f t="shared" si="1"/>
        <v>-4.293999999999869</v>
      </c>
      <c r="F38" s="31">
        <f t="shared" si="3"/>
        <v>168.2808239755673</v>
      </c>
      <c r="G38">
        <f t="shared" si="2"/>
        <v>-4.293999999999869</v>
      </c>
      <c r="H38" t="s">
        <v>125</v>
      </c>
      <c r="I38">
        <f t="shared" si="4"/>
        <v>170</v>
      </c>
      <c r="J38">
        <f t="shared" si="5"/>
        <v>3548.0630000000001</v>
      </c>
      <c r="K38">
        <f t="shared" si="6"/>
        <v>170</v>
      </c>
      <c r="L38">
        <f t="shared" si="7"/>
        <v>-4.293999999999869</v>
      </c>
      <c r="M38" s="12">
        <f t="shared" si="8"/>
        <v>168.2808239755673</v>
      </c>
      <c r="N38">
        <f t="shared" si="9"/>
        <v>-4.293999999999869</v>
      </c>
    </row>
    <row r="39" spans="1:14" x14ac:dyDescent="0.25">
      <c r="A39" t="s">
        <v>40</v>
      </c>
      <c r="B39">
        <v>175</v>
      </c>
      <c r="C39">
        <v>3548.8359999999998</v>
      </c>
      <c r="D39">
        <f t="shared" si="0"/>
        <v>175</v>
      </c>
      <c r="E39">
        <f t="shared" si="1"/>
        <v>-3.5210000000001855</v>
      </c>
      <c r="F39" s="31">
        <f t="shared" si="3"/>
        <v>173.2207097029906</v>
      </c>
      <c r="G39">
        <f t="shared" si="2"/>
        <v>-3.5210000000001855</v>
      </c>
      <c r="H39" t="s">
        <v>126</v>
      </c>
      <c r="I39">
        <f t="shared" si="4"/>
        <v>175</v>
      </c>
      <c r="J39">
        <f t="shared" si="5"/>
        <v>3548.8359999999998</v>
      </c>
      <c r="K39">
        <f t="shared" si="6"/>
        <v>175</v>
      </c>
      <c r="L39">
        <f t="shared" si="7"/>
        <v>-3.5210000000001855</v>
      </c>
      <c r="M39" s="12">
        <f t="shared" si="8"/>
        <v>173.2207097029906</v>
      </c>
      <c r="N39">
        <f>L39</f>
        <v>-3.5210000000001855</v>
      </c>
    </row>
    <row r="40" spans="1:14" x14ac:dyDescent="0.25">
      <c r="A40" t="s">
        <v>41</v>
      </c>
      <c r="B40">
        <v>180</v>
      </c>
      <c r="C40">
        <v>3549.5230000000001</v>
      </c>
      <c r="D40">
        <f t="shared" si="0"/>
        <v>180</v>
      </c>
      <c r="E40">
        <f t="shared" si="1"/>
        <v>-2.8339999999998327</v>
      </c>
      <c r="F40" s="31">
        <f t="shared" si="3"/>
        <v>178.17328792044458</v>
      </c>
      <c r="G40">
        <f t="shared" si="2"/>
        <v>-2.8339999999998327</v>
      </c>
      <c r="H40" t="s">
        <v>175</v>
      </c>
      <c r="M40" s="12">
        <f>M39+7.5</f>
        <v>180.7207097029906</v>
      </c>
      <c r="N40">
        <f>E40</f>
        <v>-2.8339999999998327</v>
      </c>
    </row>
    <row r="41" spans="1:14" x14ac:dyDescent="0.25">
      <c r="A41" t="s">
        <v>42</v>
      </c>
      <c r="B41">
        <v>185</v>
      </c>
      <c r="C41">
        <v>3548.75</v>
      </c>
      <c r="D41">
        <f t="shared" si="0"/>
        <v>185</v>
      </c>
      <c r="E41">
        <f t="shared" si="1"/>
        <v>-3.6069999999999709</v>
      </c>
      <c r="F41" s="31">
        <f t="shared" si="3"/>
        <v>183.11317364786782</v>
      </c>
      <c r="G41">
        <f t="shared" si="2"/>
        <v>-3.6069999999999709</v>
      </c>
    </row>
    <row r="42" spans="1:14" x14ac:dyDescent="0.25">
      <c r="A42" t="s">
        <v>43</v>
      </c>
      <c r="B42">
        <v>190</v>
      </c>
      <c r="C42">
        <v>3547.85</v>
      </c>
      <c r="D42">
        <f t="shared" si="0"/>
        <v>190</v>
      </c>
      <c r="E42">
        <f t="shared" si="1"/>
        <v>-4.5070000000000618</v>
      </c>
      <c r="F42" s="31">
        <f t="shared" si="3"/>
        <v>188.03150669881097</v>
      </c>
      <c r="G42">
        <f t="shared" si="2"/>
        <v>-4.5070000000000618</v>
      </c>
    </row>
    <row r="43" spans="1:14" x14ac:dyDescent="0.25">
      <c r="A43" t="s">
        <v>44</v>
      </c>
      <c r="B43">
        <v>195</v>
      </c>
      <c r="C43">
        <v>3547.9059999999999</v>
      </c>
      <c r="D43">
        <f t="shared" si="0"/>
        <v>195</v>
      </c>
      <c r="E43">
        <f t="shared" si="1"/>
        <v>-4.4510000000000218</v>
      </c>
      <c r="F43" s="31">
        <f t="shared" si="3"/>
        <v>193.03119308897587</v>
      </c>
      <c r="G43">
        <f t="shared" si="2"/>
        <v>-4.4510000000000218</v>
      </c>
    </row>
    <row r="44" spans="1:14" x14ac:dyDescent="0.25">
      <c r="A44" t="s">
        <v>45</v>
      </c>
      <c r="B44">
        <v>200</v>
      </c>
      <c r="C44">
        <v>3549.3939999999998</v>
      </c>
      <c r="D44">
        <f t="shared" si="0"/>
        <v>200</v>
      </c>
      <c r="E44">
        <f t="shared" si="1"/>
        <v>-2.9630000000001928</v>
      </c>
      <c r="F44" s="31">
        <f t="shared" si="3"/>
        <v>197.80464634631488</v>
      </c>
      <c r="G44">
        <f t="shared" si="2"/>
        <v>-2.9630000000001928</v>
      </c>
    </row>
    <row r="45" spans="1:14" x14ac:dyDescent="0.25">
      <c r="A45" t="s">
        <v>46</v>
      </c>
      <c r="B45">
        <v>205</v>
      </c>
      <c r="C45">
        <v>3549.6060000000002</v>
      </c>
      <c r="D45">
        <f t="shared" si="0"/>
        <v>205</v>
      </c>
      <c r="E45">
        <f t="shared" si="1"/>
        <v>-2.750999999999749</v>
      </c>
      <c r="F45" s="31">
        <f t="shared" si="3"/>
        <v>202.80014992453397</v>
      </c>
      <c r="G45">
        <f t="shared" si="2"/>
        <v>-2.750999999999749</v>
      </c>
    </row>
    <row r="46" spans="1:14" x14ac:dyDescent="0.25">
      <c r="A46" t="s">
        <v>47</v>
      </c>
      <c r="B46">
        <v>210</v>
      </c>
      <c r="C46">
        <v>3549.4270000000001</v>
      </c>
      <c r="D46">
        <f t="shared" si="0"/>
        <v>210</v>
      </c>
      <c r="E46">
        <f t="shared" si="1"/>
        <v>-2.9299999999998363</v>
      </c>
      <c r="F46" s="31">
        <f t="shared" si="3"/>
        <v>207.79694479724986</v>
      </c>
      <c r="G46">
        <f t="shared" si="2"/>
        <v>-2.9299999999998363</v>
      </c>
    </row>
    <row r="47" spans="1:14" x14ac:dyDescent="0.25">
      <c r="A47" t="s">
        <v>48</v>
      </c>
      <c r="B47">
        <v>215</v>
      </c>
      <c r="C47">
        <v>3549.3470000000002</v>
      </c>
      <c r="D47">
        <f t="shared" si="0"/>
        <v>215</v>
      </c>
      <c r="E47">
        <f t="shared" si="1"/>
        <v>-3.0099999999997635</v>
      </c>
      <c r="F47" s="31">
        <f t="shared" si="3"/>
        <v>212.79630475628463</v>
      </c>
      <c r="G47">
        <f t="shared" si="2"/>
        <v>-3.0099999999997635</v>
      </c>
    </row>
    <row r="48" spans="1:14" x14ac:dyDescent="0.25">
      <c r="A48" t="s">
        <v>49</v>
      </c>
      <c r="B48">
        <v>220</v>
      </c>
      <c r="C48">
        <v>3550.7660000000001</v>
      </c>
      <c r="D48">
        <f t="shared" si="0"/>
        <v>220</v>
      </c>
      <c r="E48">
        <f t="shared" si="1"/>
        <v>-1.5909999999998945</v>
      </c>
      <c r="F48" s="31">
        <f t="shared" si="3"/>
        <v>217.5907222391495</v>
      </c>
      <c r="G48">
        <f t="shared" si="2"/>
        <v>-1.5909999999998945</v>
      </c>
    </row>
    <row r="49" spans="1:7" x14ac:dyDescent="0.25">
      <c r="A49" t="s">
        <v>50</v>
      </c>
      <c r="B49">
        <v>225</v>
      </c>
      <c r="C49">
        <v>3551.8180000000002</v>
      </c>
      <c r="D49">
        <f t="shared" si="0"/>
        <v>225</v>
      </c>
      <c r="E49">
        <f t="shared" si="1"/>
        <v>-0.53899999999975989</v>
      </c>
      <c r="F49" s="31">
        <f t="shared" si="3"/>
        <v>222.47879916162114</v>
      </c>
      <c r="G49">
        <f t="shared" si="2"/>
        <v>-0.53899999999975989</v>
      </c>
    </row>
    <row r="50" spans="1:7" x14ac:dyDescent="0.25">
      <c r="A50" t="s">
        <v>51</v>
      </c>
      <c r="B50">
        <v>230</v>
      </c>
      <c r="C50">
        <v>3552.357</v>
      </c>
      <c r="D50">
        <f t="shared" si="0"/>
        <v>230</v>
      </c>
      <c r="E50">
        <f t="shared" si="1"/>
        <v>0</v>
      </c>
      <c r="F50" s="31">
        <f t="shared" si="3"/>
        <v>227.44966216516491</v>
      </c>
      <c r="G50">
        <f t="shared" si="2"/>
        <v>0</v>
      </c>
    </row>
    <row r="51" spans="1:7" x14ac:dyDescent="0.25">
      <c r="A51" t="s">
        <v>52</v>
      </c>
      <c r="B51">
        <v>235</v>
      </c>
      <c r="C51">
        <v>3551.9070000000002</v>
      </c>
      <c r="D51">
        <f t="shared" si="0"/>
        <v>235</v>
      </c>
      <c r="E51">
        <f t="shared" si="1"/>
        <v>-0.4499999999998181</v>
      </c>
      <c r="F51" s="31">
        <f t="shared" si="3"/>
        <v>232.42937099199406</v>
      </c>
      <c r="G51">
        <f t="shared" si="2"/>
        <v>-0.4499999999998181</v>
      </c>
    </row>
  </sheetData>
  <mergeCells count="2">
    <mergeCell ref="C2:G2"/>
    <mergeCell ref="H2:L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721A-4CCB-48F7-B5FF-4C58D9069603}">
  <dimension ref="A1:H53"/>
  <sheetViews>
    <sheetView workbookViewId="0">
      <selection activeCell="F6" sqref="F6:G53"/>
    </sheetView>
  </sheetViews>
  <sheetFormatPr defaultRowHeight="15" x14ac:dyDescent="0.25"/>
  <sheetData>
    <row r="1" spans="1:8" x14ac:dyDescent="0.25">
      <c r="A1" s="1" t="s">
        <v>299</v>
      </c>
    </row>
    <row r="2" spans="1:8" x14ac:dyDescent="0.25">
      <c r="A2" s="1" t="s">
        <v>216</v>
      </c>
      <c r="B2" t="s">
        <v>295</v>
      </c>
    </row>
    <row r="3" spans="1:8" x14ac:dyDescent="0.25">
      <c r="A3" s="1" t="s">
        <v>4</v>
      </c>
      <c r="B3" t="s">
        <v>295</v>
      </c>
    </row>
    <row r="4" spans="1:8" x14ac:dyDescent="0.25">
      <c r="A4" s="1"/>
      <c r="C4" s="146" t="s">
        <v>216</v>
      </c>
      <c r="D4" s="146"/>
      <c r="E4" s="146"/>
      <c r="F4" s="146"/>
      <c r="G4" s="146"/>
      <c r="H4" t="s">
        <v>4</v>
      </c>
    </row>
    <row r="5" spans="1:8" x14ac:dyDescent="0.25">
      <c r="A5" t="s">
        <v>237</v>
      </c>
      <c r="B5" t="s">
        <v>2</v>
      </c>
      <c r="C5" t="s">
        <v>3</v>
      </c>
      <c r="D5" t="s">
        <v>2</v>
      </c>
      <c r="E5" t="s">
        <v>3</v>
      </c>
      <c r="F5" t="s">
        <v>298</v>
      </c>
      <c r="G5" t="s">
        <v>3</v>
      </c>
    </row>
    <row r="6" spans="1:8" x14ac:dyDescent="0.25">
      <c r="A6" t="s">
        <v>5</v>
      </c>
      <c r="B6">
        <v>0</v>
      </c>
      <c r="C6">
        <v>3544.4</v>
      </c>
      <c r="D6">
        <f>B6</f>
        <v>0</v>
      </c>
      <c r="E6">
        <f>C6-MAX($C$6:$C$53)</f>
        <v>-9.1329999999998108</v>
      </c>
      <c r="F6">
        <v>0</v>
      </c>
      <c r="G6">
        <f>E6</f>
        <v>-9.1329999999998108</v>
      </c>
    </row>
    <row r="7" spans="1:8" x14ac:dyDescent="0.25">
      <c r="A7" t="s">
        <v>6</v>
      </c>
      <c r="B7">
        <v>2</v>
      </c>
      <c r="C7">
        <v>3544.393</v>
      </c>
      <c r="D7">
        <f t="shared" ref="D7:D53" si="0">B7</f>
        <v>2</v>
      </c>
      <c r="E7">
        <f t="shared" ref="E7:E53" si="1">C7-MAX($C$6:$C$53)</f>
        <v>-9.1399999999998727</v>
      </c>
      <c r="F7" s="31">
        <f>F6+(SQRT((B7-B6)^2-(C7-C6)^2))</f>
        <v>1.9999877499624839</v>
      </c>
      <c r="G7">
        <f t="shared" ref="G7:G53" si="2">E7</f>
        <v>-9.1399999999998727</v>
      </c>
    </row>
    <row r="8" spans="1:8" x14ac:dyDescent="0.25">
      <c r="A8" t="s">
        <v>7</v>
      </c>
      <c r="B8">
        <v>4</v>
      </c>
      <c r="C8">
        <v>3544.7310000000002</v>
      </c>
      <c r="D8">
        <f t="shared" si="0"/>
        <v>4</v>
      </c>
      <c r="E8">
        <f t="shared" si="1"/>
        <v>-8.8019999999996799</v>
      </c>
      <c r="F8" s="31">
        <f t="shared" ref="F8:F53" si="3">F7+(SQRT((B8-B7)^2-(C8-C7)^2))</f>
        <v>3.9712198519737791</v>
      </c>
      <c r="G8">
        <f t="shared" si="2"/>
        <v>-8.8019999999996799</v>
      </c>
    </row>
    <row r="9" spans="1:8" x14ac:dyDescent="0.25">
      <c r="A9" t="s">
        <v>8</v>
      </c>
      <c r="B9">
        <v>6</v>
      </c>
      <c r="C9">
        <v>3545.3380000000002</v>
      </c>
      <c r="D9">
        <f t="shared" si="0"/>
        <v>6</v>
      </c>
      <c r="E9">
        <f t="shared" si="1"/>
        <v>-8.194999999999709</v>
      </c>
      <c r="F9" s="31">
        <f t="shared" si="3"/>
        <v>5.876882728770207</v>
      </c>
      <c r="G9">
        <f t="shared" si="2"/>
        <v>-8.194999999999709</v>
      </c>
    </row>
    <row r="10" spans="1:8" x14ac:dyDescent="0.25">
      <c r="A10" t="s">
        <v>9</v>
      </c>
      <c r="B10">
        <v>8</v>
      </c>
      <c r="C10">
        <v>3545.998</v>
      </c>
      <c r="D10">
        <f t="shared" si="0"/>
        <v>8</v>
      </c>
      <c r="E10">
        <f t="shared" si="1"/>
        <v>-7.5349999999998545</v>
      </c>
      <c r="F10" s="31">
        <f t="shared" si="3"/>
        <v>7.7648445927918806</v>
      </c>
      <c r="G10">
        <f t="shared" si="2"/>
        <v>-7.5349999999998545</v>
      </c>
    </row>
    <row r="11" spans="1:8" x14ac:dyDescent="0.25">
      <c r="A11" t="s">
        <v>10</v>
      </c>
      <c r="B11">
        <v>10</v>
      </c>
      <c r="C11">
        <v>3546.1060000000002</v>
      </c>
      <c r="D11">
        <f t="shared" si="0"/>
        <v>10</v>
      </c>
      <c r="E11">
        <f t="shared" si="1"/>
        <v>-7.4269999999996799</v>
      </c>
      <c r="F11" s="31">
        <f t="shared" si="3"/>
        <v>9.7619264639228476</v>
      </c>
      <c r="G11">
        <f t="shared" si="2"/>
        <v>-7.4269999999996799</v>
      </c>
    </row>
    <row r="12" spans="1:8" x14ac:dyDescent="0.25">
      <c r="A12" t="s">
        <v>11</v>
      </c>
      <c r="B12">
        <v>12</v>
      </c>
      <c r="C12">
        <v>3546.509</v>
      </c>
      <c r="D12">
        <f t="shared" si="0"/>
        <v>12</v>
      </c>
      <c r="E12">
        <f t="shared" si="1"/>
        <v>-7.0239999999998872</v>
      </c>
      <c r="F12" s="31">
        <f t="shared" si="3"/>
        <v>11.720903492884689</v>
      </c>
      <c r="G12">
        <f t="shared" si="2"/>
        <v>-7.0239999999998872</v>
      </c>
    </row>
    <row r="13" spans="1:8" x14ac:dyDescent="0.25">
      <c r="A13" t="s">
        <v>12</v>
      </c>
      <c r="B13">
        <v>14</v>
      </c>
      <c r="C13">
        <v>3546.663</v>
      </c>
      <c r="D13">
        <f t="shared" si="0"/>
        <v>14</v>
      </c>
      <c r="E13">
        <f t="shared" si="1"/>
        <v>-6.8699999999998909</v>
      </c>
      <c r="F13" s="31">
        <f t="shared" si="3"/>
        <v>13.714965678474698</v>
      </c>
      <c r="G13">
        <f t="shared" si="2"/>
        <v>-6.8699999999998909</v>
      </c>
    </row>
    <row r="14" spans="1:8" x14ac:dyDescent="0.25">
      <c r="A14" t="s">
        <v>13</v>
      </c>
      <c r="B14">
        <v>16</v>
      </c>
      <c r="C14">
        <v>3547.0050000000001</v>
      </c>
      <c r="D14">
        <f t="shared" si="0"/>
        <v>16</v>
      </c>
      <c r="E14">
        <f t="shared" si="1"/>
        <v>-6.5279999999997926</v>
      </c>
      <c r="F14" s="31">
        <f t="shared" si="3"/>
        <v>15.685507735879192</v>
      </c>
      <c r="G14">
        <f t="shared" si="2"/>
        <v>-6.5279999999997926</v>
      </c>
    </row>
    <row r="15" spans="1:8" x14ac:dyDescent="0.25">
      <c r="A15" t="s">
        <v>14</v>
      </c>
      <c r="B15">
        <v>18</v>
      </c>
      <c r="C15">
        <v>3546.703</v>
      </c>
      <c r="D15">
        <f t="shared" si="0"/>
        <v>18</v>
      </c>
      <c r="E15">
        <f t="shared" si="1"/>
        <v>-6.8299999999999272</v>
      </c>
      <c r="F15" s="31">
        <f t="shared" si="3"/>
        <v>17.662575261281376</v>
      </c>
      <c r="G15">
        <f t="shared" si="2"/>
        <v>-6.8299999999999272</v>
      </c>
    </row>
    <row r="16" spans="1:8" x14ac:dyDescent="0.25">
      <c r="A16" t="s">
        <v>15</v>
      </c>
      <c r="B16">
        <v>20</v>
      </c>
      <c r="C16">
        <v>3546.7289999999998</v>
      </c>
      <c r="D16">
        <f t="shared" si="0"/>
        <v>20</v>
      </c>
      <c r="E16">
        <f t="shared" si="1"/>
        <v>-6.8040000000000873</v>
      </c>
      <c r="F16" s="31">
        <f t="shared" si="3"/>
        <v>19.662406254140524</v>
      </c>
      <c r="G16">
        <f t="shared" si="2"/>
        <v>-6.8040000000000873</v>
      </c>
    </row>
    <row r="17" spans="1:7" x14ac:dyDescent="0.25">
      <c r="A17" t="s">
        <v>16</v>
      </c>
      <c r="B17">
        <v>22</v>
      </c>
      <c r="C17">
        <v>3545.9079999999999</v>
      </c>
      <c r="D17">
        <f t="shared" si="0"/>
        <v>22</v>
      </c>
      <c r="E17">
        <f t="shared" si="1"/>
        <v>-7.625</v>
      </c>
      <c r="F17" s="31">
        <f t="shared" si="3"/>
        <v>21.486127449937772</v>
      </c>
      <c r="G17">
        <f t="shared" si="2"/>
        <v>-7.625</v>
      </c>
    </row>
    <row r="18" spans="1:7" x14ac:dyDescent="0.25">
      <c r="A18" t="s">
        <v>17</v>
      </c>
      <c r="B18">
        <v>24</v>
      </c>
      <c r="C18">
        <v>3545.3739999999998</v>
      </c>
      <c r="D18">
        <f t="shared" si="0"/>
        <v>24</v>
      </c>
      <c r="E18">
        <f t="shared" si="1"/>
        <v>-8.1590000000001055</v>
      </c>
      <c r="F18" s="31">
        <f t="shared" si="3"/>
        <v>23.413520507930844</v>
      </c>
      <c r="G18">
        <f t="shared" si="2"/>
        <v>-8.1590000000001055</v>
      </c>
    </row>
    <row r="19" spans="1:7" x14ac:dyDescent="0.25">
      <c r="A19" t="s">
        <v>18</v>
      </c>
      <c r="B19">
        <v>26</v>
      </c>
      <c r="C19">
        <v>3546.8620000000001</v>
      </c>
      <c r="D19">
        <f t="shared" si="0"/>
        <v>26</v>
      </c>
      <c r="E19">
        <f t="shared" si="1"/>
        <v>-6.6709999999998217</v>
      </c>
      <c r="F19" s="31">
        <f t="shared" si="3"/>
        <v>24.74987974107108</v>
      </c>
      <c r="G19">
        <f t="shared" si="2"/>
        <v>-6.6709999999998217</v>
      </c>
    </row>
    <row r="20" spans="1:7" x14ac:dyDescent="0.25">
      <c r="A20" t="s">
        <v>19</v>
      </c>
      <c r="B20">
        <v>28</v>
      </c>
      <c r="C20">
        <v>3548.7829999999999</v>
      </c>
      <c r="D20">
        <f t="shared" si="0"/>
        <v>28</v>
      </c>
      <c r="E20">
        <f t="shared" si="1"/>
        <v>-4.75</v>
      </c>
      <c r="F20" s="31">
        <f t="shared" si="3"/>
        <v>25.30643971088627</v>
      </c>
      <c r="G20">
        <f t="shared" si="2"/>
        <v>-4.75</v>
      </c>
    </row>
    <row r="21" spans="1:7" x14ac:dyDescent="0.25">
      <c r="A21" t="s">
        <v>20</v>
      </c>
      <c r="B21">
        <v>30</v>
      </c>
      <c r="C21">
        <v>3550.0740000000001</v>
      </c>
      <c r="D21">
        <f t="shared" si="0"/>
        <v>30</v>
      </c>
      <c r="E21">
        <f t="shared" si="1"/>
        <v>-3.4589999999998327</v>
      </c>
      <c r="F21" s="31">
        <f t="shared" si="3"/>
        <v>26.833960250846228</v>
      </c>
      <c r="G21">
        <f t="shared" si="2"/>
        <v>-3.4589999999998327</v>
      </c>
    </row>
    <row r="22" spans="1:7" x14ac:dyDescent="0.25">
      <c r="A22" t="s">
        <v>21</v>
      </c>
      <c r="B22">
        <v>32</v>
      </c>
      <c r="C22">
        <v>3550.0509999999999</v>
      </c>
      <c r="D22">
        <f t="shared" si="0"/>
        <v>32</v>
      </c>
      <c r="E22">
        <f t="shared" si="1"/>
        <v>-3.4819999999999709</v>
      </c>
      <c r="F22" s="31">
        <f t="shared" si="3"/>
        <v>28.833827996473421</v>
      </c>
      <c r="G22">
        <f t="shared" si="2"/>
        <v>-3.4819999999999709</v>
      </c>
    </row>
    <row r="23" spans="1:7" x14ac:dyDescent="0.25">
      <c r="A23" t="s">
        <v>22</v>
      </c>
      <c r="B23">
        <v>34</v>
      </c>
      <c r="C23">
        <v>3550.2570000000001</v>
      </c>
      <c r="D23">
        <f t="shared" si="0"/>
        <v>34</v>
      </c>
      <c r="E23">
        <f t="shared" si="1"/>
        <v>-3.2759999999998399</v>
      </c>
      <c r="F23" s="31">
        <f t="shared" si="3"/>
        <v>30.823190708499546</v>
      </c>
      <c r="G23">
        <f t="shared" si="2"/>
        <v>-3.2759999999998399</v>
      </c>
    </row>
    <row r="24" spans="1:7" x14ac:dyDescent="0.25">
      <c r="A24" t="s">
        <v>23</v>
      </c>
      <c r="B24">
        <v>36</v>
      </c>
      <c r="C24">
        <v>3550.2339999999999</v>
      </c>
      <c r="D24">
        <f t="shared" si="0"/>
        <v>36</v>
      </c>
      <c r="E24">
        <f t="shared" si="1"/>
        <v>-3.2989999999999782</v>
      </c>
      <c r="F24" s="31">
        <f t="shared" si="3"/>
        <v>32.823058454126738</v>
      </c>
      <c r="G24">
        <f t="shared" si="2"/>
        <v>-3.2989999999999782</v>
      </c>
    </row>
    <row r="25" spans="1:7" x14ac:dyDescent="0.25">
      <c r="A25" t="s">
        <v>24</v>
      </c>
      <c r="B25">
        <v>38</v>
      </c>
      <c r="C25">
        <v>3550.1019999999999</v>
      </c>
      <c r="D25">
        <f t="shared" si="0"/>
        <v>38</v>
      </c>
      <c r="E25">
        <f t="shared" si="1"/>
        <v>-3.43100000000004</v>
      </c>
      <c r="F25" s="31">
        <f t="shared" si="3"/>
        <v>34.818697700082772</v>
      </c>
      <c r="G25">
        <f t="shared" si="2"/>
        <v>-3.43100000000004</v>
      </c>
    </row>
    <row r="26" spans="1:7" x14ac:dyDescent="0.25">
      <c r="A26" t="s">
        <v>25</v>
      </c>
      <c r="B26">
        <v>40</v>
      </c>
      <c r="C26">
        <v>3549.6320000000001</v>
      </c>
      <c r="D26">
        <f t="shared" si="0"/>
        <v>40</v>
      </c>
      <c r="E26">
        <f t="shared" si="1"/>
        <v>-3.9009999999998399</v>
      </c>
      <c r="F26" s="31">
        <f t="shared" si="3"/>
        <v>36.762688440801512</v>
      </c>
      <c r="G26">
        <f t="shared" si="2"/>
        <v>-3.9009999999998399</v>
      </c>
    </row>
    <row r="27" spans="1:7" x14ac:dyDescent="0.25">
      <c r="A27" t="s">
        <v>26</v>
      </c>
      <c r="B27">
        <v>42</v>
      </c>
      <c r="C27">
        <v>3550.1509999999998</v>
      </c>
      <c r="D27">
        <f t="shared" si="0"/>
        <v>42</v>
      </c>
      <c r="E27">
        <f t="shared" si="1"/>
        <v>-3.3820000000000618</v>
      </c>
      <c r="F27" s="31">
        <f t="shared" si="3"/>
        <v>38.694174656129036</v>
      </c>
      <c r="G27">
        <f t="shared" si="2"/>
        <v>-3.3820000000000618</v>
      </c>
    </row>
    <row r="28" spans="1:7" x14ac:dyDescent="0.25">
      <c r="A28" t="s">
        <v>27</v>
      </c>
      <c r="B28">
        <v>44</v>
      </c>
      <c r="C28">
        <v>3550.5929999999998</v>
      </c>
      <c r="D28">
        <f t="shared" si="0"/>
        <v>44</v>
      </c>
      <c r="E28">
        <f t="shared" si="1"/>
        <v>-2.9400000000000546</v>
      </c>
      <c r="F28" s="31">
        <f t="shared" si="3"/>
        <v>40.644722271543742</v>
      </c>
      <c r="G28">
        <f t="shared" si="2"/>
        <v>-2.9400000000000546</v>
      </c>
    </row>
    <row r="29" spans="1:7" x14ac:dyDescent="0.25">
      <c r="A29" t="s">
        <v>28</v>
      </c>
      <c r="B29">
        <v>46</v>
      </c>
      <c r="C29">
        <v>3550.6019999999999</v>
      </c>
      <c r="D29">
        <f t="shared" si="0"/>
        <v>46</v>
      </c>
      <c r="E29">
        <f t="shared" si="1"/>
        <v>-2.93100000000004</v>
      </c>
      <c r="F29" s="31">
        <f t="shared" si="3"/>
        <v>42.644702021441226</v>
      </c>
      <c r="G29">
        <f t="shared" si="2"/>
        <v>-2.93100000000004</v>
      </c>
    </row>
    <row r="30" spans="1:7" x14ac:dyDescent="0.25">
      <c r="A30" t="s">
        <v>29</v>
      </c>
      <c r="B30">
        <v>48</v>
      </c>
      <c r="C30">
        <v>3551.3510000000001</v>
      </c>
      <c r="D30">
        <f t="shared" si="0"/>
        <v>48</v>
      </c>
      <c r="E30">
        <f t="shared" si="1"/>
        <v>-2.181999999999789</v>
      </c>
      <c r="F30" s="31">
        <f t="shared" si="3"/>
        <v>44.499155849391556</v>
      </c>
      <c r="G30">
        <f t="shared" si="2"/>
        <v>-2.181999999999789</v>
      </c>
    </row>
    <row r="31" spans="1:7" x14ac:dyDescent="0.25">
      <c r="A31" t="s">
        <v>30</v>
      </c>
      <c r="B31">
        <v>50</v>
      </c>
      <c r="C31">
        <v>3550.596</v>
      </c>
      <c r="D31">
        <f t="shared" si="0"/>
        <v>50</v>
      </c>
      <c r="E31">
        <f t="shared" si="1"/>
        <v>-2.9369999999998981</v>
      </c>
      <c r="F31" s="31">
        <f t="shared" si="3"/>
        <v>46.351175017758834</v>
      </c>
      <c r="G31">
        <f t="shared" si="2"/>
        <v>-2.9369999999998981</v>
      </c>
    </row>
    <row r="32" spans="1:7" x14ac:dyDescent="0.25">
      <c r="A32" t="s">
        <v>31</v>
      </c>
      <c r="B32">
        <v>52</v>
      </c>
      <c r="C32">
        <v>3550.7930000000001</v>
      </c>
      <c r="D32">
        <f t="shared" si="0"/>
        <v>52</v>
      </c>
      <c r="E32">
        <f t="shared" si="1"/>
        <v>-2.7399999999997817</v>
      </c>
      <c r="F32" s="31">
        <f t="shared" si="3"/>
        <v>48.341449119484508</v>
      </c>
      <c r="G32">
        <f t="shared" si="2"/>
        <v>-2.7399999999997817</v>
      </c>
    </row>
    <row r="33" spans="1:7" x14ac:dyDescent="0.25">
      <c r="A33" t="s">
        <v>32</v>
      </c>
      <c r="B33">
        <v>54</v>
      </c>
      <c r="C33">
        <v>3550.94</v>
      </c>
      <c r="D33">
        <f t="shared" si="0"/>
        <v>54</v>
      </c>
      <c r="E33">
        <f t="shared" si="1"/>
        <v>-2.5929999999998472</v>
      </c>
      <c r="F33" s="31">
        <f t="shared" si="3"/>
        <v>50.336039553633839</v>
      </c>
      <c r="G33">
        <f t="shared" si="2"/>
        <v>-2.5929999999998472</v>
      </c>
    </row>
    <row r="34" spans="1:7" x14ac:dyDescent="0.25">
      <c r="A34" t="s">
        <v>33</v>
      </c>
      <c r="B34">
        <v>56</v>
      </c>
      <c r="C34">
        <v>3551.3620000000001</v>
      </c>
      <c r="D34">
        <f t="shared" si="0"/>
        <v>56</v>
      </c>
      <c r="E34">
        <f t="shared" si="1"/>
        <v>-2.1709999999998217</v>
      </c>
      <c r="F34" s="31">
        <f t="shared" si="3"/>
        <v>52.291011676197222</v>
      </c>
      <c r="G34">
        <f t="shared" si="2"/>
        <v>-2.1709999999998217</v>
      </c>
    </row>
    <row r="35" spans="1:7" x14ac:dyDescent="0.25">
      <c r="A35" t="s">
        <v>34</v>
      </c>
      <c r="B35">
        <v>58</v>
      </c>
      <c r="C35">
        <v>3551.13</v>
      </c>
      <c r="D35">
        <f t="shared" si="0"/>
        <v>58</v>
      </c>
      <c r="E35">
        <f t="shared" si="1"/>
        <v>-2.4029999999997926</v>
      </c>
      <c r="F35" s="31">
        <f t="shared" si="3"/>
        <v>54.27751010307805</v>
      </c>
      <c r="G35">
        <f t="shared" si="2"/>
        <v>-2.4029999999997926</v>
      </c>
    </row>
    <row r="36" spans="1:7" x14ac:dyDescent="0.25">
      <c r="A36" t="s">
        <v>35</v>
      </c>
      <c r="B36">
        <v>60</v>
      </c>
      <c r="C36">
        <v>3551.5639999999999</v>
      </c>
      <c r="D36">
        <f t="shared" si="0"/>
        <v>60</v>
      </c>
      <c r="E36">
        <f t="shared" si="1"/>
        <v>-1.9690000000000509</v>
      </c>
      <c r="F36" s="31">
        <f t="shared" si="3"/>
        <v>56.229853310611048</v>
      </c>
      <c r="G36">
        <f t="shared" si="2"/>
        <v>-1.9690000000000509</v>
      </c>
    </row>
    <row r="37" spans="1:7" x14ac:dyDescent="0.25">
      <c r="A37" t="s">
        <v>36</v>
      </c>
      <c r="B37">
        <v>62</v>
      </c>
      <c r="C37">
        <v>3551.3919999999998</v>
      </c>
      <c r="D37">
        <f t="shared" si="0"/>
        <v>62</v>
      </c>
      <c r="E37">
        <f t="shared" si="1"/>
        <v>-2.1410000000000764</v>
      </c>
      <c r="F37" s="31">
        <f t="shared" si="3"/>
        <v>58.222443584601159</v>
      </c>
      <c r="G37">
        <f t="shared" si="2"/>
        <v>-2.1410000000000764</v>
      </c>
    </row>
    <row r="38" spans="1:7" x14ac:dyDescent="0.25">
      <c r="A38" t="s">
        <v>37</v>
      </c>
      <c r="B38">
        <v>64</v>
      </c>
      <c r="C38">
        <v>3551.9</v>
      </c>
      <c r="D38">
        <f t="shared" si="0"/>
        <v>64</v>
      </c>
      <c r="E38">
        <f t="shared" si="1"/>
        <v>-1.6329999999998108</v>
      </c>
      <c r="F38" s="31">
        <f t="shared" si="3"/>
        <v>60.156852021307259</v>
      </c>
      <c r="G38">
        <f t="shared" si="2"/>
        <v>-1.6329999999998108</v>
      </c>
    </row>
    <row r="39" spans="1:7" x14ac:dyDescent="0.25">
      <c r="A39" t="s">
        <v>38</v>
      </c>
      <c r="B39">
        <v>66</v>
      </c>
      <c r="C39">
        <v>3551.92</v>
      </c>
      <c r="D39">
        <f t="shared" si="0"/>
        <v>66</v>
      </c>
      <c r="E39">
        <f t="shared" si="1"/>
        <v>-1.612999999999829</v>
      </c>
      <c r="F39" s="31">
        <f t="shared" si="3"/>
        <v>62.156752018807133</v>
      </c>
      <c r="G39">
        <f t="shared" si="2"/>
        <v>-1.612999999999829</v>
      </c>
    </row>
    <row r="40" spans="1:7" x14ac:dyDescent="0.25">
      <c r="A40" t="s">
        <v>39</v>
      </c>
      <c r="B40">
        <v>68</v>
      </c>
      <c r="C40">
        <v>3552.2</v>
      </c>
      <c r="D40">
        <f t="shared" si="0"/>
        <v>68</v>
      </c>
      <c r="E40">
        <f t="shared" si="1"/>
        <v>-1.3330000000000837</v>
      </c>
      <c r="F40" s="31">
        <f t="shared" si="3"/>
        <v>64.137055025925022</v>
      </c>
      <c r="G40">
        <f t="shared" si="2"/>
        <v>-1.3330000000000837</v>
      </c>
    </row>
    <row r="41" spans="1:7" x14ac:dyDescent="0.25">
      <c r="A41" t="s">
        <v>40</v>
      </c>
      <c r="B41">
        <v>70</v>
      </c>
      <c r="C41">
        <v>3552.3780000000002</v>
      </c>
      <c r="D41">
        <f t="shared" si="0"/>
        <v>70</v>
      </c>
      <c r="E41">
        <f t="shared" si="1"/>
        <v>-1.1549999999997453</v>
      </c>
      <c r="F41" s="31">
        <f t="shared" si="3"/>
        <v>66.129118277932818</v>
      </c>
      <c r="G41">
        <f t="shared" si="2"/>
        <v>-1.1549999999997453</v>
      </c>
    </row>
    <row r="42" spans="1:7" x14ac:dyDescent="0.25">
      <c r="A42" t="s">
        <v>41</v>
      </c>
      <c r="B42">
        <v>72</v>
      </c>
      <c r="C42">
        <v>3552.424</v>
      </c>
      <c r="D42">
        <f t="shared" si="0"/>
        <v>72</v>
      </c>
      <c r="E42">
        <f t="shared" si="1"/>
        <v>-1.1089999999999236</v>
      </c>
      <c r="F42" s="31">
        <f t="shared" si="3"/>
        <v>68.128589207954064</v>
      </c>
      <c r="G42">
        <f t="shared" si="2"/>
        <v>-1.1089999999999236</v>
      </c>
    </row>
    <row r="43" spans="1:7" x14ac:dyDescent="0.25">
      <c r="A43" t="s">
        <v>42</v>
      </c>
      <c r="B43">
        <v>74</v>
      </c>
      <c r="C43">
        <v>3552.48</v>
      </c>
      <c r="D43">
        <f t="shared" si="0"/>
        <v>74</v>
      </c>
      <c r="E43">
        <f t="shared" si="1"/>
        <v>-1.0529999999998836</v>
      </c>
      <c r="F43" s="31">
        <f t="shared" si="3"/>
        <v>70.127805054229796</v>
      </c>
      <c r="G43">
        <f t="shared" si="2"/>
        <v>-1.0529999999998836</v>
      </c>
    </row>
    <row r="44" spans="1:7" x14ac:dyDescent="0.25">
      <c r="A44" t="s">
        <v>43</v>
      </c>
      <c r="B44">
        <v>76</v>
      </c>
      <c r="C44">
        <v>3552.7249999999999</v>
      </c>
      <c r="D44">
        <f t="shared" si="0"/>
        <v>76</v>
      </c>
      <c r="E44">
        <f t="shared" si="1"/>
        <v>-0.80799999999999272</v>
      </c>
      <c r="F44" s="31">
        <f t="shared" si="3"/>
        <v>72.112742080938716</v>
      </c>
      <c r="G44">
        <f t="shared" si="2"/>
        <v>-0.80799999999999272</v>
      </c>
    </row>
    <row r="45" spans="1:7" x14ac:dyDescent="0.25">
      <c r="A45" t="s">
        <v>44</v>
      </c>
      <c r="B45">
        <v>78</v>
      </c>
      <c r="C45">
        <v>3552.8119999999999</v>
      </c>
      <c r="D45">
        <f t="shared" si="0"/>
        <v>78</v>
      </c>
      <c r="E45">
        <f t="shared" si="1"/>
        <v>-0.72100000000000364</v>
      </c>
      <c r="F45" s="31">
        <f t="shared" si="3"/>
        <v>74.110848934938275</v>
      </c>
      <c r="G45">
        <f t="shared" si="2"/>
        <v>-0.72100000000000364</v>
      </c>
    </row>
    <row r="46" spans="1:7" x14ac:dyDescent="0.25">
      <c r="A46" t="s">
        <v>45</v>
      </c>
      <c r="B46">
        <v>80</v>
      </c>
      <c r="C46">
        <v>3552.8090000000002</v>
      </c>
      <c r="D46">
        <f t="shared" si="0"/>
        <v>80</v>
      </c>
      <c r="E46">
        <f t="shared" si="1"/>
        <v>-0.72399999999970532</v>
      </c>
      <c r="F46" s="31">
        <f t="shared" si="3"/>
        <v>76.110846684937016</v>
      </c>
      <c r="G46">
        <f t="shared" si="2"/>
        <v>-0.72399999999970532</v>
      </c>
    </row>
    <row r="47" spans="1:7" x14ac:dyDescent="0.25">
      <c r="A47" t="s">
        <v>46</v>
      </c>
      <c r="B47">
        <v>82</v>
      </c>
      <c r="C47">
        <v>3552.895</v>
      </c>
      <c r="D47">
        <f t="shared" si="0"/>
        <v>82</v>
      </c>
      <c r="E47">
        <f t="shared" si="1"/>
        <v>-0.63799999999991996</v>
      </c>
      <c r="F47" s="31">
        <f t="shared" si="3"/>
        <v>78.108996829445687</v>
      </c>
      <c r="G47">
        <f t="shared" si="2"/>
        <v>-0.63799999999991996</v>
      </c>
    </row>
    <row r="48" spans="1:7" x14ac:dyDescent="0.25">
      <c r="A48" t="s">
        <v>47</v>
      </c>
      <c r="B48">
        <v>84</v>
      </c>
      <c r="C48">
        <v>3553.2469999999998</v>
      </c>
      <c r="D48">
        <f t="shared" si="0"/>
        <v>84</v>
      </c>
      <c r="E48">
        <f t="shared" si="1"/>
        <v>-0.28600000000005821</v>
      </c>
      <c r="F48" s="31">
        <f t="shared" si="3"/>
        <v>80.077777162545374</v>
      </c>
      <c r="G48">
        <f t="shared" si="2"/>
        <v>-0.28600000000005821</v>
      </c>
    </row>
    <row r="49" spans="1:7" x14ac:dyDescent="0.25">
      <c r="A49" t="s">
        <v>48</v>
      </c>
      <c r="B49">
        <v>86</v>
      </c>
      <c r="C49">
        <v>3553.529</v>
      </c>
      <c r="D49">
        <f t="shared" si="0"/>
        <v>86</v>
      </c>
      <c r="E49">
        <f t="shared" si="1"/>
        <v>-3.9999999999054126E-3</v>
      </c>
      <c r="F49" s="31">
        <f t="shared" si="3"/>
        <v>82.057796354371533</v>
      </c>
      <c r="G49">
        <f t="shared" si="2"/>
        <v>-3.9999999999054126E-3</v>
      </c>
    </row>
    <row r="50" spans="1:7" x14ac:dyDescent="0.25">
      <c r="A50" t="s">
        <v>49</v>
      </c>
      <c r="B50">
        <v>88</v>
      </c>
      <c r="C50">
        <v>3553.5329999999999</v>
      </c>
      <c r="D50">
        <f t="shared" si="0"/>
        <v>88</v>
      </c>
      <c r="E50">
        <f t="shared" si="1"/>
        <v>0</v>
      </c>
      <c r="F50" s="31">
        <f t="shared" si="3"/>
        <v>84.057792354367535</v>
      </c>
      <c r="G50">
        <f t="shared" si="2"/>
        <v>0</v>
      </c>
    </row>
    <row r="51" spans="1:7" x14ac:dyDescent="0.25">
      <c r="A51" t="s">
        <v>50</v>
      </c>
      <c r="B51">
        <v>90</v>
      </c>
      <c r="C51">
        <v>3553.1979999999999</v>
      </c>
      <c r="D51">
        <f t="shared" si="0"/>
        <v>90</v>
      </c>
      <c r="E51">
        <f t="shared" si="1"/>
        <v>-0.33500000000003638</v>
      </c>
      <c r="F51" s="31">
        <f t="shared" si="3"/>
        <v>86.029536506127585</v>
      </c>
      <c r="G51">
        <f t="shared" si="2"/>
        <v>-0.33500000000003638</v>
      </c>
    </row>
    <row r="52" spans="1:7" x14ac:dyDescent="0.25">
      <c r="A52" t="s">
        <v>51</v>
      </c>
      <c r="B52">
        <v>92</v>
      </c>
      <c r="C52">
        <v>3552.9209999999998</v>
      </c>
      <c r="D52">
        <f t="shared" si="0"/>
        <v>92</v>
      </c>
      <c r="E52">
        <f t="shared" si="1"/>
        <v>-0.61200000000008004</v>
      </c>
      <c r="F52" s="31">
        <f t="shared" si="3"/>
        <v>88.010261373442574</v>
      </c>
      <c r="G52">
        <f t="shared" si="2"/>
        <v>-0.61200000000008004</v>
      </c>
    </row>
    <row r="53" spans="1:7" x14ac:dyDescent="0.25">
      <c r="A53" t="s">
        <v>52</v>
      </c>
      <c r="B53">
        <v>94</v>
      </c>
      <c r="C53">
        <v>3552.45</v>
      </c>
      <c r="D53">
        <f t="shared" si="0"/>
        <v>94</v>
      </c>
      <c r="E53">
        <f t="shared" si="1"/>
        <v>-1.0830000000000837</v>
      </c>
      <c r="F53" s="31">
        <f t="shared" si="3"/>
        <v>89.954010071191334</v>
      </c>
      <c r="G53">
        <f t="shared" si="2"/>
        <v>-1.0830000000000837</v>
      </c>
    </row>
  </sheetData>
  <mergeCells count="1">
    <mergeCell ref="C4:G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FF3C-D313-4BC2-ABAD-4730935CA7DF}">
  <dimension ref="A1:Z76"/>
  <sheetViews>
    <sheetView topLeftCell="A43" zoomScaleNormal="100" workbookViewId="0">
      <selection activeCell="P4" sqref="P4:Q76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322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86" t="s">
        <v>303</v>
      </c>
      <c r="N1" s="87"/>
      <c r="O1" s="87"/>
      <c r="P1" s="88"/>
      <c r="Q1" s="87"/>
      <c r="R1" s="87" t="s">
        <v>304</v>
      </c>
      <c r="S1" s="89">
        <f>MAX(J2:J39)</f>
        <v>2.2439959009999999</v>
      </c>
      <c r="T1" s="87"/>
      <c r="U1" s="90" t="s">
        <v>327</v>
      </c>
      <c r="V1" s="89"/>
      <c r="W1" s="87"/>
      <c r="X1" s="87" t="s">
        <v>329</v>
      </c>
      <c r="Y1" s="87"/>
      <c r="Z1" s="91"/>
    </row>
    <row r="2" spans="1:26" x14ac:dyDescent="0.25">
      <c r="D2" s="54"/>
      <c r="E2" s="55"/>
      <c r="F2" s="54"/>
      <c r="G2" s="58"/>
      <c r="H2" s="62"/>
      <c r="I2" s="1"/>
      <c r="J2" s="55"/>
      <c r="M2" s="92" t="s">
        <v>326</v>
      </c>
      <c r="N2" s="67"/>
      <c r="O2" s="67"/>
      <c r="P2" s="69"/>
      <c r="Q2" s="67"/>
      <c r="R2" s="67"/>
      <c r="S2" s="93"/>
      <c r="T2" s="67"/>
      <c r="U2" s="94"/>
      <c r="V2" s="95"/>
      <c r="W2" s="68"/>
      <c r="X2" s="68"/>
      <c r="Y2" s="68"/>
      <c r="Z2" s="96"/>
    </row>
    <row r="3" spans="1:26" x14ac:dyDescent="0.25">
      <c r="A3" t="s">
        <v>5</v>
      </c>
      <c r="B3">
        <v>0</v>
      </c>
      <c r="D3" s="54">
        <f>B3</f>
        <v>0</v>
      </c>
      <c r="E3" s="55">
        <v>0</v>
      </c>
      <c r="F3" s="54">
        <v>0</v>
      </c>
      <c r="G3" s="55">
        <f>E3</f>
        <v>0</v>
      </c>
      <c r="H3" s="54"/>
      <c r="J3" s="55"/>
      <c r="M3" s="92" t="s">
        <v>328</v>
      </c>
      <c r="N3" s="67"/>
      <c r="O3" s="68"/>
      <c r="P3" s="69" t="s">
        <v>325</v>
      </c>
      <c r="Q3" s="68"/>
      <c r="R3" s="68"/>
      <c r="S3" s="95"/>
      <c r="T3" s="68"/>
      <c r="U3" s="94"/>
      <c r="V3" s="95"/>
      <c r="W3" s="68"/>
      <c r="X3" s="68"/>
      <c r="Y3" s="68"/>
      <c r="Z3" s="96"/>
    </row>
    <row r="4" spans="1:26" x14ac:dyDescent="0.25">
      <c r="A4" t="s">
        <v>6</v>
      </c>
      <c r="B4">
        <v>5</v>
      </c>
      <c r="D4" s="54">
        <f t="shared" ref="D4:D67" si="0">B4</f>
        <v>5</v>
      </c>
      <c r="E4" s="55">
        <v>-5.8176328999999999E-2</v>
      </c>
      <c r="F4" s="59">
        <f>F3+(SQRT((D4-D3)^2-(E4-E3)^2))</f>
        <v>4.9996615400188924</v>
      </c>
      <c r="G4" s="55">
        <f t="shared" ref="G4:G67" si="1">E4</f>
        <v>-5.8176328999999999E-2</v>
      </c>
      <c r="H4" s="54"/>
      <c r="J4" s="55"/>
      <c r="M4" s="97"/>
      <c r="N4" s="68"/>
      <c r="O4" s="68"/>
      <c r="P4" s="70">
        <f>F3</f>
        <v>0</v>
      </c>
      <c r="Q4" s="143">
        <f>G3-$S$1</f>
        <v>-2.2439959009999999</v>
      </c>
      <c r="R4" s="68"/>
      <c r="S4" s="95"/>
      <c r="T4" s="68"/>
      <c r="U4" s="94"/>
      <c r="V4" s="95"/>
      <c r="W4" s="68"/>
      <c r="X4" s="68"/>
      <c r="Y4" s="68"/>
      <c r="Z4" s="96"/>
    </row>
    <row r="5" spans="1:26" x14ac:dyDescent="0.25">
      <c r="A5" t="s">
        <v>7</v>
      </c>
      <c r="B5">
        <v>10</v>
      </c>
      <c r="D5" s="54">
        <f t="shared" si="0"/>
        <v>10</v>
      </c>
      <c r="E5" s="55">
        <v>0.98258304799999996</v>
      </c>
      <c r="F5" s="59">
        <f t="shared" ref="F5:F68" si="2">F4+(SQRT((D5-D4)^2-(E5-E4)^2))</f>
        <v>9.8901441255299147</v>
      </c>
      <c r="G5" s="55">
        <f t="shared" si="1"/>
        <v>0.98258304799999996</v>
      </c>
      <c r="H5" s="54"/>
      <c r="J5" s="55"/>
      <c r="M5" s="97"/>
      <c r="N5" s="68"/>
      <c r="O5" s="68"/>
      <c r="P5" s="70">
        <f t="shared" ref="P5:P68" si="3">F4</f>
        <v>4.9996615400188924</v>
      </c>
      <c r="Q5" s="143">
        <f t="shared" ref="Q5:Q68" si="4">G4-$S$1</f>
        <v>-2.30217223</v>
      </c>
      <c r="R5" s="68"/>
      <c r="S5" s="95"/>
      <c r="T5" s="68"/>
      <c r="U5" s="94"/>
      <c r="V5" s="95"/>
      <c r="W5" s="68"/>
      <c r="X5" s="68"/>
      <c r="Y5" s="68"/>
      <c r="Z5" s="96"/>
    </row>
    <row r="6" spans="1:26" x14ac:dyDescent="0.25">
      <c r="A6" t="s">
        <v>8</v>
      </c>
      <c r="B6">
        <v>15</v>
      </c>
      <c r="D6" s="54">
        <f t="shared" si="0"/>
        <v>15</v>
      </c>
      <c r="E6" s="55">
        <v>1.039558454</v>
      </c>
      <c r="F6" s="59">
        <f t="shared" si="2"/>
        <v>14.88981949530255</v>
      </c>
      <c r="G6" s="55">
        <f t="shared" si="1"/>
        <v>1.039558454</v>
      </c>
      <c r="H6" s="54"/>
      <c r="J6" s="55"/>
      <c r="M6" s="97"/>
      <c r="N6" s="68"/>
      <c r="O6" s="68"/>
      <c r="P6" s="70">
        <f t="shared" si="3"/>
        <v>9.8901441255299147</v>
      </c>
      <c r="Q6" s="143">
        <f t="shared" si="4"/>
        <v>-1.2614128529999999</v>
      </c>
      <c r="R6" s="68"/>
      <c r="S6" s="95"/>
      <c r="T6" s="68"/>
      <c r="U6" s="94"/>
      <c r="V6" s="95"/>
      <c r="W6" s="68"/>
      <c r="X6" s="68"/>
      <c r="Y6" s="68"/>
      <c r="Z6" s="96"/>
    </row>
    <row r="7" spans="1:26" x14ac:dyDescent="0.25">
      <c r="A7" t="s">
        <v>9</v>
      </c>
      <c r="B7">
        <v>20</v>
      </c>
      <c r="D7" s="54">
        <f t="shared" si="0"/>
        <v>20</v>
      </c>
      <c r="E7" s="55">
        <v>0.92547461499999994</v>
      </c>
      <c r="F7" s="59">
        <f t="shared" si="2"/>
        <v>19.888517813632937</v>
      </c>
      <c r="G7" s="55">
        <f t="shared" si="1"/>
        <v>0.92547461499999994</v>
      </c>
      <c r="H7" s="54"/>
      <c r="J7" s="55"/>
      <c r="M7" s="97"/>
      <c r="N7" s="68"/>
      <c r="O7" s="68"/>
      <c r="P7" s="70">
        <f t="shared" si="3"/>
        <v>14.88981949530255</v>
      </c>
      <c r="Q7" s="143">
        <f t="shared" si="4"/>
        <v>-1.2044374469999999</v>
      </c>
      <c r="R7" s="68"/>
      <c r="S7" s="95"/>
      <c r="T7" s="68"/>
      <c r="U7" s="94"/>
      <c r="V7" s="95"/>
      <c r="W7" s="68"/>
      <c r="X7" s="68"/>
      <c r="Y7" s="68"/>
      <c r="Z7" s="96"/>
    </row>
    <row r="8" spans="1:26" x14ac:dyDescent="0.25">
      <c r="A8" t="s">
        <v>10</v>
      </c>
      <c r="B8">
        <v>25</v>
      </c>
      <c r="D8" s="54">
        <f t="shared" si="0"/>
        <v>25</v>
      </c>
      <c r="E8" s="55">
        <v>0.23262656100000001</v>
      </c>
      <c r="F8" s="59">
        <f t="shared" si="2"/>
        <v>24.840281294865498</v>
      </c>
      <c r="G8" s="55">
        <f t="shared" si="1"/>
        <v>0.23262656100000001</v>
      </c>
      <c r="H8" s="54"/>
      <c r="J8" s="55"/>
      <c r="M8" s="97"/>
      <c r="N8" s="68"/>
      <c r="O8" s="68"/>
      <c r="P8" s="70">
        <f t="shared" si="3"/>
        <v>19.888517813632937</v>
      </c>
      <c r="Q8" s="143">
        <f t="shared" si="4"/>
        <v>-1.318521286</v>
      </c>
      <c r="R8" s="68"/>
      <c r="S8" s="95"/>
      <c r="T8" s="68"/>
      <c r="U8" s="94"/>
      <c r="V8" s="95"/>
      <c r="W8" s="68"/>
      <c r="X8" s="68"/>
      <c r="Y8" s="68"/>
      <c r="Z8" s="96"/>
    </row>
    <row r="9" spans="1:26" x14ac:dyDescent="0.25">
      <c r="A9" t="s">
        <v>11</v>
      </c>
      <c r="B9">
        <v>30</v>
      </c>
      <c r="D9" s="54">
        <f t="shared" si="0"/>
        <v>30</v>
      </c>
      <c r="E9" s="55">
        <v>0.81088961599999998</v>
      </c>
      <c r="F9" s="59">
        <f t="shared" si="2"/>
        <v>29.806729909239966</v>
      </c>
      <c r="G9" s="55">
        <f t="shared" si="1"/>
        <v>0.81088961599999998</v>
      </c>
      <c r="H9" s="54"/>
      <c r="J9" s="55"/>
      <c r="M9" s="97"/>
      <c r="N9" s="68"/>
      <c r="O9" s="68"/>
      <c r="P9" s="70">
        <f t="shared" si="3"/>
        <v>24.840281294865498</v>
      </c>
      <c r="Q9" s="143">
        <f t="shared" si="4"/>
        <v>-2.0113693399999999</v>
      </c>
      <c r="R9" s="68"/>
      <c r="S9" s="95"/>
      <c r="T9" s="68"/>
      <c r="U9" s="94"/>
      <c r="V9" s="95"/>
      <c r="W9" s="68"/>
      <c r="X9" s="68"/>
      <c r="Y9" s="68"/>
      <c r="Z9" s="96"/>
    </row>
    <row r="10" spans="1:26" x14ac:dyDescent="0.25">
      <c r="A10" t="s">
        <v>12</v>
      </c>
      <c r="B10">
        <v>35</v>
      </c>
      <c r="D10" s="54">
        <f t="shared" si="0"/>
        <v>35</v>
      </c>
      <c r="E10" s="55">
        <v>0.63820823900000001</v>
      </c>
      <c r="F10" s="59">
        <f t="shared" si="2"/>
        <v>34.803747133748743</v>
      </c>
      <c r="G10" s="55">
        <f t="shared" si="1"/>
        <v>0.63820823900000001</v>
      </c>
      <c r="H10" s="54"/>
      <c r="J10" s="55"/>
      <c r="M10" s="97"/>
      <c r="N10" s="68"/>
      <c r="O10" s="68"/>
      <c r="P10" s="70">
        <f t="shared" si="3"/>
        <v>29.806729909239966</v>
      </c>
      <c r="Q10" s="143">
        <f t="shared" si="4"/>
        <v>-1.433106285</v>
      </c>
      <c r="R10" s="68"/>
      <c r="S10" s="95"/>
      <c r="T10" s="68"/>
      <c r="U10" s="94"/>
      <c r="V10" s="95"/>
      <c r="W10" s="68"/>
      <c r="X10" s="68"/>
      <c r="Y10" s="68"/>
      <c r="Z10" s="96"/>
    </row>
    <row r="11" spans="1:26" x14ac:dyDescent="0.25">
      <c r="A11" t="s">
        <v>13</v>
      </c>
      <c r="B11">
        <v>40</v>
      </c>
      <c r="D11" s="54">
        <f t="shared" si="0"/>
        <v>40</v>
      </c>
      <c r="E11" s="55">
        <v>0.522642316</v>
      </c>
      <c r="F11" s="59">
        <f t="shared" si="2"/>
        <v>39.802411407076285</v>
      </c>
      <c r="G11" s="55">
        <f t="shared" si="1"/>
        <v>0.522642316</v>
      </c>
      <c r="H11" s="54"/>
      <c r="J11" s="55"/>
      <c r="M11" s="97"/>
      <c r="N11" s="68"/>
      <c r="O11" s="68"/>
      <c r="P11" s="70">
        <f t="shared" si="3"/>
        <v>34.803747133748743</v>
      </c>
      <c r="Q11" s="143">
        <f t="shared" si="4"/>
        <v>-1.605787662</v>
      </c>
      <c r="R11" s="68"/>
      <c r="S11" s="95"/>
      <c r="T11" s="68"/>
      <c r="U11" s="94"/>
      <c r="V11" s="95"/>
      <c r="W11" s="68"/>
      <c r="X11" s="68"/>
      <c r="Y11" s="68"/>
      <c r="Z11" s="96"/>
    </row>
    <row r="12" spans="1:26" x14ac:dyDescent="0.25">
      <c r="A12" t="s">
        <v>14</v>
      </c>
      <c r="B12">
        <v>45</v>
      </c>
      <c r="D12" s="54">
        <f t="shared" si="0"/>
        <v>45</v>
      </c>
      <c r="E12" s="55">
        <v>0.58046457100000004</v>
      </c>
      <c r="F12" s="59">
        <f t="shared" si="2"/>
        <v>44.802077054579797</v>
      </c>
      <c r="G12" s="55">
        <f t="shared" si="1"/>
        <v>0.58046457100000004</v>
      </c>
      <c r="H12" s="54"/>
      <c r="J12" s="55"/>
      <c r="M12" s="97"/>
      <c r="N12" s="68"/>
      <c r="O12" s="68"/>
      <c r="P12" s="70">
        <f t="shared" si="3"/>
        <v>39.802411407076285</v>
      </c>
      <c r="Q12" s="143">
        <f t="shared" si="4"/>
        <v>-1.7213535849999999</v>
      </c>
      <c r="R12" s="68"/>
      <c r="S12" s="95"/>
      <c r="T12" s="68"/>
      <c r="U12" s="94"/>
      <c r="V12" s="95"/>
      <c r="W12" s="68"/>
      <c r="X12" s="68"/>
      <c r="Y12" s="68"/>
      <c r="Z12" s="96"/>
    </row>
    <row r="13" spans="1:26" x14ac:dyDescent="0.25">
      <c r="A13" t="s">
        <v>15</v>
      </c>
      <c r="B13">
        <v>50</v>
      </c>
      <c r="D13" s="54">
        <f t="shared" si="0"/>
        <v>50</v>
      </c>
      <c r="E13" s="55">
        <v>0.695865505</v>
      </c>
      <c r="F13" s="59">
        <f t="shared" si="2"/>
        <v>49.800745139623245</v>
      </c>
      <c r="G13" s="55">
        <f t="shared" si="1"/>
        <v>0.695865505</v>
      </c>
      <c r="H13" s="54"/>
      <c r="J13" s="55"/>
      <c r="M13" s="97"/>
      <c r="N13" s="68"/>
      <c r="O13" s="68"/>
      <c r="P13" s="70">
        <f t="shared" si="3"/>
        <v>44.802077054579797</v>
      </c>
      <c r="Q13" s="143">
        <f t="shared" si="4"/>
        <v>-1.6635313299999999</v>
      </c>
      <c r="R13" s="68"/>
      <c r="S13" s="95"/>
      <c r="T13" s="68"/>
      <c r="U13" s="94"/>
      <c r="V13" s="95"/>
      <c r="W13" s="68"/>
      <c r="X13" s="68"/>
      <c r="Y13" s="68"/>
      <c r="Z13" s="96"/>
    </row>
    <row r="14" spans="1:26" x14ac:dyDescent="0.25">
      <c r="A14" t="s">
        <v>16</v>
      </c>
      <c r="B14">
        <v>55</v>
      </c>
      <c r="D14" s="54">
        <f t="shared" si="0"/>
        <v>55</v>
      </c>
      <c r="E14" s="55">
        <v>1.039558454</v>
      </c>
      <c r="F14" s="59">
        <f t="shared" si="2"/>
        <v>54.788918668762712</v>
      </c>
      <c r="G14" s="55">
        <f t="shared" si="1"/>
        <v>1.039558454</v>
      </c>
      <c r="M14" s="97"/>
      <c r="N14" s="68"/>
      <c r="O14" s="68"/>
      <c r="P14" s="70">
        <f t="shared" si="3"/>
        <v>49.800745139623245</v>
      </c>
      <c r="Q14" s="143">
        <f t="shared" si="4"/>
        <v>-1.5481303959999999</v>
      </c>
      <c r="R14" s="68"/>
      <c r="S14" s="95"/>
      <c r="T14" s="68"/>
      <c r="U14" s="94"/>
      <c r="V14" s="95"/>
      <c r="W14" s="68"/>
      <c r="X14" s="68"/>
      <c r="Y14" s="68"/>
      <c r="Z14" s="96"/>
    </row>
    <row r="15" spans="1:26" x14ac:dyDescent="0.25">
      <c r="A15" t="s">
        <v>17</v>
      </c>
      <c r="B15">
        <v>60</v>
      </c>
      <c r="D15" s="54">
        <f t="shared" si="0"/>
        <v>60</v>
      </c>
      <c r="E15" s="55">
        <v>1.1530793539999999</v>
      </c>
      <c r="F15" s="59">
        <f t="shared" si="2"/>
        <v>59.787629803171583</v>
      </c>
      <c r="G15" s="55">
        <f t="shared" si="1"/>
        <v>1.1530793539999999</v>
      </c>
      <c r="H15" s="62" t="s">
        <v>175</v>
      </c>
      <c r="I15">
        <v>57.8</v>
      </c>
      <c r="J15" s="55">
        <f t="shared" ref="J15:J39" si="5">G14</f>
        <v>1.039558454</v>
      </c>
      <c r="M15" s="97">
        <f t="shared" ref="M15:M39" si="6">I15</f>
        <v>57.8</v>
      </c>
      <c r="N15" s="143">
        <f>J15-$S$1</f>
        <v>-1.2044374469999999</v>
      </c>
      <c r="O15" s="68"/>
      <c r="P15" s="70">
        <f t="shared" si="3"/>
        <v>54.788918668762712</v>
      </c>
      <c r="Q15" s="143">
        <f t="shared" si="4"/>
        <v>-1.2044374469999999</v>
      </c>
      <c r="R15" s="68"/>
      <c r="S15" s="95"/>
      <c r="T15" s="68"/>
      <c r="U15" s="94">
        <v>-2</v>
      </c>
      <c r="V15" s="95">
        <f>N15</f>
        <v>-1.2044374469999999</v>
      </c>
      <c r="W15" s="68"/>
      <c r="X15" s="68">
        <v>-2</v>
      </c>
      <c r="Y15" s="70">
        <f>V15</f>
        <v>-1.2044374469999999</v>
      </c>
      <c r="Z15" s="96"/>
    </row>
    <row r="16" spans="1:26" x14ac:dyDescent="0.25">
      <c r="A16" t="s">
        <v>18</v>
      </c>
      <c r="B16">
        <v>65</v>
      </c>
      <c r="D16" s="54">
        <f t="shared" si="0"/>
        <v>65</v>
      </c>
      <c r="E16" s="55">
        <v>1.710100717</v>
      </c>
      <c r="F16" s="59">
        <f t="shared" si="2"/>
        <v>64.756505652009182</v>
      </c>
      <c r="G16" s="55">
        <f t="shared" si="1"/>
        <v>1.710100717</v>
      </c>
      <c r="H16" s="54" t="s">
        <v>103</v>
      </c>
      <c r="I16" s="12">
        <f t="shared" ref="I16:I39" si="7">F15</f>
        <v>59.787629803171583</v>
      </c>
      <c r="J16" s="55">
        <f t="shared" si="5"/>
        <v>1.1530793539999999</v>
      </c>
      <c r="M16" s="97">
        <f t="shared" si="6"/>
        <v>59.787629803171583</v>
      </c>
      <c r="N16" s="143">
        <f t="shared" ref="N16:N57" si="8">J16-$S$1</f>
        <v>-1.090916547</v>
      </c>
      <c r="O16" s="68"/>
      <c r="P16" s="70">
        <f t="shared" si="3"/>
        <v>59.787629803171583</v>
      </c>
      <c r="Q16" s="143">
        <f t="shared" si="4"/>
        <v>-1.090916547</v>
      </c>
      <c r="R16" s="68"/>
      <c r="S16" s="95"/>
      <c r="T16" s="68"/>
      <c r="U16" s="94">
        <v>0</v>
      </c>
      <c r="V16" s="95">
        <f>N16</f>
        <v>-1.090916547</v>
      </c>
      <c r="W16" s="68"/>
      <c r="X16" s="70">
        <f>M16-MIN($M$16:$M$57)</f>
        <v>0</v>
      </c>
      <c r="Y16" s="70">
        <f t="shared" ref="Y16:Y57" si="9">V16</f>
        <v>-1.090916547</v>
      </c>
      <c r="Z16" s="96"/>
    </row>
    <row r="17" spans="1:26" x14ac:dyDescent="0.25">
      <c r="A17" t="s">
        <v>19</v>
      </c>
      <c r="B17">
        <v>70</v>
      </c>
      <c r="D17" s="54">
        <f t="shared" si="0"/>
        <v>70</v>
      </c>
      <c r="E17" s="55">
        <v>1.209609478</v>
      </c>
      <c r="F17" s="59">
        <f t="shared" si="2"/>
        <v>69.731393441666782</v>
      </c>
      <c r="G17" s="55">
        <f t="shared" si="1"/>
        <v>1.209609478</v>
      </c>
      <c r="H17" s="54" t="s">
        <v>104</v>
      </c>
      <c r="I17" s="12">
        <f t="shared" si="7"/>
        <v>64.756505652009182</v>
      </c>
      <c r="J17" s="55">
        <f t="shared" si="5"/>
        <v>1.710100717</v>
      </c>
      <c r="M17" s="97">
        <f t="shared" si="6"/>
        <v>64.756505652009182</v>
      </c>
      <c r="N17" s="143">
        <f t="shared" si="8"/>
        <v>-0.53389518399999991</v>
      </c>
      <c r="O17" s="68"/>
      <c r="P17" s="70">
        <f t="shared" si="3"/>
        <v>64.756505652009182</v>
      </c>
      <c r="Q17" s="143">
        <f t="shared" si="4"/>
        <v>-0.53389518399999991</v>
      </c>
      <c r="R17" s="68"/>
      <c r="S17" s="95"/>
      <c r="T17" s="68"/>
      <c r="U17" s="94">
        <v>5</v>
      </c>
      <c r="V17" s="95">
        <f t="shared" ref="V17:V57" si="10">N17</f>
        <v>-0.53389518399999991</v>
      </c>
      <c r="W17" s="68"/>
      <c r="X17" s="70">
        <f t="shared" ref="X17:X57" si="11">M17-MIN($M$16:$M$57)</f>
        <v>4.9688758488375981</v>
      </c>
      <c r="Y17" s="70">
        <f t="shared" si="9"/>
        <v>-0.53389518399999991</v>
      </c>
      <c r="Z17" s="96"/>
    </row>
    <row r="18" spans="1:26" x14ac:dyDescent="0.25">
      <c r="A18" t="s">
        <v>20</v>
      </c>
      <c r="B18">
        <v>75</v>
      </c>
      <c r="D18" s="54">
        <f t="shared" si="0"/>
        <v>75</v>
      </c>
      <c r="E18" s="55">
        <v>2.2439959009999999</v>
      </c>
      <c r="F18" s="59">
        <f t="shared" si="2"/>
        <v>74.623227936814104</v>
      </c>
      <c r="G18" s="55">
        <f t="shared" si="1"/>
        <v>2.2439959009999999</v>
      </c>
      <c r="H18" s="54" t="s">
        <v>105</v>
      </c>
      <c r="I18" s="12">
        <f t="shared" si="7"/>
        <v>69.731393441666782</v>
      </c>
      <c r="J18" s="55">
        <f t="shared" si="5"/>
        <v>1.209609478</v>
      </c>
      <c r="M18" s="97">
        <f t="shared" si="6"/>
        <v>69.731393441666782</v>
      </c>
      <c r="N18" s="143">
        <f t="shared" si="8"/>
        <v>-1.0343864229999999</v>
      </c>
      <c r="O18" s="68"/>
      <c r="P18" s="70">
        <f t="shared" si="3"/>
        <v>69.731393441666782</v>
      </c>
      <c r="Q18" s="143">
        <f t="shared" si="4"/>
        <v>-1.0343864229999999</v>
      </c>
      <c r="R18" s="68"/>
      <c r="S18" s="95"/>
      <c r="T18" s="68"/>
      <c r="U18" s="94">
        <v>10</v>
      </c>
      <c r="V18" s="95">
        <f t="shared" si="10"/>
        <v>-1.0343864229999999</v>
      </c>
      <c r="W18" s="68"/>
      <c r="X18" s="70">
        <f t="shared" si="11"/>
        <v>9.9437636384951986</v>
      </c>
      <c r="Y18" s="70">
        <f t="shared" si="9"/>
        <v>-1.0343864229999999</v>
      </c>
      <c r="Z18" s="96"/>
    </row>
    <row r="19" spans="1:26" x14ac:dyDescent="0.25">
      <c r="A19" t="s">
        <v>21</v>
      </c>
      <c r="B19">
        <v>80</v>
      </c>
      <c r="D19" s="54">
        <f t="shared" si="0"/>
        <v>80</v>
      </c>
      <c r="E19" s="55">
        <v>-0.58046457100000004</v>
      </c>
      <c r="F19" s="59">
        <f t="shared" si="2"/>
        <v>78.749051859633582</v>
      </c>
      <c r="G19" s="55">
        <f t="shared" si="1"/>
        <v>-0.58046457100000004</v>
      </c>
      <c r="H19" s="54" t="s">
        <v>106</v>
      </c>
      <c r="I19" s="12">
        <f t="shared" si="7"/>
        <v>74.623227936814104</v>
      </c>
      <c r="J19" s="55">
        <f t="shared" si="5"/>
        <v>2.2439959009999999</v>
      </c>
      <c r="M19" s="97">
        <f t="shared" si="6"/>
        <v>74.623227936814104</v>
      </c>
      <c r="N19" s="143">
        <f t="shared" si="8"/>
        <v>0</v>
      </c>
      <c r="O19" s="68"/>
      <c r="P19" s="70">
        <f t="shared" si="3"/>
        <v>74.623227936814104</v>
      </c>
      <c r="Q19" s="143">
        <f t="shared" si="4"/>
        <v>0</v>
      </c>
      <c r="R19" s="68"/>
      <c r="S19" s="95"/>
      <c r="T19" s="68"/>
      <c r="U19" s="94">
        <v>15</v>
      </c>
      <c r="V19" s="95">
        <f t="shared" si="10"/>
        <v>0</v>
      </c>
      <c r="W19" s="68"/>
      <c r="X19" s="70">
        <f t="shared" si="11"/>
        <v>14.83559813364252</v>
      </c>
      <c r="Y19" s="70">
        <f t="shared" si="9"/>
        <v>0</v>
      </c>
      <c r="Z19" s="96"/>
    </row>
    <row r="20" spans="1:26" x14ac:dyDescent="0.25">
      <c r="A20" t="s">
        <v>22</v>
      </c>
      <c r="B20">
        <v>85</v>
      </c>
      <c r="D20" s="54">
        <f t="shared" si="0"/>
        <v>85</v>
      </c>
      <c r="E20" s="55">
        <v>0.464749305</v>
      </c>
      <c r="F20" s="59">
        <f t="shared" si="2"/>
        <v>83.638584347859535</v>
      </c>
      <c r="G20" s="55">
        <f t="shared" si="1"/>
        <v>0.464749305</v>
      </c>
      <c r="H20" s="54" t="s">
        <v>107</v>
      </c>
      <c r="I20" s="12">
        <f t="shared" si="7"/>
        <v>78.749051859633582</v>
      </c>
      <c r="J20" s="55">
        <f t="shared" si="5"/>
        <v>-0.58046457100000004</v>
      </c>
      <c r="M20" s="97">
        <f t="shared" si="6"/>
        <v>78.749051859633582</v>
      </c>
      <c r="N20" s="143">
        <f t="shared" si="8"/>
        <v>-2.8244604720000002</v>
      </c>
      <c r="O20" s="68"/>
      <c r="P20" s="70">
        <f t="shared" si="3"/>
        <v>78.749051859633582</v>
      </c>
      <c r="Q20" s="143">
        <f t="shared" si="4"/>
        <v>-2.8244604720000002</v>
      </c>
      <c r="R20" s="68"/>
      <c r="S20" s="95"/>
      <c r="T20" s="68"/>
      <c r="U20" s="94">
        <v>20</v>
      </c>
      <c r="V20" s="95">
        <f t="shared" si="10"/>
        <v>-2.8244604720000002</v>
      </c>
      <c r="W20" s="68"/>
      <c r="X20" s="70">
        <f t="shared" si="11"/>
        <v>18.961422056461998</v>
      </c>
      <c r="Y20" s="70">
        <f t="shared" si="9"/>
        <v>-2.8244604720000002</v>
      </c>
      <c r="Z20" s="96"/>
    </row>
    <row r="21" spans="1:26" x14ac:dyDescent="0.25">
      <c r="A21" t="s">
        <v>23</v>
      </c>
      <c r="B21">
        <v>90</v>
      </c>
      <c r="D21" s="54">
        <f t="shared" si="0"/>
        <v>90</v>
      </c>
      <c r="E21" s="55">
        <v>1.378186779</v>
      </c>
      <c r="F21" s="59">
        <f t="shared" si="2"/>
        <v>88.554439510605121</v>
      </c>
      <c r="G21" s="55">
        <f t="shared" si="1"/>
        <v>1.378186779</v>
      </c>
      <c r="H21" s="54" t="s">
        <v>108</v>
      </c>
      <c r="I21" s="12">
        <f t="shared" si="7"/>
        <v>83.638584347859535</v>
      </c>
      <c r="J21" s="55">
        <f t="shared" si="5"/>
        <v>0.464749305</v>
      </c>
      <c r="M21" s="97">
        <f t="shared" si="6"/>
        <v>83.638584347859535</v>
      </c>
      <c r="N21" s="143">
        <f t="shared" si="8"/>
        <v>-1.7792465959999999</v>
      </c>
      <c r="O21" s="68"/>
      <c r="P21" s="70">
        <f t="shared" si="3"/>
        <v>83.638584347859535</v>
      </c>
      <c r="Q21" s="143">
        <f t="shared" si="4"/>
        <v>-1.7792465959999999</v>
      </c>
      <c r="R21" s="68"/>
      <c r="S21" s="95"/>
      <c r="T21" s="68"/>
      <c r="U21" s="94">
        <v>25</v>
      </c>
      <c r="V21" s="95">
        <f t="shared" si="10"/>
        <v>-1.7792465959999999</v>
      </c>
      <c r="W21" s="68"/>
      <c r="X21" s="70">
        <f t="shared" si="11"/>
        <v>23.850954544687951</v>
      </c>
      <c r="Y21" s="70">
        <f t="shared" si="9"/>
        <v>-1.7792465959999999</v>
      </c>
      <c r="Z21" s="96"/>
    </row>
    <row r="22" spans="1:26" x14ac:dyDescent="0.25">
      <c r="A22" t="s">
        <v>24</v>
      </c>
      <c r="B22">
        <v>95</v>
      </c>
      <c r="D22" s="54">
        <f t="shared" si="0"/>
        <v>95</v>
      </c>
      <c r="E22" s="55">
        <v>-0.34878236899999998</v>
      </c>
      <c r="F22" s="59">
        <f t="shared" si="2"/>
        <v>93.246728670690644</v>
      </c>
      <c r="G22" s="55">
        <f t="shared" si="1"/>
        <v>-0.34878236899999998</v>
      </c>
      <c r="H22" s="54" t="s">
        <v>109</v>
      </c>
      <c r="I22" s="12">
        <f t="shared" si="7"/>
        <v>88.554439510605121</v>
      </c>
      <c r="J22" s="55">
        <f t="shared" si="5"/>
        <v>1.378186779</v>
      </c>
      <c r="M22" s="97">
        <f t="shared" si="6"/>
        <v>88.554439510605121</v>
      </c>
      <c r="N22" s="143">
        <f t="shared" si="8"/>
        <v>-0.86580912199999993</v>
      </c>
      <c r="O22" s="68"/>
      <c r="P22" s="70">
        <f t="shared" si="3"/>
        <v>88.554439510605121</v>
      </c>
      <c r="Q22" s="143">
        <f t="shared" si="4"/>
        <v>-0.86580912199999993</v>
      </c>
      <c r="R22" s="68"/>
      <c r="S22" s="95"/>
      <c r="T22" s="68"/>
      <c r="U22" s="94">
        <v>30</v>
      </c>
      <c r="V22" s="95">
        <f t="shared" si="10"/>
        <v>-0.86580912199999993</v>
      </c>
      <c r="W22" s="68"/>
      <c r="X22" s="70">
        <f t="shared" si="11"/>
        <v>28.766809707433538</v>
      </c>
      <c r="Y22" s="70">
        <f t="shared" si="9"/>
        <v>-0.86580912199999993</v>
      </c>
      <c r="Z22" s="96"/>
    </row>
    <row r="23" spans="1:26" x14ac:dyDescent="0.25">
      <c r="A23" t="s">
        <v>25</v>
      </c>
      <c r="B23">
        <v>100</v>
      </c>
      <c r="D23" s="54">
        <f t="shared" si="0"/>
        <v>100</v>
      </c>
      <c r="E23" s="55">
        <v>-0.92547461499999994</v>
      </c>
      <c r="F23" s="59">
        <f t="shared" si="2"/>
        <v>98.213359928737034</v>
      </c>
      <c r="G23" s="55">
        <f t="shared" si="1"/>
        <v>-0.92547461499999994</v>
      </c>
      <c r="H23" s="54" t="s">
        <v>110</v>
      </c>
      <c r="I23" s="12">
        <f t="shared" si="7"/>
        <v>93.246728670690644</v>
      </c>
      <c r="J23" s="55">
        <f t="shared" si="5"/>
        <v>-0.34878236899999998</v>
      </c>
      <c r="M23" s="97">
        <f t="shared" si="6"/>
        <v>93.246728670690644</v>
      </c>
      <c r="N23" s="143">
        <f t="shared" si="8"/>
        <v>-2.5927782699999997</v>
      </c>
      <c r="O23" s="68"/>
      <c r="P23" s="70">
        <f t="shared" si="3"/>
        <v>93.246728670690644</v>
      </c>
      <c r="Q23" s="143">
        <f t="shared" si="4"/>
        <v>-2.5927782699999997</v>
      </c>
      <c r="R23" s="68"/>
      <c r="S23" s="95"/>
      <c r="T23" s="68"/>
      <c r="U23" s="94">
        <v>35</v>
      </c>
      <c r="V23" s="95">
        <f t="shared" si="10"/>
        <v>-2.5927782699999997</v>
      </c>
      <c r="W23" s="68"/>
      <c r="X23" s="70">
        <f t="shared" si="11"/>
        <v>33.45909886751906</v>
      </c>
      <c r="Y23" s="70">
        <f t="shared" si="9"/>
        <v>-2.5927782699999997</v>
      </c>
      <c r="Z23" s="96"/>
    </row>
    <row r="24" spans="1:26" x14ac:dyDescent="0.25">
      <c r="A24" t="s">
        <v>26</v>
      </c>
      <c r="B24">
        <v>105</v>
      </c>
      <c r="D24" s="54">
        <f t="shared" si="0"/>
        <v>105</v>
      </c>
      <c r="E24" s="55">
        <v>0.464749305</v>
      </c>
      <c r="F24" s="59">
        <f t="shared" si="2"/>
        <v>103.01620048951561</v>
      </c>
      <c r="G24" s="55">
        <f t="shared" si="1"/>
        <v>0.464749305</v>
      </c>
      <c r="H24" s="54" t="s">
        <v>111</v>
      </c>
      <c r="I24" s="12">
        <f t="shared" si="7"/>
        <v>98.213359928737034</v>
      </c>
      <c r="J24" s="55">
        <f t="shared" si="5"/>
        <v>-0.92547461499999994</v>
      </c>
      <c r="M24" s="97">
        <f t="shared" si="6"/>
        <v>98.213359928737034</v>
      </c>
      <c r="N24" s="143">
        <f t="shared" si="8"/>
        <v>-3.1694705159999996</v>
      </c>
      <c r="O24" s="68"/>
      <c r="P24" s="70">
        <f t="shared" si="3"/>
        <v>98.213359928737034</v>
      </c>
      <c r="Q24" s="143">
        <f t="shared" si="4"/>
        <v>-3.1694705159999996</v>
      </c>
      <c r="R24" s="68"/>
      <c r="S24" s="95"/>
      <c r="T24" s="68"/>
      <c r="U24" s="94">
        <v>40</v>
      </c>
      <c r="V24" s="95">
        <f t="shared" si="10"/>
        <v>-3.1694705159999996</v>
      </c>
      <c r="W24" s="68"/>
      <c r="X24" s="70">
        <f t="shared" si="11"/>
        <v>38.425730125565451</v>
      </c>
      <c r="Y24" s="70">
        <f t="shared" si="9"/>
        <v>-3.1694705159999996</v>
      </c>
      <c r="Z24" s="96"/>
    </row>
    <row r="25" spans="1:26" x14ac:dyDescent="0.25">
      <c r="A25" t="s">
        <v>27</v>
      </c>
      <c r="B25">
        <v>110</v>
      </c>
      <c r="D25" s="54">
        <f t="shared" si="0"/>
        <v>110</v>
      </c>
      <c r="E25" s="55">
        <v>-0.17449748400000001</v>
      </c>
      <c r="F25" s="59">
        <f t="shared" si="2"/>
        <v>107.97516848122046</v>
      </c>
      <c r="G25" s="55">
        <f t="shared" si="1"/>
        <v>-0.17449748400000001</v>
      </c>
      <c r="H25" s="54" t="s">
        <v>112</v>
      </c>
      <c r="I25" s="12">
        <f t="shared" si="7"/>
        <v>103.01620048951561</v>
      </c>
      <c r="J25" s="55">
        <f t="shared" si="5"/>
        <v>0.464749305</v>
      </c>
      <c r="M25" s="97">
        <f t="shared" si="6"/>
        <v>103.01620048951561</v>
      </c>
      <c r="N25" s="143">
        <f t="shared" si="8"/>
        <v>-1.7792465959999999</v>
      </c>
      <c r="O25" s="68"/>
      <c r="P25" s="70">
        <f t="shared" si="3"/>
        <v>103.01620048951561</v>
      </c>
      <c r="Q25" s="143">
        <f t="shared" si="4"/>
        <v>-1.7792465959999999</v>
      </c>
      <c r="R25" s="68"/>
      <c r="S25" s="95"/>
      <c r="T25" s="68"/>
      <c r="U25" s="94">
        <v>45</v>
      </c>
      <c r="V25" s="95">
        <f t="shared" si="10"/>
        <v>-1.7792465959999999</v>
      </c>
      <c r="W25" s="68"/>
      <c r="X25" s="70">
        <f t="shared" si="11"/>
        <v>43.228570686344028</v>
      </c>
      <c r="Y25" s="70">
        <f t="shared" si="9"/>
        <v>-1.7792465959999999</v>
      </c>
      <c r="Z25" s="96"/>
    </row>
    <row r="26" spans="1:26" x14ac:dyDescent="0.25">
      <c r="A26" t="s">
        <v>28</v>
      </c>
      <c r="B26">
        <v>115</v>
      </c>
      <c r="D26" s="54">
        <f t="shared" si="0"/>
        <v>115</v>
      </c>
      <c r="E26" s="55">
        <v>0.81088961599999998</v>
      </c>
      <c r="F26" s="59">
        <f t="shared" si="2"/>
        <v>112.8771081241734</v>
      </c>
      <c r="G26" s="55">
        <f t="shared" si="1"/>
        <v>0.81088961599999998</v>
      </c>
      <c r="H26" s="54" t="s">
        <v>113</v>
      </c>
      <c r="I26" s="12">
        <f t="shared" si="7"/>
        <v>107.97516848122046</v>
      </c>
      <c r="J26" s="55">
        <f t="shared" si="5"/>
        <v>-0.17449748400000001</v>
      </c>
      <c r="M26" s="97">
        <f t="shared" si="6"/>
        <v>107.97516848122046</v>
      </c>
      <c r="N26" s="143">
        <f t="shared" si="8"/>
        <v>-2.4184933850000001</v>
      </c>
      <c r="O26" s="68"/>
      <c r="P26" s="70">
        <f t="shared" si="3"/>
        <v>107.97516848122046</v>
      </c>
      <c r="Q26" s="143">
        <f t="shared" si="4"/>
        <v>-2.4184933850000001</v>
      </c>
      <c r="R26" s="68"/>
      <c r="S26" s="95"/>
      <c r="T26" s="68"/>
      <c r="U26" s="94">
        <v>50</v>
      </c>
      <c r="V26" s="95">
        <f t="shared" si="10"/>
        <v>-2.4184933850000001</v>
      </c>
      <c r="W26" s="68"/>
      <c r="X26" s="70">
        <f t="shared" si="11"/>
        <v>48.187538678048881</v>
      </c>
      <c r="Y26" s="70">
        <f t="shared" si="9"/>
        <v>-2.4184933850000001</v>
      </c>
      <c r="Z26" s="96"/>
    </row>
    <row r="27" spans="1:26" x14ac:dyDescent="0.25">
      <c r="A27" t="s">
        <v>29</v>
      </c>
      <c r="B27">
        <v>120</v>
      </c>
      <c r="D27" s="54">
        <f t="shared" si="0"/>
        <v>120</v>
      </c>
      <c r="E27" s="55">
        <v>0.98258304799999996</v>
      </c>
      <c r="F27" s="59">
        <f t="shared" si="2"/>
        <v>117.87415939121161</v>
      </c>
      <c r="G27" s="55">
        <f t="shared" si="1"/>
        <v>0.98258304799999996</v>
      </c>
      <c r="H27" s="54" t="s">
        <v>114</v>
      </c>
      <c r="I27" s="12">
        <f t="shared" si="7"/>
        <v>112.8771081241734</v>
      </c>
      <c r="J27" s="55">
        <f t="shared" si="5"/>
        <v>0.81088961599999998</v>
      </c>
      <c r="M27" s="97">
        <f t="shared" si="6"/>
        <v>112.8771081241734</v>
      </c>
      <c r="N27" s="143">
        <f t="shared" si="8"/>
        <v>-1.433106285</v>
      </c>
      <c r="O27" s="68"/>
      <c r="P27" s="70">
        <f t="shared" si="3"/>
        <v>112.8771081241734</v>
      </c>
      <c r="Q27" s="143">
        <f t="shared" si="4"/>
        <v>-1.433106285</v>
      </c>
      <c r="R27" s="68"/>
      <c r="S27" s="95"/>
      <c r="T27" s="68"/>
      <c r="U27" s="94">
        <v>55</v>
      </c>
      <c r="V27" s="95">
        <f t="shared" si="10"/>
        <v>-1.433106285</v>
      </c>
      <c r="W27" s="68"/>
      <c r="X27" s="70">
        <f t="shared" si="11"/>
        <v>53.08947832100182</v>
      </c>
      <c r="Y27" s="70">
        <f t="shared" si="9"/>
        <v>-1.433106285</v>
      </c>
      <c r="Z27" s="96"/>
    </row>
    <row r="28" spans="1:26" x14ac:dyDescent="0.25">
      <c r="A28" t="s">
        <v>30</v>
      </c>
      <c r="B28">
        <v>125</v>
      </c>
      <c r="D28" s="54">
        <f t="shared" si="0"/>
        <v>125</v>
      </c>
      <c r="E28" s="55">
        <v>0.81088961599999998</v>
      </c>
      <c r="F28" s="59">
        <f t="shared" si="2"/>
        <v>122.87121065824981</v>
      </c>
      <c r="G28" s="55">
        <f t="shared" si="1"/>
        <v>0.81088961599999998</v>
      </c>
      <c r="H28" s="54" t="s">
        <v>115</v>
      </c>
      <c r="I28" s="12">
        <f t="shared" si="7"/>
        <v>117.87415939121161</v>
      </c>
      <c r="J28" s="55">
        <f t="shared" si="5"/>
        <v>0.98258304799999996</v>
      </c>
      <c r="M28" s="97">
        <f t="shared" si="6"/>
        <v>117.87415939121161</v>
      </c>
      <c r="N28" s="143">
        <f t="shared" si="8"/>
        <v>-1.2614128529999999</v>
      </c>
      <c r="O28" s="68"/>
      <c r="P28" s="70">
        <f t="shared" si="3"/>
        <v>117.87415939121161</v>
      </c>
      <c r="Q28" s="143">
        <f t="shared" si="4"/>
        <v>-1.2614128529999999</v>
      </c>
      <c r="R28" s="68"/>
      <c r="S28" s="95"/>
      <c r="T28" s="68"/>
      <c r="U28" s="94">
        <v>60</v>
      </c>
      <c r="V28" s="95">
        <f t="shared" si="10"/>
        <v>-1.2614128529999999</v>
      </c>
      <c r="W28" s="68"/>
      <c r="X28" s="70">
        <f t="shared" si="11"/>
        <v>58.086529588040023</v>
      </c>
      <c r="Y28" s="70">
        <f t="shared" si="9"/>
        <v>-1.2614128529999999</v>
      </c>
      <c r="Z28" s="96"/>
    </row>
    <row r="29" spans="1:26" x14ac:dyDescent="0.25">
      <c r="A29" t="s">
        <v>31</v>
      </c>
      <c r="B29">
        <v>130</v>
      </c>
      <c r="D29" s="54">
        <f t="shared" si="0"/>
        <v>130</v>
      </c>
      <c r="E29" s="55">
        <v>0.81088961599999998</v>
      </c>
      <c r="F29" s="59">
        <f t="shared" si="2"/>
        <v>127.87121065824981</v>
      </c>
      <c r="G29" s="55">
        <f t="shared" si="1"/>
        <v>0.81088961599999998</v>
      </c>
      <c r="H29" s="54" t="s">
        <v>116</v>
      </c>
      <c r="I29" s="12">
        <f t="shared" si="7"/>
        <v>122.87121065824981</v>
      </c>
      <c r="J29" s="55">
        <f t="shared" si="5"/>
        <v>0.81088961599999998</v>
      </c>
      <c r="M29" s="97">
        <f t="shared" si="6"/>
        <v>122.87121065824981</v>
      </c>
      <c r="N29" s="143">
        <f t="shared" si="8"/>
        <v>-1.433106285</v>
      </c>
      <c r="O29" s="68"/>
      <c r="P29" s="70">
        <f t="shared" si="3"/>
        <v>122.87121065824981</v>
      </c>
      <c r="Q29" s="143">
        <f t="shared" si="4"/>
        <v>-1.433106285</v>
      </c>
      <c r="R29" s="68"/>
      <c r="S29" s="95"/>
      <c r="T29" s="68"/>
      <c r="U29" s="94">
        <v>65</v>
      </c>
      <c r="V29" s="95">
        <f t="shared" si="10"/>
        <v>-1.433106285</v>
      </c>
      <c r="W29" s="68"/>
      <c r="X29" s="70">
        <f t="shared" si="11"/>
        <v>63.083580855078225</v>
      </c>
      <c r="Y29" s="70">
        <f t="shared" si="9"/>
        <v>-1.433106285</v>
      </c>
      <c r="Z29" s="96"/>
    </row>
    <row r="30" spans="1:26" x14ac:dyDescent="0.25">
      <c r="A30" t="s">
        <v>32</v>
      </c>
      <c r="B30">
        <v>135</v>
      </c>
      <c r="D30" s="54">
        <f t="shared" si="0"/>
        <v>135</v>
      </c>
      <c r="E30" s="55">
        <v>0.81088961599999998</v>
      </c>
      <c r="F30" s="59">
        <f t="shared" si="2"/>
        <v>132.87121065824982</v>
      </c>
      <c r="G30" s="55">
        <f t="shared" si="1"/>
        <v>0.81088961599999998</v>
      </c>
      <c r="H30" s="54" t="s">
        <v>117</v>
      </c>
      <c r="I30" s="12">
        <f t="shared" si="7"/>
        <v>127.87121065824981</v>
      </c>
      <c r="J30" s="55">
        <f t="shared" si="5"/>
        <v>0.81088961599999998</v>
      </c>
      <c r="M30" s="97">
        <f t="shared" si="6"/>
        <v>127.87121065824981</v>
      </c>
      <c r="N30" s="143">
        <f t="shared" si="8"/>
        <v>-1.433106285</v>
      </c>
      <c r="O30" s="68"/>
      <c r="P30" s="70">
        <f t="shared" si="3"/>
        <v>127.87121065824981</v>
      </c>
      <c r="Q30" s="143">
        <f t="shared" si="4"/>
        <v>-1.433106285</v>
      </c>
      <c r="R30" s="68"/>
      <c r="S30" s="95"/>
      <c r="T30" s="68"/>
      <c r="U30" s="94">
        <v>70</v>
      </c>
      <c r="V30" s="95">
        <f t="shared" si="10"/>
        <v>-1.433106285</v>
      </c>
      <c r="W30" s="68"/>
      <c r="X30" s="70">
        <f t="shared" si="11"/>
        <v>68.083580855078225</v>
      </c>
      <c r="Y30" s="70">
        <f t="shared" si="9"/>
        <v>-1.433106285</v>
      </c>
      <c r="Z30" s="96"/>
    </row>
    <row r="31" spans="1:26" x14ac:dyDescent="0.25">
      <c r="A31" t="s">
        <v>33</v>
      </c>
      <c r="B31">
        <v>140</v>
      </c>
      <c r="D31" s="54">
        <f t="shared" si="0"/>
        <v>140</v>
      </c>
      <c r="E31" s="55">
        <v>1.039558454</v>
      </c>
      <c r="F31" s="59">
        <f t="shared" si="2"/>
        <v>137.8659789774542</v>
      </c>
      <c r="G31" s="55">
        <f t="shared" si="1"/>
        <v>1.039558454</v>
      </c>
      <c r="H31" s="54" t="s">
        <v>118</v>
      </c>
      <c r="I31" s="12">
        <f t="shared" si="7"/>
        <v>132.87121065824982</v>
      </c>
      <c r="J31" s="55">
        <f t="shared" si="5"/>
        <v>0.81088961599999998</v>
      </c>
      <c r="M31" s="97">
        <f t="shared" si="6"/>
        <v>132.87121065824982</v>
      </c>
      <c r="N31" s="143">
        <f t="shared" si="8"/>
        <v>-1.433106285</v>
      </c>
      <c r="O31" s="68"/>
      <c r="P31" s="70">
        <f t="shared" si="3"/>
        <v>132.87121065824982</v>
      </c>
      <c r="Q31" s="143">
        <f t="shared" si="4"/>
        <v>-1.433106285</v>
      </c>
      <c r="R31" s="68"/>
      <c r="S31" s="95"/>
      <c r="T31" s="68"/>
      <c r="U31" s="94">
        <v>75</v>
      </c>
      <c r="V31" s="95">
        <f t="shared" si="10"/>
        <v>-1.433106285</v>
      </c>
      <c r="W31" s="68"/>
      <c r="X31" s="70">
        <f t="shared" si="11"/>
        <v>73.083580855078239</v>
      </c>
      <c r="Y31" s="70">
        <f t="shared" si="9"/>
        <v>-1.433106285</v>
      </c>
      <c r="Z31" s="96"/>
    </row>
    <row r="32" spans="1:26" x14ac:dyDescent="0.25">
      <c r="A32" t="s">
        <v>34</v>
      </c>
      <c r="B32">
        <v>145</v>
      </c>
      <c r="D32" s="54">
        <f t="shared" si="0"/>
        <v>145</v>
      </c>
      <c r="E32" s="55">
        <v>1.039558454</v>
      </c>
      <c r="F32" s="59">
        <f t="shared" si="2"/>
        <v>142.8659789774542</v>
      </c>
      <c r="G32" s="55">
        <f t="shared" si="1"/>
        <v>1.039558454</v>
      </c>
      <c r="H32" s="54" t="s">
        <v>119</v>
      </c>
      <c r="I32" s="12">
        <f t="shared" si="7"/>
        <v>137.8659789774542</v>
      </c>
      <c r="J32" s="55">
        <f t="shared" si="5"/>
        <v>1.039558454</v>
      </c>
      <c r="M32" s="97">
        <f t="shared" si="6"/>
        <v>137.8659789774542</v>
      </c>
      <c r="N32" s="143">
        <f t="shared" si="8"/>
        <v>-1.2044374469999999</v>
      </c>
      <c r="O32" s="68"/>
      <c r="P32" s="70">
        <f t="shared" si="3"/>
        <v>137.8659789774542</v>
      </c>
      <c r="Q32" s="143">
        <f t="shared" si="4"/>
        <v>-1.2044374469999999</v>
      </c>
      <c r="R32" s="68"/>
      <c r="S32" s="95"/>
      <c r="T32" s="68"/>
      <c r="U32" s="94">
        <v>80</v>
      </c>
      <c r="V32" s="95">
        <f t="shared" si="10"/>
        <v>-1.2044374469999999</v>
      </c>
      <c r="W32" s="68"/>
      <c r="X32" s="70">
        <f t="shared" si="11"/>
        <v>78.078349174282621</v>
      </c>
      <c r="Y32" s="70">
        <f t="shared" si="9"/>
        <v>-1.2044374469999999</v>
      </c>
      <c r="Z32" s="96"/>
    </row>
    <row r="33" spans="1:26" x14ac:dyDescent="0.25">
      <c r="A33" t="s">
        <v>35</v>
      </c>
      <c r="B33">
        <v>150</v>
      </c>
      <c r="D33" s="54">
        <f t="shared" si="0"/>
        <v>150</v>
      </c>
      <c r="E33" s="55">
        <v>0.98258304799999996</v>
      </c>
      <c r="F33" s="59">
        <f t="shared" si="2"/>
        <v>147.86565434722684</v>
      </c>
      <c r="G33" s="55">
        <f t="shared" si="1"/>
        <v>0.98258304799999996</v>
      </c>
      <c r="H33" s="54" t="s">
        <v>120</v>
      </c>
      <c r="I33" s="12">
        <f t="shared" si="7"/>
        <v>142.8659789774542</v>
      </c>
      <c r="J33" s="55">
        <f t="shared" si="5"/>
        <v>1.039558454</v>
      </c>
      <c r="M33" s="97">
        <f t="shared" si="6"/>
        <v>142.8659789774542</v>
      </c>
      <c r="N33" s="143">
        <f t="shared" si="8"/>
        <v>-1.2044374469999999</v>
      </c>
      <c r="O33" s="68"/>
      <c r="P33" s="70">
        <f t="shared" si="3"/>
        <v>142.8659789774542</v>
      </c>
      <c r="Q33" s="143">
        <f t="shared" si="4"/>
        <v>-1.2044374469999999</v>
      </c>
      <c r="R33" s="68"/>
      <c r="S33" s="95"/>
      <c r="T33" s="68"/>
      <c r="U33" s="94">
        <v>85</v>
      </c>
      <c r="V33" s="95">
        <f t="shared" si="10"/>
        <v>-1.2044374469999999</v>
      </c>
      <c r="W33" s="68"/>
      <c r="X33" s="70">
        <f t="shared" si="11"/>
        <v>83.078349174282621</v>
      </c>
      <c r="Y33" s="70">
        <f t="shared" si="9"/>
        <v>-1.2044374469999999</v>
      </c>
      <c r="Z33" s="96"/>
    </row>
    <row r="34" spans="1:26" x14ac:dyDescent="0.25">
      <c r="A34" t="s">
        <v>36</v>
      </c>
      <c r="B34">
        <v>155</v>
      </c>
      <c r="D34" s="54">
        <f t="shared" si="0"/>
        <v>155</v>
      </c>
      <c r="E34" s="55">
        <v>0.86824088799999999</v>
      </c>
      <c r="F34" s="59">
        <f t="shared" si="2"/>
        <v>152.86434676329392</v>
      </c>
      <c r="G34" s="55">
        <f t="shared" si="1"/>
        <v>0.86824088799999999</v>
      </c>
      <c r="H34" s="54" t="s">
        <v>121</v>
      </c>
      <c r="I34" s="12">
        <f t="shared" si="7"/>
        <v>147.86565434722684</v>
      </c>
      <c r="J34" s="55">
        <f t="shared" si="5"/>
        <v>0.98258304799999996</v>
      </c>
      <c r="M34" s="97">
        <f t="shared" si="6"/>
        <v>147.86565434722684</v>
      </c>
      <c r="N34" s="143">
        <f t="shared" si="8"/>
        <v>-1.2614128529999999</v>
      </c>
      <c r="O34" s="68"/>
      <c r="P34" s="70">
        <f t="shared" si="3"/>
        <v>147.86565434722684</v>
      </c>
      <c r="Q34" s="143">
        <f t="shared" si="4"/>
        <v>-1.2614128529999999</v>
      </c>
      <c r="R34" s="68"/>
      <c r="S34" s="95"/>
      <c r="T34" s="68"/>
      <c r="U34" s="94">
        <v>90</v>
      </c>
      <c r="V34" s="95">
        <f t="shared" si="10"/>
        <v>-1.2614128529999999</v>
      </c>
      <c r="W34" s="68"/>
      <c r="X34" s="70">
        <f t="shared" si="11"/>
        <v>88.078024544055253</v>
      </c>
      <c r="Y34" s="70">
        <f t="shared" si="9"/>
        <v>-1.2614128529999999</v>
      </c>
      <c r="Z34" s="96"/>
    </row>
    <row r="35" spans="1:26" x14ac:dyDescent="0.25">
      <c r="A35" t="s">
        <v>37</v>
      </c>
      <c r="B35">
        <v>160</v>
      </c>
      <c r="D35" s="54">
        <f t="shared" si="0"/>
        <v>160</v>
      </c>
      <c r="E35" s="55">
        <v>0.86824088799999999</v>
      </c>
      <c r="F35" s="59">
        <f t="shared" si="2"/>
        <v>157.86434676329392</v>
      </c>
      <c r="G35" s="55">
        <f t="shared" si="1"/>
        <v>0.86824088799999999</v>
      </c>
      <c r="H35" s="54" t="s">
        <v>122</v>
      </c>
      <c r="I35" s="12">
        <f t="shared" si="7"/>
        <v>152.86434676329392</v>
      </c>
      <c r="J35" s="55">
        <f t="shared" si="5"/>
        <v>0.86824088799999999</v>
      </c>
      <c r="M35" s="97">
        <f t="shared" si="6"/>
        <v>152.86434676329392</v>
      </c>
      <c r="N35" s="143">
        <f t="shared" si="8"/>
        <v>-1.375755013</v>
      </c>
      <c r="O35" s="68"/>
      <c r="P35" s="70">
        <f t="shared" si="3"/>
        <v>152.86434676329392</v>
      </c>
      <c r="Q35" s="143">
        <f t="shared" si="4"/>
        <v>-1.375755013</v>
      </c>
      <c r="R35" s="68"/>
      <c r="S35" s="95"/>
      <c r="T35" s="68"/>
      <c r="U35" s="94">
        <v>95</v>
      </c>
      <c r="V35" s="95">
        <f t="shared" si="10"/>
        <v>-1.375755013</v>
      </c>
      <c r="W35" s="68"/>
      <c r="X35" s="70">
        <f t="shared" si="11"/>
        <v>93.07671696012234</v>
      </c>
      <c r="Y35" s="70">
        <f t="shared" si="9"/>
        <v>-1.375755013</v>
      </c>
      <c r="Z35" s="96"/>
    </row>
    <row r="36" spans="1:26" x14ac:dyDescent="0.25">
      <c r="A36" t="s">
        <v>38</v>
      </c>
      <c r="B36">
        <v>165</v>
      </c>
      <c r="D36" s="54">
        <f t="shared" si="0"/>
        <v>165</v>
      </c>
      <c r="E36" s="55">
        <v>1.096393121</v>
      </c>
      <c r="F36" s="59">
        <f t="shared" si="2"/>
        <v>162.85913870676634</v>
      </c>
      <c r="G36" s="55">
        <f t="shared" si="1"/>
        <v>1.096393121</v>
      </c>
      <c r="H36" s="54" t="s">
        <v>123</v>
      </c>
      <c r="I36" s="12">
        <f t="shared" si="7"/>
        <v>157.86434676329392</v>
      </c>
      <c r="J36" s="55">
        <f t="shared" si="5"/>
        <v>0.86824088799999999</v>
      </c>
      <c r="M36" s="97">
        <f t="shared" si="6"/>
        <v>157.86434676329392</v>
      </c>
      <c r="N36" s="143">
        <f t="shared" si="8"/>
        <v>-1.375755013</v>
      </c>
      <c r="O36" s="68"/>
      <c r="P36" s="70">
        <f t="shared" si="3"/>
        <v>157.86434676329392</v>
      </c>
      <c r="Q36" s="143">
        <f t="shared" si="4"/>
        <v>-1.375755013</v>
      </c>
      <c r="R36" s="68"/>
      <c r="S36" s="95"/>
      <c r="T36" s="68"/>
      <c r="U36" s="94">
        <v>100</v>
      </c>
      <c r="V36" s="95">
        <f t="shared" si="10"/>
        <v>-1.375755013</v>
      </c>
      <c r="W36" s="68"/>
      <c r="X36" s="70">
        <f t="shared" si="11"/>
        <v>98.07671696012234</v>
      </c>
      <c r="Y36" s="70">
        <f t="shared" si="9"/>
        <v>-1.375755013</v>
      </c>
      <c r="Z36" s="96"/>
    </row>
    <row r="37" spans="1:26" x14ac:dyDescent="0.25">
      <c r="A37" t="s">
        <v>39</v>
      </c>
      <c r="B37">
        <v>170</v>
      </c>
      <c r="D37" s="54">
        <f t="shared" si="0"/>
        <v>170</v>
      </c>
      <c r="E37" s="55">
        <v>0.92547461499999994</v>
      </c>
      <c r="F37" s="59">
        <f t="shared" si="2"/>
        <v>167.85621653929076</v>
      </c>
      <c r="G37" s="55">
        <f t="shared" si="1"/>
        <v>0.92547461499999994</v>
      </c>
      <c r="H37" s="54" t="s">
        <v>124</v>
      </c>
      <c r="I37" s="12">
        <f t="shared" si="7"/>
        <v>162.85913870676634</v>
      </c>
      <c r="J37" s="55">
        <f t="shared" si="5"/>
        <v>1.096393121</v>
      </c>
      <c r="M37" s="97">
        <f t="shared" si="6"/>
        <v>162.85913870676634</v>
      </c>
      <c r="N37" s="143">
        <f t="shared" si="8"/>
        <v>-1.1476027799999999</v>
      </c>
      <c r="O37" s="68"/>
      <c r="P37" s="70">
        <f t="shared" si="3"/>
        <v>162.85913870676634</v>
      </c>
      <c r="Q37" s="143">
        <f t="shared" si="4"/>
        <v>-1.1476027799999999</v>
      </c>
      <c r="R37" s="68"/>
      <c r="S37" s="95"/>
      <c r="T37" s="68"/>
      <c r="U37" s="94">
        <v>105</v>
      </c>
      <c r="V37" s="95">
        <f t="shared" si="10"/>
        <v>-1.1476027799999999</v>
      </c>
      <c r="W37" s="68"/>
      <c r="X37" s="70">
        <f t="shared" si="11"/>
        <v>103.07150890359476</v>
      </c>
      <c r="Y37" s="70">
        <f t="shared" si="9"/>
        <v>-1.1476027799999999</v>
      </c>
      <c r="Z37" s="96"/>
    </row>
    <row r="38" spans="1:26" x14ac:dyDescent="0.25">
      <c r="A38" t="s">
        <v>40</v>
      </c>
      <c r="B38">
        <v>175</v>
      </c>
      <c r="D38" s="54">
        <f t="shared" si="0"/>
        <v>175</v>
      </c>
      <c r="E38" s="55">
        <v>1.209609478</v>
      </c>
      <c r="F38" s="59">
        <f t="shared" si="2"/>
        <v>172.84813674895236</v>
      </c>
      <c r="G38" s="55">
        <f t="shared" si="1"/>
        <v>1.209609478</v>
      </c>
      <c r="H38" s="54" t="s">
        <v>125</v>
      </c>
      <c r="I38" s="12">
        <f t="shared" si="7"/>
        <v>167.85621653929076</v>
      </c>
      <c r="J38" s="55">
        <f t="shared" si="5"/>
        <v>0.92547461499999994</v>
      </c>
      <c r="M38" s="97">
        <f t="shared" si="6"/>
        <v>167.85621653929076</v>
      </c>
      <c r="N38" s="143">
        <f t="shared" si="8"/>
        <v>-1.318521286</v>
      </c>
      <c r="O38" s="68"/>
      <c r="P38" s="70">
        <f t="shared" si="3"/>
        <v>167.85621653929076</v>
      </c>
      <c r="Q38" s="143">
        <f t="shared" si="4"/>
        <v>-1.318521286</v>
      </c>
      <c r="R38" s="68"/>
      <c r="S38" s="95"/>
      <c r="T38" s="68"/>
      <c r="U38" s="94">
        <v>110</v>
      </c>
      <c r="V38" s="95">
        <f t="shared" si="10"/>
        <v>-1.318521286</v>
      </c>
      <c r="W38" s="68"/>
      <c r="X38" s="70">
        <f t="shared" si="11"/>
        <v>108.06858673611917</v>
      </c>
      <c r="Y38" s="70">
        <f t="shared" si="9"/>
        <v>-1.318521286</v>
      </c>
      <c r="Z38" s="96"/>
    </row>
    <row r="39" spans="1:26" x14ac:dyDescent="0.25">
      <c r="A39" t="s">
        <v>41</v>
      </c>
      <c r="B39">
        <v>180</v>
      </c>
      <c r="D39" s="54">
        <f t="shared" si="0"/>
        <v>180</v>
      </c>
      <c r="E39" s="55">
        <v>0.81088961599999998</v>
      </c>
      <c r="F39" s="59">
        <f t="shared" si="2"/>
        <v>177.8322136415822</v>
      </c>
      <c r="G39" s="55">
        <f t="shared" si="1"/>
        <v>0.81088961599999998</v>
      </c>
      <c r="H39" s="54" t="s">
        <v>126</v>
      </c>
      <c r="I39" s="12">
        <f t="shared" si="7"/>
        <v>172.84813674895236</v>
      </c>
      <c r="J39" s="55">
        <f t="shared" si="5"/>
        <v>1.209609478</v>
      </c>
      <c r="M39" s="97">
        <f t="shared" si="6"/>
        <v>172.84813674895236</v>
      </c>
      <c r="N39" s="143">
        <f t="shared" si="8"/>
        <v>-1.0343864229999999</v>
      </c>
      <c r="O39" s="68"/>
      <c r="P39" s="70">
        <f t="shared" si="3"/>
        <v>172.84813674895236</v>
      </c>
      <c r="Q39" s="143">
        <f t="shared" si="4"/>
        <v>-1.0343864229999999</v>
      </c>
      <c r="R39" s="68"/>
      <c r="S39" s="95"/>
      <c r="T39" s="68"/>
      <c r="U39" s="94">
        <v>115</v>
      </c>
      <c r="V39" s="95">
        <f t="shared" si="10"/>
        <v>-1.0343864229999999</v>
      </c>
      <c r="W39" s="68"/>
      <c r="X39" s="70">
        <f t="shared" si="11"/>
        <v>113.06050694578077</v>
      </c>
      <c r="Y39" s="70">
        <f t="shared" si="9"/>
        <v>-1.0343864229999999</v>
      </c>
      <c r="Z39" s="96"/>
    </row>
    <row r="40" spans="1:26" x14ac:dyDescent="0.25">
      <c r="A40" t="s">
        <v>42</v>
      </c>
      <c r="B40">
        <v>185</v>
      </c>
      <c r="D40" s="54">
        <f t="shared" si="0"/>
        <v>185</v>
      </c>
      <c r="E40" s="55">
        <v>0.92547461499999994</v>
      </c>
      <c r="F40" s="59">
        <f t="shared" si="2"/>
        <v>182.83090049694772</v>
      </c>
      <c r="G40" s="55">
        <f t="shared" si="1"/>
        <v>0.92547461499999994</v>
      </c>
      <c r="H40" s="54" t="s">
        <v>127</v>
      </c>
      <c r="I40" s="12">
        <f t="shared" ref="I40:I57" si="12">F39</f>
        <v>177.8322136415822</v>
      </c>
      <c r="J40" s="55">
        <f t="shared" ref="J40:J57" si="13">G39</f>
        <v>0.81088961599999998</v>
      </c>
      <c r="M40" s="97">
        <f t="shared" ref="M40:M57" si="14">I40</f>
        <v>177.8322136415822</v>
      </c>
      <c r="N40" s="143">
        <f t="shared" si="8"/>
        <v>-1.433106285</v>
      </c>
      <c r="O40" s="68"/>
      <c r="P40" s="70">
        <f t="shared" si="3"/>
        <v>177.8322136415822</v>
      </c>
      <c r="Q40" s="143">
        <f t="shared" si="4"/>
        <v>-1.433106285</v>
      </c>
      <c r="R40" s="68"/>
      <c r="S40" s="95"/>
      <c r="T40" s="68"/>
      <c r="U40" s="94">
        <v>120</v>
      </c>
      <c r="V40" s="95">
        <f t="shared" si="10"/>
        <v>-1.433106285</v>
      </c>
      <c r="W40" s="68"/>
      <c r="X40" s="70">
        <f t="shared" si="11"/>
        <v>118.04458383841062</v>
      </c>
      <c r="Y40" s="70">
        <f t="shared" si="9"/>
        <v>-1.433106285</v>
      </c>
      <c r="Z40" s="96"/>
    </row>
    <row r="41" spans="1:26" x14ac:dyDescent="0.25">
      <c r="A41" t="s">
        <v>43</v>
      </c>
      <c r="B41">
        <v>190</v>
      </c>
      <c r="D41" s="54">
        <f t="shared" si="0"/>
        <v>190</v>
      </c>
      <c r="E41" s="55">
        <v>1.039558454</v>
      </c>
      <c r="F41" s="59">
        <f t="shared" si="2"/>
        <v>187.8295988152781</v>
      </c>
      <c r="G41" s="55">
        <f t="shared" si="1"/>
        <v>1.039558454</v>
      </c>
      <c r="H41" s="54" t="s">
        <v>128</v>
      </c>
      <c r="I41" s="12">
        <f t="shared" si="12"/>
        <v>182.83090049694772</v>
      </c>
      <c r="J41" s="55">
        <f t="shared" si="13"/>
        <v>0.92547461499999994</v>
      </c>
      <c r="M41" s="97">
        <f t="shared" si="14"/>
        <v>182.83090049694772</v>
      </c>
      <c r="N41" s="143">
        <f t="shared" si="8"/>
        <v>-1.318521286</v>
      </c>
      <c r="O41" s="68"/>
      <c r="P41" s="70">
        <f t="shared" si="3"/>
        <v>182.83090049694772</v>
      </c>
      <c r="Q41" s="143">
        <f t="shared" si="4"/>
        <v>-1.318521286</v>
      </c>
      <c r="R41" s="68"/>
      <c r="S41" s="95"/>
      <c r="T41" s="68"/>
      <c r="U41" s="94">
        <v>125</v>
      </c>
      <c r="V41" s="95">
        <f t="shared" si="10"/>
        <v>-1.318521286</v>
      </c>
      <c r="W41" s="68"/>
      <c r="X41" s="70">
        <f t="shared" si="11"/>
        <v>123.04327069377614</v>
      </c>
      <c r="Y41" s="70">
        <f t="shared" si="9"/>
        <v>-1.318521286</v>
      </c>
      <c r="Z41" s="96"/>
    </row>
    <row r="42" spans="1:26" x14ac:dyDescent="0.25">
      <c r="A42" t="s">
        <v>44</v>
      </c>
      <c r="B42">
        <v>195</v>
      </c>
      <c r="D42" s="54">
        <f t="shared" si="0"/>
        <v>195</v>
      </c>
      <c r="E42" s="55">
        <v>0.695865505</v>
      </c>
      <c r="F42" s="59">
        <f t="shared" si="2"/>
        <v>192.81777234441756</v>
      </c>
      <c r="G42" s="55">
        <f t="shared" si="1"/>
        <v>0.695865505</v>
      </c>
      <c r="H42" s="54" t="s">
        <v>129</v>
      </c>
      <c r="I42" s="12">
        <f t="shared" si="12"/>
        <v>187.8295988152781</v>
      </c>
      <c r="J42" s="55">
        <f t="shared" si="13"/>
        <v>1.039558454</v>
      </c>
      <c r="M42" s="97">
        <f t="shared" si="14"/>
        <v>187.8295988152781</v>
      </c>
      <c r="N42" s="143">
        <f t="shared" si="8"/>
        <v>-1.2044374469999999</v>
      </c>
      <c r="O42" s="68"/>
      <c r="P42" s="70">
        <f t="shared" si="3"/>
        <v>187.8295988152781</v>
      </c>
      <c r="Q42" s="143">
        <f t="shared" si="4"/>
        <v>-1.2044374469999999</v>
      </c>
      <c r="R42" s="68"/>
      <c r="S42" s="95"/>
      <c r="T42" s="68"/>
      <c r="U42" s="94">
        <v>130</v>
      </c>
      <c r="V42" s="95">
        <f t="shared" si="10"/>
        <v>-1.2044374469999999</v>
      </c>
      <c r="W42" s="68"/>
      <c r="X42" s="70">
        <f t="shared" si="11"/>
        <v>128.04196901210651</v>
      </c>
      <c r="Y42" s="70">
        <f t="shared" si="9"/>
        <v>-1.2044374469999999</v>
      </c>
      <c r="Z42" s="96"/>
    </row>
    <row r="43" spans="1:26" x14ac:dyDescent="0.25">
      <c r="A43" t="s">
        <v>45</v>
      </c>
      <c r="B43">
        <v>200</v>
      </c>
      <c r="D43" s="54">
        <f t="shared" si="0"/>
        <v>200</v>
      </c>
      <c r="E43" s="55">
        <v>1.209609478</v>
      </c>
      <c r="F43" s="59">
        <f t="shared" si="2"/>
        <v>197.79130902671983</v>
      </c>
      <c r="G43" s="55">
        <f t="shared" si="1"/>
        <v>1.209609478</v>
      </c>
      <c r="H43" s="54" t="s">
        <v>130</v>
      </c>
      <c r="I43" s="12">
        <f t="shared" si="12"/>
        <v>192.81777234441756</v>
      </c>
      <c r="J43" s="55">
        <f t="shared" si="13"/>
        <v>0.695865505</v>
      </c>
      <c r="M43" s="97">
        <f t="shared" si="14"/>
        <v>192.81777234441756</v>
      </c>
      <c r="N43" s="143">
        <f t="shared" si="8"/>
        <v>-1.5481303959999999</v>
      </c>
      <c r="O43" s="68"/>
      <c r="P43" s="70">
        <f t="shared" si="3"/>
        <v>192.81777234441756</v>
      </c>
      <c r="Q43" s="143">
        <f t="shared" si="4"/>
        <v>-1.5481303959999999</v>
      </c>
      <c r="R43" s="68"/>
      <c r="S43" s="95"/>
      <c r="T43" s="68"/>
      <c r="U43" s="94">
        <v>135</v>
      </c>
      <c r="V43" s="95">
        <f t="shared" si="10"/>
        <v>-1.5481303959999999</v>
      </c>
      <c r="W43" s="68"/>
      <c r="X43" s="70">
        <f t="shared" si="11"/>
        <v>133.03014254124599</v>
      </c>
      <c r="Y43" s="70">
        <f t="shared" si="9"/>
        <v>-1.5481303959999999</v>
      </c>
      <c r="Z43" s="96"/>
    </row>
    <row r="44" spans="1:26" x14ac:dyDescent="0.25">
      <c r="A44" t="s">
        <v>46</v>
      </c>
      <c r="B44">
        <v>205</v>
      </c>
      <c r="D44" s="54">
        <f t="shared" si="0"/>
        <v>205</v>
      </c>
      <c r="E44" s="55">
        <v>0.753428561</v>
      </c>
      <c r="F44" s="59">
        <f t="shared" si="2"/>
        <v>202.77045543659423</v>
      </c>
      <c r="G44" s="55">
        <f t="shared" si="1"/>
        <v>0.753428561</v>
      </c>
      <c r="H44" s="54" t="s">
        <v>131</v>
      </c>
      <c r="I44" s="12">
        <f t="shared" si="12"/>
        <v>197.79130902671983</v>
      </c>
      <c r="J44" s="55">
        <f t="shared" si="13"/>
        <v>1.209609478</v>
      </c>
      <c r="M44" s="97">
        <f t="shared" si="14"/>
        <v>197.79130902671983</v>
      </c>
      <c r="N44" s="143">
        <f t="shared" si="8"/>
        <v>-1.0343864229999999</v>
      </c>
      <c r="O44" s="68"/>
      <c r="P44" s="70">
        <f t="shared" si="3"/>
        <v>197.79130902671983</v>
      </c>
      <c r="Q44" s="143">
        <f t="shared" si="4"/>
        <v>-1.0343864229999999</v>
      </c>
      <c r="R44" s="68"/>
      <c r="S44" s="95"/>
      <c r="T44" s="68"/>
      <c r="U44" s="94">
        <v>140</v>
      </c>
      <c r="V44" s="95">
        <f t="shared" si="10"/>
        <v>-1.0343864229999999</v>
      </c>
      <c r="W44" s="68"/>
      <c r="X44" s="70">
        <f t="shared" si="11"/>
        <v>138.00367922354826</v>
      </c>
      <c r="Y44" s="70">
        <f t="shared" si="9"/>
        <v>-1.0343864229999999</v>
      </c>
      <c r="Z44" s="96"/>
    </row>
    <row r="45" spans="1:26" x14ac:dyDescent="0.25">
      <c r="A45" t="s">
        <v>47</v>
      </c>
      <c r="B45">
        <v>210</v>
      </c>
      <c r="D45" s="54">
        <f t="shared" si="0"/>
        <v>210</v>
      </c>
      <c r="E45" s="55">
        <v>0.58046457100000004</v>
      </c>
      <c r="F45" s="59">
        <f t="shared" si="2"/>
        <v>207.76746288687517</v>
      </c>
      <c r="G45" s="55">
        <f t="shared" si="1"/>
        <v>0.58046457100000004</v>
      </c>
      <c r="H45" s="54" t="s">
        <v>132</v>
      </c>
      <c r="I45" s="12">
        <f t="shared" si="12"/>
        <v>202.77045543659423</v>
      </c>
      <c r="J45" s="55">
        <f t="shared" si="13"/>
        <v>0.753428561</v>
      </c>
      <c r="M45" s="97">
        <f t="shared" si="14"/>
        <v>202.77045543659423</v>
      </c>
      <c r="N45" s="143">
        <f t="shared" si="8"/>
        <v>-1.4905673399999999</v>
      </c>
      <c r="O45" s="68"/>
      <c r="P45" s="70">
        <f t="shared" si="3"/>
        <v>202.77045543659423</v>
      </c>
      <c r="Q45" s="143">
        <f t="shared" si="4"/>
        <v>-1.4905673399999999</v>
      </c>
      <c r="R45" s="68"/>
      <c r="S45" s="95"/>
      <c r="T45" s="68"/>
      <c r="U45" s="94">
        <v>145</v>
      </c>
      <c r="V45" s="95">
        <f t="shared" si="10"/>
        <v>-1.4905673399999999</v>
      </c>
      <c r="W45" s="68"/>
      <c r="X45" s="70">
        <f t="shared" si="11"/>
        <v>142.98282563342264</v>
      </c>
      <c r="Y45" s="70">
        <f t="shared" si="9"/>
        <v>-1.4905673399999999</v>
      </c>
      <c r="Z45" s="96"/>
    </row>
    <row r="46" spans="1:26" x14ac:dyDescent="0.25">
      <c r="A46" t="s">
        <v>48</v>
      </c>
      <c r="B46">
        <v>215</v>
      </c>
      <c r="D46" s="54">
        <f t="shared" si="0"/>
        <v>215</v>
      </c>
      <c r="E46" s="55">
        <v>1.1530793539999999</v>
      </c>
      <c r="F46" s="59">
        <f t="shared" si="2"/>
        <v>212.73456589670795</v>
      </c>
      <c r="G46" s="55">
        <f t="shared" si="1"/>
        <v>1.1530793539999999</v>
      </c>
      <c r="H46" s="54" t="s">
        <v>133</v>
      </c>
      <c r="I46" s="12">
        <f t="shared" si="12"/>
        <v>207.76746288687517</v>
      </c>
      <c r="J46" s="55">
        <f t="shared" si="13"/>
        <v>0.58046457100000004</v>
      </c>
      <c r="M46" s="97">
        <f t="shared" si="14"/>
        <v>207.76746288687517</v>
      </c>
      <c r="N46" s="143">
        <f t="shared" si="8"/>
        <v>-1.6635313299999999</v>
      </c>
      <c r="O46" s="68"/>
      <c r="P46" s="70">
        <f t="shared" si="3"/>
        <v>207.76746288687517</v>
      </c>
      <c r="Q46" s="143">
        <f t="shared" si="4"/>
        <v>-1.6635313299999999</v>
      </c>
      <c r="R46" s="68"/>
      <c r="S46" s="95"/>
      <c r="T46" s="68"/>
      <c r="U46" s="94">
        <v>150</v>
      </c>
      <c r="V46" s="95">
        <f t="shared" si="10"/>
        <v>-1.6635313299999999</v>
      </c>
      <c r="W46" s="68"/>
      <c r="X46" s="70">
        <f t="shared" si="11"/>
        <v>147.97983308370357</v>
      </c>
      <c r="Y46" s="70">
        <f t="shared" si="9"/>
        <v>-1.6635313299999999</v>
      </c>
      <c r="Z46" s="96"/>
    </row>
    <row r="47" spans="1:26" x14ac:dyDescent="0.25">
      <c r="A47" t="s">
        <v>49</v>
      </c>
      <c r="B47">
        <v>220</v>
      </c>
      <c r="D47" s="54">
        <f t="shared" si="0"/>
        <v>220</v>
      </c>
      <c r="E47" s="55">
        <v>1.7646528239999999</v>
      </c>
      <c r="F47" s="59">
        <f t="shared" si="2"/>
        <v>217.69702273690234</v>
      </c>
      <c r="G47" s="55">
        <f t="shared" si="1"/>
        <v>1.7646528239999999</v>
      </c>
      <c r="H47" s="54" t="s">
        <v>134</v>
      </c>
      <c r="I47" s="12">
        <f t="shared" si="12"/>
        <v>212.73456589670795</v>
      </c>
      <c r="J47" s="55">
        <f t="shared" si="13"/>
        <v>1.1530793539999999</v>
      </c>
      <c r="M47" s="97">
        <f t="shared" si="14"/>
        <v>212.73456589670795</v>
      </c>
      <c r="N47" s="143">
        <f t="shared" si="8"/>
        <v>-1.090916547</v>
      </c>
      <c r="O47" s="68"/>
      <c r="P47" s="70">
        <f t="shared" si="3"/>
        <v>212.73456589670795</v>
      </c>
      <c r="Q47" s="143">
        <f t="shared" si="4"/>
        <v>-1.090916547</v>
      </c>
      <c r="R47" s="68"/>
      <c r="S47" s="95"/>
      <c r="T47" s="68"/>
      <c r="U47" s="94">
        <v>155</v>
      </c>
      <c r="V47" s="95">
        <f t="shared" si="10"/>
        <v>-1.090916547</v>
      </c>
      <c r="W47" s="68"/>
      <c r="X47" s="70">
        <f t="shared" si="11"/>
        <v>152.94693609353635</v>
      </c>
      <c r="Y47" s="70">
        <f t="shared" si="9"/>
        <v>-1.090916547</v>
      </c>
      <c r="Z47" s="96"/>
    </row>
    <row r="48" spans="1:26" x14ac:dyDescent="0.25">
      <c r="A48" t="s">
        <v>50</v>
      </c>
      <c r="B48">
        <v>225</v>
      </c>
      <c r="D48" s="54">
        <f t="shared" si="0"/>
        <v>225</v>
      </c>
      <c r="E48" s="55">
        <v>2.4494485909999999</v>
      </c>
      <c r="F48" s="59">
        <f t="shared" si="2"/>
        <v>222.64990621599802</v>
      </c>
      <c r="G48" s="55">
        <f t="shared" si="1"/>
        <v>2.4494485909999999</v>
      </c>
      <c r="H48" s="54" t="s">
        <v>135</v>
      </c>
      <c r="I48" s="12">
        <f t="shared" si="12"/>
        <v>217.69702273690234</v>
      </c>
      <c r="J48" s="55">
        <f t="shared" si="13"/>
        <v>1.7646528239999999</v>
      </c>
      <c r="M48" s="97">
        <f t="shared" si="14"/>
        <v>217.69702273690234</v>
      </c>
      <c r="N48" s="143">
        <f t="shared" si="8"/>
        <v>-0.47934307700000001</v>
      </c>
      <c r="O48" s="68"/>
      <c r="P48" s="70">
        <f t="shared" si="3"/>
        <v>217.69702273690234</v>
      </c>
      <c r="Q48" s="143">
        <f t="shared" si="4"/>
        <v>-0.47934307700000001</v>
      </c>
      <c r="R48" s="68"/>
      <c r="S48" s="95"/>
      <c r="T48" s="68"/>
      <c r="U48" s="94">
        <v>160</v>
      </c>
      <c r="V48" s="95">
        <f t="shared" si="10"/>
        <v>-0.47934307700000001</v>
      </c>
      <c r="W48" s="68"/>
      <c r="X48" s="70">
        <f t="shared" si="11"/>
        <v>157.90939293373077</v>
      </c>
      <c r="Y48" s="70">
        <f t="shared" si="9"/>
        <v>-0.47934307700000001</v>
      </c>
      <c r="Z48" s="96"/>
    </row>
    <row r="49" spans="1:26" x14ac:dyDescent="0.25">
      <c r="A49" t="s">
        <v>51</v>
      </c>
      <c r="B49">
        <v>230</v>
      </c>
      <c r="D49" s="54">
        <f t="shared" si="0"/>
        <v>230</v>
      </c>
      <c r="E49" s="55">
        <v>1.9268463309999999</v>
      </c>
      <c r="F49" s="59">
        <f t="shared" si="2"/>
        <v>227.62251990276707</v>
      </c>
      <c r="G49" s="55">
        <f t="shared" si="1"/>
        <v>1.9268463309999999</v>
      </c>
      <c r="H49" s="54" t="s">
        <v>136</v>
      </c>
      <c r="I49" s="12">
        <f t="shared" si="12"/>
        <v>222.64990621599802</v>
      </c>
      <c r="J49" s="55">
        <f t="shared" si="13"/>
        <v>2.4494485909999999</v>
      </c>
      <c r="M49" s="97">
        <f t="shared" si="14"/>
        <v>222.64990621599802</v>
      </c>
      <c r="N49" s="143">
        <f t="shared" si="8"/>
        <v>0.20545268999999999</v>
      </c>
      <c r="O49" s="68"/>
      <c r="P49" s="70">
        <f t="shared" si="3"/>
        <v>222.64990621599802</v>
      </c>
      <c r="Q49" s="143">
        <f t="shared" si="4"/>
        <v>0.20545268999999999</v>
      </c>
      <c r="R49" s="68"/>
      <c r="S49" s="95"/>
      <c r="T49" s="68"/>
      <c r="U49" s="94">
        <v>165</v>
      </c>
      <c r="V49" s="95">
        <f t="shared" si="10"/>
        <v>0.20545268999999999</v>
      </c>
      <c r="W49" s="68"/>
      <c r="X49" s="70">
        <f t="shared" si="11"/>
        <v>162.86227641282642</v>
      </c>
      <c r="Y49" s="70">
        <f t="shared" si="9"/>
        <v>0.20545268999999999</v>
      </c>
      <c r="Z49" s="96"/>
    </row>
    <row r="50" spans="1:26" x14ac:dyDescent="0.25">
      <c r="A50" t="s">
        <v>52</v>
      </c>
      <c r="B50">
        <v>235</v>
      </c>
      <c r="D50" s="54">
        <f t="shared" si="0"/>
        <v>235</v>
      </c>
      <c r="E50" s="55">
        <v>1.378186779</v>
      </c>
      <c r="F50" s="59">
        <f t="shared" si="2"/>
        <v>232.59232600522208</v>
      </c>
      <c r="G50" s="55">
        <f t="shared" si="1"/>
        <v>1.378186779</v>
      </c>
      <c r="H50" s="54" t="s">
        <v>137</v>
      </c>
      <c r="I50" s="12">
        <f t="shared" si="12"/>
        <v>227.62251990276707</v>
      </c>
      <c r="J50" s="55">
        <f t="shared" si="13"/>
        <v>1.9268463309999999</v>
      </c>
      <c r="M50" s="97">
        <f t="shared" si="14"/>
        <v>227.62251990276707</v>
      </c>
      <c r="N50" s="143">
        <f t="shared" si="8"/>
        <v>-0.31714956999999999</v>
      </c>
      <c r="O50" s="68"/>
      <c r="P50" s="70">
        <f t="shared" si="3"/>
        <v>227.62251990276707</v>
      </c>
      <c r="Q50" s="143">
        <f t="shared" si="4"/>
        <v>-0.31714956999999999</v>
      </c>
      <c r="R50" s="68"/>
      <c r="S50" s="95"/>
      <c r="T50" s="68"/>
      <c r="U50" s="94">
        <v>170</v>
      </c>
      <c r="V50" s="95">
        <f t="shared" si="10"/>
        <v>-0.31714956999999999</v>
      </c>
      <c r="W50" s="68"/>
      <c r="X50" s="70">
        <f t="shared" si="11"/>
        <v>167.8348900995955</v>
      </c>
      <c r="Y50" s="70">
        <f t="shared" si="9"/>
        <v>-0.31714956999999999</v>
      </c>
      <c r="Z50" s="96"/>
    </row>
    <row r="51" spans="1:26" x14ac:dyDescent="0.25">
      <c r="A51" t="s">
        <v>53</v>
      </c>
      <c r="B51">
        <v>240</v>
      </c>
      <c r="D51" s="54">
        <f t="shared" si="0"/>
        <v>240</v>
      </c>
      <c r="E51" s="55">
        <v>1.1530793539999999</v>
      </c>
      <c r="F51" s="59">
        <f t="shared" si="2"/>
        <v>237.58725609954871</v>
      </c>
      <c r="G51" s="55">
        <f t="shared" si="1"/>
        <v>1.1530793539999999</v>
      </c>
      <c r="H51" s="54" t="s">
        <v>138</v>
      </c>
      <c r="I51" s="12">
        <f t="shared" si="12"/>
        <v>232.59232600522208</v>
      </c>
      <c r="J51" s="55">
        <f t="shared" si="13"/>
        <v>1.378186779</v>
      </c>
      <c r="M51" s="97">
        <f t="shared" si="14"/>
        <v>232.59232600522208</v>
      </c>
      <c r="N51" s="143">
        <f t="shared" si="8"/>
        <v>-0.86580912199999993</v>
      </c>
      <c r="O51" s="98"/>
      <c r="P51" s="99">
        <f t="shared" si="3"/>
        <v>232.59232600522208</v>
      </c>
      <c r="Q51" s="144">
        <f t="shared" si="4"/>
        <v>-0.86580912199999993</v>
      </c>
      <c r="R51" s="98"/>
      <c r="S51" s="100"/>
      <c r="T51" s="68"/>
      <c r="U51" s="94">
        <v>175</v>
      </c>
      <c r="V51" s="95">
        <f t="shared" si="10"/>
        <v>-0.86580912199999993</v>
      </c>
      <c r="W51" s="68"/>
      <c r="X51" s="70">
        <f t="shared" si="11"/>
        <v>172.80469620205048</v>
      </c>
      <c r="Y51" s="70">
        <f t="shared" si="9"/>
        <v>-0.86580912199999993</v>
      </c>
      <c r="Z51" s="96"/>
    </row>
    <row r="52" spans="1:26" x14ac:dyDescent="0.25">
      <c r="A52" t="s">
        <v>54</v>
      </c>
      <c r="B52">
        <v>245</v>
      </c>
      <c r="D52" s="54">
        <f t="shared" si="0"/>
        <v>245</v>
      </c>
      <c r="E52" s="55">
        <v>1.096393121</v>
      </c>
      <c r="F52" s="59">
        <f t="shared" si="2"/>
        <v>242.5869347563214</v>
      </c>
      <c r="G52" s="55">
        <f t="shared" si="1"/>
        <v>1.096393121</v>
      </c>
      <c r="H52" s="54" t="s">
        <v>139</v>
      </c>
      <c r="I52" s="12">
        <f t="shared" si="12"/>
        <v>237.58725609954871</v>
      </c>
      <c r="J52" s="55">
        <f t="shared" si="13"/>
        <v>1.1530793539999999</v>
      </c>
      <c r="M52" s="97">
        <f t="shared" si="14"/>
        <v>237.58725609954871</v>
      </c>
      <c r="N52" s="143">
        <f t="shared" si="8"/>
        <v>-1.090916547</v>
      </c>
      <c r="O52" s="68"/>
      <c r="P52" s="70">
        <f t="shared" si="3"/>
        <v>237.58725609954871</v>
      </c>
      <c r="Q52" s="143">
        <f t="shared" si="4"/>
        <v>-1.090916547</v>
      </c>
      <c r="R52" s="68"/>
      <c r="S52" s="68"/>
      <c r="T52" s="68"/>
      <c r="U52" s="94">
        <v>180</v>
      </c>
      <c r="V52" s="95">
        <f t="shared" si="10"/>
        <v>-1.090916547</v>
      </c>
      <c r="W52" s="68"/>
      <c r="X52" s="70">
        <f t="shared" si="11"/>
        <v>177.79962629637714</v>
      </c>
      <c r="Y52" s="70">
        <f t="shared" si="9"/>
        <v>-1.090916547</v>
      </c>
      <c r="Z52" s="96"/>
    </row>
    <row r="53" spans="1:26" x14ac:dyDescent="0.25">
      <c r="A53" t="s">
        <v>55</v>
      </c>
      <c r="B53">
        <v>250</v>
      </c>
      <c r="D53" s="54">
        <f t="shared" si="0"/>
        <v>250</v>
      </c>
      <c r="E53" s="55">
        <v>0.98258304799999996</v>
      </c>
      <c r="F53" s="59">
        <f t="shared" si="2"/>
        <v>247.58563931523301</v>
      </c>
      <c r="G53" s="55">
        <f t="shared" si="1"/>
        <v>0.98258304799999996</v>
      </c>
      <c r="H53" s="54" t="s">
        <v>140</v>
      </c>
      <c r="I53" s="12">
        <f t="shared" si="12"/>
        <v>242.5869347563214</v>
      </c>
      <c r="J53" s="55">
        <f t="shared" si="13"/>
        <v>1.096393121</v>
      </c>
      <c r="M53" s="97">
        <f t="shared" si="14"/>
        <v>242.5869347563214</v>
      </c>
      <c r="N53" s="143">
        <f t="shared" si="8"/>
        <v>-1.1476027799999999</v>
      </c>
      <c r="O53" s="68"/>
      <c r="P53" s="70">
        <f t="shared" si="3"/>
        <v>242.5869347563214</v>
      </c>
      <c r="Q53" s="143">
        <f t="shared" si="4"/>
        <v>-1.1476027799999999</v>
      </c>
      <c r="R53" s="68"/>
      <c r="S53" s="68"/>
      <c r="T53" s="68"/>
      <c r="U53" s="94">
        <v>185</v>
      </c>
      <c r="V53" s="95">
        <f t="shared" si="10"/>
        <v>-1.1476027799999999</v>
      </c>
      <c r="W53" s="68"/>
      <c r="X53" s="70">
        <f t="shared" si="11"/>
        <v>182.79930495314983</v>
      </c>
      <c r="Y53" s="70">
        <f t="shared" si="9"/>
        <v>-1.1476027799999999</v>
      </c>
      <c r="Z53" s="96"/>
    </row>
    <row r="54" spans="1:26" x14ac:dyDescent="0.25">
      <c r="A54" t="s">
        <v>56</v>
      </c>
      <c r="B54">
        <v>255</v>
      </c>
      <c r="D54" s="54">
        <f t="shared" si="0"/>
        <v>255</v>
      </c>
      <c r="E54" s="55">
        <v>0.29072414499999999</v>
      </c>
      <c r="F54" s="59">
        <f t="shared" si="2"/>
        <v>252.53754109720927</v>
      </c>
      <c r="G54" s="55">
        <f t="shared" si="1"/>
        <v>0.29072414499999999</v>
      </c>
      <c r="H54" s="54" t="s">
        <v>141</v>
      </c>
      <c r="I54" s="12">
        <f t="shared" si="12"/>
        <v>247.58563931523301</v>
      </c>
      <c r="J54" s="55">
        <f t="shared" si="13"/>
        <v>0.98258304799999996</v>
      </c>
      <c r="M54" s="97">
        <f t="shared" si="14"/>
        <v>247.58563931523301</v>
      </c>
      <c r="N54" s="143">
        <f t="shared" si="8"/>
        <v>-1.2614128529999999</v>
      </c>
      <c r="O54" s="68"/>
      <c r="P54" s="70">
        <f t="shared" si="3"/>
        <v>247.58563931523301</v>
      </c>
      <c r="Q54" s="143">
        <f t="shared" si="4"/>
        <v>-1.2614128529999999</v>
      </c>
      <c r="R54" s="68"/>
      <c r="S54" s="68"/>
      <c r="T54" s="68"/>
      <c r="U54" s="94">
        <v>190</v>
      </c>
      <c r="V54" s="95">
        <f t="shared" si="10"/>
        <v>-1.2614128529999999</v>
      </c>
      <c r="W54" s="68"/>
      <c r="X54" s="70">
        <f t="shared" si="11"/>
        <v>187.79800951206141</v>
      </c>
      <c r="Y54" s="70">
        <f t="shared" si="9"/>
        <v>-1.2614128529999999</v>
      </c>
      <c r="Z54" s="96"/>
    </row>
    <row r="55" spans="1:26" x14ac:dyDescent="0.25">
      <c r="A55" t="s">
        <v>57</v>
      </c>
      <c r="B55">
        <v>260</v>
      </c>
      <c r="D55" s="54">
        <f t="shared" si="0"/>
        <v>260</v>
      </c>
      <c r="E55" s="55">
        <v>0.58046457100000004</v>
      </c>
      <c r="F55" s="59">
        <f t="shared" si="2"/>
        <v>257.52913908638482</v>
      </c>
      <c r="G55" s="55">
        <f t="shared" si="1"/>
        <v>0.58046457100000004</v>
      </c>
      <c r="H55" s="54" t="s">
        <v>142</v>
      </c>
      <c r="I55" s="12">
        <f t="shared" si="12"/>
        <v>252.53754109720927</v>
      </c>
      <c r="J55" s="55">
        <f t="shared" si="13"/>
        <v>0.29072414499999999</v>
      </c>
      <c r="M55" s="97">
        <f t="shared" si="14"/>
        <v>252.53754109720927</v>
      </c>
      <c r="N55" s="143">
        <f t="shared" si="8"/>
        <v>-1.9532717559999999</v>
      </c>
      <c r="O55" s="68"/>
      <c r="P55" s="70">
        <f t="shared" si="3"/>
        <v>252.53754109720927</v>
      </c>
      <c r="Q55" s="143">
        <f t="shared" si="4"/>
        <v>-1.9532717559999999</v>
      </c>
      <c r="R55" s="68"/>
      <c r="S55" s="68"/>
      <c r="T55" s="68"/>
      <c r="U55" s="94">
        <v>195</v>
      </c>
      <c r="V55" s="95">
        <f t="shared" si="10"/>
        <v>-1.9532717559999999</v>
      </c>
      <c r="W55" s="68"/>
      <c r="X55" s="70">
        <f t="shared" si="11"/>
        <v>192.7499112940377</v>
      </c>
      <c r="Y55" s="70">
        <f t="shared" si="9"/>
        <v>-1.9532717559999999</v>
      </c>
      <c r="Z55" s="96"/>
    </row>
    <row r="56" spans="1:26" x14ac:dyDescent="0.25">
      <c r="A56" t="s">
        <v>58</v>
      </c>
      <c r="B56">
        <v>265</v>
      </c>
      <c r="D56" s="54">
        <f t="shared" si="0"/>
        <v>265</v>
      </c>
      <c r="E56" s="55">
        <v>1.378186779</v>
      </c>
      <c r="F56" s="59">
        <f t="shared" si="2"/>
        <v>262.46509282187134</v>
      </c>
      <c r="G56" s="55">
        <f t="shared" si="1"/>
        <v>1.378186779</v>
      </c>
      <c r="H56" s="54" t="s">
        <v>143</v>
      </c>
      <c r="I56" s="12">
        <f t="shared" si="12"/>
        <v>257.52913908638482</v>
      </c>
      <c r="J56" s="55">
        <f t="shared" si="13"/>
        <v>0.58046457100000004</v>
      </c>
      <c r="M56" s="97">
        <f t="shared" si="14"/>
        <v>257.52913908638482</v>
      </c>
      <c r="N56" s="143">
        <f t="shared" si="8"/>
        <v>-1.6635313299999999</v>
      </c>
      <c r="O56" s="68"/>
      <c r="P56" s="70">
        <f t="shared" si="3"/>
        <v>257.52913908638482</v>
      </c>
      <c r="Q56" s="143">
        <f t="shared" si="4"/>
        <v>-1.6635313299999999</v>
      </c>
      <c r="R56" s="68"/>
      <c r="S56" s="68"/>
      <c r="T56" s="68"/>
      <c r="U56" s="94">
        <v>200</v>
      </c>
      <c r="V56" s="95">
        <f t="shared" si="10"/>
        <v>-1.6635313299999999</v>
      </c>
      <c r="W56" s="68"/>
      <c r="X56" s="70">
        <f t="shared" si="11"/>
        <v>197.74150928321325</v>
      </c>
      <c r="Y56" s="70">
        <f t="shared" si="9"/>
        <v>-1.6635313299999999</v>
      </c>
      <c r="Z56" s="96"/>
    </row>
    <row r="57" spans="1:26" ht="15.75" thickBot="1" x14ac:dyDescent="0.3">
      <c r="A57" t="s">
        <v>59</v>
      </c>
      <c r="B57">
        <v>270</v>
      </c>
      <c r="D57" s="54">
        <f t="shared" si="0"/>
        <v>270</v>
      </c>
      <c r="E57" s="55">
        <v>2.2439959009999999</v>
      </c>
      <c r="F57" s="59">
        <f t="shared" si="2"/>
        <v>267.38955975386119</v>
      </c>
      <c r="G57" s="55">
        <f t="shared" si="1"/>
        <v>2.2439959009999999</v>
      </c>
      <c r="H57" s="54" t="s">
        <v>144</v>
      </c>
      <c r="I57" s="12">
        <f t="shared" si="12"/>
        <v>262.46509282187134</v>
      </c>
      <c r="J57" s="55">
        <f t="shared" si="13"/>
        <v>1.378186779</v>
      </c>
      <c r="M57" s="101">
        <f t="shared" si="14"/>
        <v>262.46509282187134</v>
      </c>
      <c r="N57" s="145">
        <f t="shared" si="8"/>
        <v>-0.86580912199999993</v>
      </c>
      <c r="O57" s="102"/>
      <c r="P57" s="103">
        <f t="shared" si="3"/>
        <v>262.46509282187134</v>
      </c>
      <c r="Q57" s="145">
        <f t="shared" si="4"/>
        <v>-0.86580912199999993</v>
      </c>
      <c r="R57" s="102"/>
      <c r="S57" s="102"/>
      <c r="T57" s="102"/>
      <c r="U57" s="104">
        <v>205</v>
      </c>
      <c r="V57" s="105">
        <f t="shared" si="10"/>
        <v>-0.86580912199999993</v>
      </c>
      <c r="W57" s="102"/>
      <c r="X57" s="103">
        <f t="shared" si="11"/>
        <v>202.67746301869977</v>
      </c>
      <c r="Y57" s="103">
        <f t="shared" si="9"/>
        <v>-0.86580912199999993</v>
      </c>
      <c r="Z57" s="106"/>
    </row>
    <row r="58" spans="1:26" ht="15.75" thickBot="1" x14ac:dyDescent="0.3">
      <c r="A58" t="s">
        <v>60</v>
      </c>
      <c r="B58">
        <v>275</v>
      </c>
      <c r="D58" s="54">
        <f t="shared" si="0"/>
        <v>275</v>
      </c>
      <c r="E58" s="55">
        <v>0.753428561</v>
      </c>
      <c r="F58" s="59">
        <f t="shared" si="2"/>
        <v>272.16221195205515</v>
      </c>
      <c r="G58" s="55">
        <f t="shared" si="1"/>
        <v>0.753428561</v>
      </c>
      <c r="H58" s="54"/>
      <c r="I58" s="12"/>
      <c r="J58" s="55"/>
      <c r="P58" s="103">
        <f t="shared" si="3"/>
        <v>267.38955975386119</v>
      </c>
      <c r="Q58" s="145">
        <f t="shared" si="4"/>
        <v>0</v>
      </c>
    </row>
    <row r="59" spans="1:26" ht="15.75" thickBot="1" x14ac:dyDescent="0.3">
      <c r="A59" t="s">
        <v>61</v>
      </c>
      <c r="B59">
        <v>280</v>
      </c>
      <c r="D59" s="54">
        <f t="shared" si="0"/>
        <v>280</v>
      </c>
      <c r="E59" s="55">
        <v>0.17449748400000001</v>
      </c>
      <c r="F59" s="59">
        <f t="shared" si="2"/>
        <v>277.12858274047636</v>
      </c>
      <c r="G59" s="55">
        <f t="shared" si="1"/>
        <v>0.17449748400000001</v>
      </c>
      <c r="H59" s="54"/>
      <c r="I59" s="12"/>
      <c r="J59" s="55"/>
      <c r="P59" s="103">
        <f t="shared" si="3"/>
        <v>272.16221195205515</v>
      </c>
      <c r="Q59" s="145">
        <f>G58-$S$1</f>
        <v>-1.4905673399999999</v>
      </c>
    </row>
    <row r="60" spans="1:26" ht="15.75" thickBot="1" x14ac:dyDescent="0.3">
      <c r="A60" t="s">
        <v>62</v>
      </c>
      <c r="B60">
        <v>285</v>
      </c>
      <c r="D60" s="54">
        <f t="shared" si="0"/>
        <v>285</v>
      </c>
      <c r="E60" s="55">
        <v>0.86824088799999999</v>
      </c>
      <c r="F60" s="59">
        <f t="shared" si="2"/>
        <v>282.08022086229084</v>
      </c>
      <c r="G60" s="55">
        <f t="shared" si="1"/>
        <v>0.86824088799999999</v>
      </c>
      <c r="H60" s="54"/>
      <c r="I60" s="12"/>
      <c r="J60" s="55"/>
      <c r="P60" s="103">
        <f t="shared" si="3"/>
        <v>277.12858274047636</v>
      </c>
      <c r="Q60" s="145">
        <f t="shared" si="4"/>
        <v>-2.0694984169999997</v>
      </c>
    </row>
    <row r="61" spans="1:26" ht="15.75" thickBot="1" x14ac:dyDescent="0.3">
      <c r="A61" t="s">
        <v>63</v>
      </c>
      <c r="B61">
        <v>290</v>
      </c>
      <c r="D61" s="54">
        <f t="shared" si="0"/>
        <v>290</v>
      </c>
      <c r="E61" s="55">
        <v>1.209609478</v>
      </c>
      <c r="F61" s="59">
        <f t="shared" si="2"/>
        <v>287.06855399929776</v>
      </c>
      <c r="G61" s="55">
        <f t="shared" si="1"/>
        <v>1.209609478</v>
      </c>
      <c r="H61" s="54"/>
      <c r="I61" s="12"/>
      <c r="J61" s="55"/>
      <c r="P61" s="103">
        <f t="shared" si="3"/>
        <v>282.08022086229084</v>
      </c>
      <c r="Q61" s="145">
        <f t="shared" si="4"/>
        <v>-1.375755013</v>
      </c>
    </row>
    <row r="62" spans="1:26" ht="15.75" thickBot="1" x14ac:dyDescent="0.3">
      <c r="A62" t="s">
        <v>64</v>
      </c>
      <c r="B62">
        <v>295</v>
      </c>
      <c r="D62" s="54">
        <f t="shared" si="0"/>
        <v>295</v>
      </c>
      <c r="E62" s="55">
        <v>1.710100717</v>
      </c>
      <c r="F62" s="59">
        <f t="shared" si="2"/>
        <v>292.04344178895536</v>
      </c>
      <c r="G62" s="55">
        <f t="shared" si="1"/>
        <v>1.710100717</v>
      </c>
      <c r="H62" s="54"/>
      <c r="I62" s="12"/>
      <c r="J62" s="55"/>
      <c r="P62" s="103">
        <f t="shared" si="3"/>
        <v>287.06855399929776</v>
      </c>
      <c r="Q62" s="145">
        <f t="shared" si="4"/>
        <v>-1.0343864229999999</v>
      </c>
    </row>
    <row r="63" spans="1:26" ht="15.75" thickBot="1" x14ac:dyDescent="0.3">
      <c r="A63" t="s">
        <v>65</v>
      </c>
      <c r="B63">
        <v>300</v>
      </c>
      <c r="D63" s="54">
        <f t="shared" si="0"/>
        <v>300</v>
      </c>
      <c r="E63" s="55">
        <v>0.695865505</v>
      </c>
      <c r="F63" s="59">
        <f t="shared" si="2"/>
        <v>296.93949396747013</v>
      </c>
      <c r="G63" s="55">
        <f t="shared" si="1"/>
        <v>0.695865505</v>
      </c>
      <c r="H63" s="54"/>
      <c r="I63" s="12"/>
      <c r="J63" s="55"/>
      <c r="P63" s="103">
        <f t="shared" si="3"/>
        <v>292.04344178895536</v>
      </c>
      <c r="Q63" s="145">
        <f t="shared" si="4"/>
        <v>-0.53389518399999991</v>
      </c>
    </row>
    <row r="64" spans="1:26" ht="15.75" thickBot="1" x14ac:dyDescent="0.3">
      <c r="A64" t="s">
        <v>66</v>
      </c>
      <c r="B64">
        <v>305</v>
      </c>
      <c r="D64" s="54">
        <f t="shared" si="0"/>
        <v>305</v>
      </c>
      <c r="E64" s="55">
        <v>0.34878236899999998</v>
      </c>
      <c r="F64" s="59">
        <f t="shared" si="2"/>
        <v>301.92743274984349</v>
      </c>
      <c r="G64" s="55">
        <f t="shared" si="1"/>
        <v>0.34878236899999998</v>
      </c>
      <c r="H64" s="54"/>
      <c r="I64" s="12"/>
      <c r="J64" s="55"/>
      <c r="P64" s="103">
        <f t="shared" si="3"/>
        <v>296.93949396747013</v>
      </c>
      <c r="Q64" s="145">
        <f t="shared" si="4"/>
        <v>-1.5481303959999999</v>
      </c>
    </row>
    <row r="65" spans="1:17" ht="15.75" thickBot="1" x14ac:dyDescent="0.3">
      <c r="A65" t="s">
        <v>67</v>
      </c>
      <c r="B65">
        <v>310</v>
      </c>
      <c r="D65" s="54">
        <f t="shared" si="0"/>
        <v>310</v>
      </c>
      <c r="E65" s="55">
        <v>0.86824088799999999</v>
      </c>
      <c r="F65" s="59">
        <f t="shared" si="2"/>
        <v>306.90037582683908</v>
      </c>
      <c r="G65" s="55">
        <f t="shared" si="1"/>
        <v>0.86824088799999999</v>
      </c>
      <c r="H65" s="54"/>
      <c r="I65" s="12"/>
      <c r="J65" s="55"/>
      <c r="P65" s="103">
        <f t="shared" si="3"/>
        <v>301.92743274984349</v>
      </c>
      <c r="Q65" s="145">
        <f t="shared" si="4"/>
        <v>-1.8952135319999999</v>
      </c>
    </row>
    <row r="66" spans="1:17" ht="15.75" thickBot="1" x14ac:dyDescent="0.3">
      <c r="A66" t="s">
        <v>68</v>
      </c>
      <c r="B66">
        <v>315</v>
      </c>
      <c r="D66" s="54">
        <f t="shared" si="0"/>
        <v>315</v>
      </c>
      <c r="E66" s="55">
        <v>0.98258304799999996</v>
      </c>
      <c r="F66" s="59">
        <f t="shared" si="2"/>
        <v>311.89906824290614</v>
      </c>
      <c r="G66" s="55">
        <f t="shared" si="1"/>
        <v>0.98258304799999996</v>
      </c>
      <c r="H66" s="54"/>
      <c r="I66" s="12"/>
      <c r="J66" s="55"/>
      <c r="P66" s="103">
        <f t="shared" si="3"/>
        <v>306.90037582683908</v>
      </c>
      <c r="Q66" s="145">
        <f t="shared" si="4"/>
        <v>-1.375755013</v>
      </c>
    </row>
    <row r="67" spans="1:17" ht="15.75" thickBot="1" x14ac:dyDescent="0.3">
      <c r="A67" t="s">
        <v>69</v>
      </c>
      <c r="B67">
        <v>320</v>
      </c>
      <c r="D67" s="54">
        <f t="shared" si="0"/>
        <v>320</v>
      </c>
      <c r="E67" s="55">
        <v>1.039558454</v>
      </c>
      <c r="F67" s="59">
        <f t="shared" si="2"/>
        <v>316.8987436126788</v>
      </c>
      <c r="G67" s="55">
        <f t="shared" si="1"/>
        <v>1.039558454</v>
      </c>
      <c r="H67" s="54"/>
      <c r="I67" s="12"/>
      <c r="J67" s="55"/>
      <c r="P67" s="103">
        <f t="shared" si="3"/>
        <v>311.89906824290614</v>
      </c>
      <c r="Q67" s="145">
        <f>G66-$S$1</f>
        <v>-1.2614128529999999</v>
      </c>
    </row>
    <row r="68" spans="1:17" ht="15.75" thickBot="1" x14ac:dyDescent="0.3">
      <c r="A68" t="s">
        <v>70</v>
      </c>
      <c r="B68">
        <v>325</v>
      </c>
      <c r="D68" s="54">
        <f t="shared" ref="D68:D75" si="15">B68</f>
        <v>325</v>
      </c>
      <c r="E68" s="55">
        <v>1.039558454</v>
      </c>
      <c r="F68" s="59">
        <f t="shared" si="2"/>
        <v>321.8987436126788</v>
      </c>
      <c r="G68" s="55">
        <f t="shared" ref="G68:G75" si="16">E68</f>
        <v>1.039558454</v>
      </c>
      <c r="H68" s="54"/>
      <c r="I68" s="12"/>
      <c r="J68" s="55"/>
      <c r="P68" s="103">
        <f t="shared" si="3"/>
        <v>316.8987436126788</v>
      </c>
      <c r="Q68" s="145">
        <f t="shared" si="4"/>
        <v>-1.2044374469999999</v>
      </c>
    </row>
    <row r="69" spans="1:17" ht="15.75" thickBot="1" x14ac:dyDescent="0.3">
      <c r="A69" t="s">
        <v>71</v>
      </c>
      <c r="B69">
        <v>330</v>
      </c>
      <c r="D69" s="54">
        <f t="shared" si="15"/>
        <v>330</v>
      </c>
      <c r="E69" s="55">
        <v>1.209609478</v>
      </c>
      <c r="F69" s="59">
        <f t="shared" ref="F69:F75" si="17">F68+(SQRT((D69-D68)^2-(E69-E68)^2))</f>
        <v>326.89585104090531</v>
      </c>
      <c r="G69" s="55">
        <f t="shared" si="16"/>
        <v>1.209609478</v>
      </c>
      <c r="H69" s="54"/>
      <c r="I69" s="12"/>
      <c r="J69" s="55"/>
      <c r="P69" s="103">
        <f t="shared" ref="P69:P76" si="18">F68</f>
        <v>321.8987436126788</v>
      </c>
      <c r="Q69" s="145">
        <f t="shared" ref="Q69:Q76" si="19">G68-$S$1</f>
        <v>-1.2044374469999999</v>
      </c>
    </row>
    <row r="70" spans="1:17" ht="15.75" thickBot="1" x14ac:dyDescent="0.3">
      <c r="A70" t="s">
        <v>72</v>
      </c>
      <c r="B70">
        <v>335</v>
      </c>
      <c r="D70" s="54">
        <f t="shared" si="15"/>
        <v>335</v>
      </c>
      <c r="E70" s="55">
        <v>1.32217081</v>
      </c>
      <c r="F70" s="59">
        <f t="shared" si="17"/>
        <v>331.8945838749882</v>
      </c>
      <c r="G70" s="55">
        <f>E70</f>
        <v>1.32217081</v>
      </c>
      <c r="H70" s="54"/>
      <c r="I70" s="12"/>
      <c r="J70" s="55"/>
      <c r="P70" s="103">
        <f t="shared" si="18"/>
        <v>326.89585104090531</v>
      </c>
      <c r="Q70" s="145">
        <f t="shared" si="19"/>
        <v>-1.0343864229999999</v>
      </c>
    </row>
    <row r="71" spans="1:17" ht="15.75" thickBot="1" x14ac:dyDescent="0.3">
      <c r="A71" t="s">
        <v>73</v>
      </c>
      <c r="B71">
        <v>340</v>
      </c>
      <c r="D71" s="54">
        <f t="shared" si="15"/>
        <v>340</v>
      </c>
      <c r="E71" s="55">
        <v>1.32217081</v>
      </c>
      <c r="F71" s="59">
        <f t="shared" si="17"/>
        <v>336.8945838749882</v>
      </c>
      <c r="G71" s="55">
        <f t="shared" si="16"/>
        <v>1.32217081</v>
      </c>
      <c r="H71" s="54"/>
      <c r="I71" s="12"/>
      <c r="J71" s="55"/>
      <c r="P71" s="103">
        <f t="shared" si="18"/>
        <v>331.8945838749882</v>
      </c>
      <c r="Q71" s="145">
        <f t="shared" si="19"/>
        <v>-0.92182509099999987</v>
      </c>
    </row>
    <row r="72" spans="1:17" ht="15.75" thickBot="1" x14ac:dyDescent="0.3">
      <c r="A72" t="s">
        <v>74</v>
      </c>
      <c r="B72">
        <v>345</v>
      </c>
      <c r="D72" s="54">
        <f t="shared" si="15"/>
        <v>345</v>
      </c>
      <c r="E72" s="55">
        <v>1.32217081</v>
      </c>
      <c r="F72" s="59">
        <f t="shared" si="17"/>
        <v>341.8945838749882</v>
      </c>
      <c r="G72" s="55">
        <f t="shared" si="16"/>
        <v>1.32217081</v>
      </c>
      <c r="H72" s="54"/>
      <c r="I72" s="12"/>
      <c r="J72" s="55"/>
      <c r="P72" s="103">
        <f t="shared" si="18"/>
        <v>336.8945838749882</v>
      </c>
      <c r="Q72" s="145">
        <f t="shared" si="19"/>
        <v>-0.92182509099999987</v>
      </c>
    </row>
    <row r="73" spans="1:17" ht="15.75" thickBot="1" x14ac:dyDescent="0.3">
      <c r="A73" t="s">
        <v>75</v>
      </c>
      <c r="B73">
        <v>350</v>
      </c>
      <c r="D73" s="54">
        <f t="shared" si="15"/>
        <v>350</v>
      </c>
      <c r="E73" s="55">
        <v>1.32217081</v>
      </c>
      <c r="F73" s="59">
        <f t="shared" si="17"/>
        <v>346.8945838749882</v>
      </c>
      <c r="G73" s="55">
        <f t="shared" si="16"/>
        <v>1.32217081</v>
      </c>
      <c r="H73" s="54"/>
      <c r="I73" s="12"/>
      <c r="J73" s="55"/>
      <c r="P73" s="103">
        <f t="shared" si="18"/>
        <v>341.8945838749882</v>
      </c>
      <c r="Q73" s="145">
        <f t="shared" si="19"/>
        <v>-0.92182509099999987</v>
      </c>
    </row>
    <row r="74" spans="1:17" ht="15.75" thickBot="1" x14ac:dyDescent="0.3">
      <c r="A74" t="s">
        <v>76</v>
      </c>
      <c r="B74">
        <v>355</v>
      </c>
      <c r="D74" s="54">
        <f t="shared" si="15"/>
        <v>355</v>
      </c>
      <c r="E74" s="55">
        <v>1.32217081</v>
      </c>
      <c r="F74" s="59">
        <f t="shared" si="17"/>
        <v>351.8945838749882</v>
      </c>
      <c r="G74" s="55">
        <f t="shared" si="16"/>
        <v>1.32217081</v>
      </c>
      <c r="H74" s="54"/>
      <c r="I74" s="12"/>
      <c r="J74" s="55"/>
      <c r="P74" s="103">
        <f t="shared" si="18"/>
        <v>346.8945838749882</v>
      </c>
      <c r="Q74" s="145">
        <f t="shared" si="19"/>
        <v>-0.92182509099999987</v>
      </c>
    </row>
    <row r="75" spans="1:17" ht="15.75" thickBot="1" x14ac:dyDescent="0.3">
      <c r="A75" t="s">
        <v>77</v>
      </c>
      <c r="B75">
        <v>360</v>
      </c>
      <c r="D75" s="56">
        <f t="shared" si="15"/>
        <v>360</v>
      </c>
      <c r="E75" s="57">
        <v>1.32217081</v>
      </c>
      <c r="F75" s="60">
        <f t="shared" si="17"/>
        <v>356.8945838749882</v>
      </c>
      <c r="G75" s="55">
        <f t="shared" si="16"/>
        <v>1.32217081</v>
      </c>
      <c r="H75" s="56"/>
      <c r="I75" s="12"/>
      <c r="J75" s="55"/>
      <c r="P75" s="103">
        <f t="shared" si="18"/>
        <v>351.8945838749882</v>
      </c>
      <c r="Q75" s="145">
        <f t="shared" si="19"/>
        <v>-0.92182509099999987</v>
      </c>
    </row>
    <row r="76" spans="1:17" ht="15.75" thickBot="1" x14ac:dyDescent="0.3">
      <c r="P76" s="103">
        <f t="shared" si="18"/>
        <v>356.8945838749882</v>
      </c>
      <c r="Q76" s="145">
        <f t="shared" si="19"/>
        <v>-0.92182509099999987</v>
      </c>
    </row>
  </sheetData>
  <phoneticPr fontId="9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FC97-FD69-49E1-9339-E375AB144DE0}">
  <dimension ref="A1:Z76"/>
  <sheetViews>
    <sheetView topLeftCell="A21" workbookViewId="0">
      <selection activeCell="P3" sqref="P3:Q4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183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MAX(J4:J27)</f>
        <v>0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ht="23.25" x14ac:dyDescent="0.35">
      <c r="A2" s="51"/>
      <c r="B2" s="1"/>
      <c r="C2" s="1"/>
      <c r="D2" s="62"/>
      <c r="E2" s="1"/>
      <c r="F2" s="62"/>
      <c r="G2" s="58"/>
      <c r="H2" s="62"/>
      <c r="I2" s="1"/>
      <c r="J2" s="58"/>
      <c r="K2" s="1"/>
      <c r="L2" s="1"/>
      <c r="M2" s="79" t="s">
        <v>328</v>
      </c>
      <c r="N2" s="72"/>
      <c r="O2" s="73"/>
      <c r="P2" s="71" t="s">
        <v>325</v>
      </c>
      <c r="Q2" s="73"/>
      <c r="R2" s="73"/>
      <c r="S2" s="73"/>
      <c r="T2" s="73"/>
      <c r="U2" s="73">
        <v>-2</v>
      </c>
      <c r="V2" s="73">
        <f t="shared" ref="V2:V26" si="0">N3</f>
        <v>0</v>
      </c>
      <c r="W2" s="73"/>
      <c r="X2" s="73">
        <v>-2</v>
      </c>
      <c r="Y2" s="74">
        <f t="shared" ref="Y2:Y26" si="1">V2</f>
        <v>0</v>
      </c>
      <c r="Z2" s="80"/>
    </row>
    <row r="3" spans="1:26" x14ac:dyDescent="0.25">
      <c r="A3" s="1" t="s">
        <v>175</v>
      </c>
      <c r="B3" s="109"/>
      <c r="C3" s="109"/>
      <c r="D3" s="110"/>
      <c r="E3" s="109"/>
      <c r="F3" s="110"/>
      <c r="G3" s="111"/>
      <c r="H3" s="62" t="s">
        <v>175</v>
      </c>
      <c r="I3" s="1">
        <v>-5</v>
      </c>
      <c r="J3" s="58">
        <v>0</v>
      </c>
      <c r="K3" s="1"/>
      <c r="L3" s="1"/>
      <c r="M3" s="81">
        <f t="shared" ref="M3:M27" si="2">I3</f>
        <v>-5</v>
      </c>
      <c r="N3" s="73">
        <v>0</v>
      </c>
      <c r="O3" s="73"/>
      <c r="P3" s="74">
        <f t="shared" ref="P3:P38" si="3">F4</f>
        <v>0</v>
      </c>
      <c r="Q3" s="73">
        <f t="shared" ref="Q3:Q38" si="4">G4-$S$1</f>
        <v>0</v>
      </c>
      <c r="R3" s="73"/>
      <c r="S3" s="73"/>
      <c r="T3" s="73"/>
      <c r="U3" s="73">
        <v>0</v>
      </c>
      <c r="V3" s="73">
        <f t="shared" si="0"/>
        <v>0</v>
      </c>
      <c r="W3" s="73"/>
      <c r="X3" s="74">
        <f t="shared" ref="X3:X26" si="5">M4-MIN($M$4:$M$56)</f>
        <v>0</v>
      </c>
      <c r="Y3" s="74">
        <f t="shared" si="1"/>
        <v>0</v>
      </c>
      <c r="Z3" s="80"/>
    </row>
    <row r="4" spans="1:26" x14ac:dyDescent="0.25">
      <c r="A4" t="s">
        <v>5</v>
      </c>
      <c r="B4">
        <v>0</v>
      </c>
      <c r="D4" s="54">
        <f>B4</f>
        <v>0</v>
      </c>
      <c r="E4">
        <v>0</v>
      </c>
      <c r="F4" s="54">
        <v>0</v>
      </c>
      <c r="G4" s="55">
        <f>E4</f>
        <v>0</v>
      </c>
      <c r="H4" s="54" t="s">
        <v>103</v>
      </c>
      <c r="I4" s="12">
        <f>F4</f>
        <v>0</v>
      </c>
      <c r="J4" s="55">
        <f>G4</f>
        <v>0</v>
      </c>
      <c r="M4" s="81">
        <f t="shared" si="2"/>
        <v>0</v>
      </c>
      <c r="N4" s="73">
        <f t="shared" ref="N4:N27" si="6">J4-$S$1</f>
        <v>0</v>
      </c>
      <c r="O4" s="73"/>
      <c r="P4" s="74">
        <f t="shared" si="3"/>
        <v>4.9959983987187186</v>
      </c>
      <c r="Q4" s="73">
        <f t="shared" si="4"/>
        <v>-0.2</v>
      </c>
      <c r="R4" s="73"/>
      <c r="S4" s="73"/>
      <c r="T4" s="73"/>
      <c r="U4" s="73">
        <v>5</v>
      </c>
      <c r="V4" s="73">
        <f t="shared" si="0"/>
        <v>-0.2</v>
      </c>
      <c r="W4" s="73"/>
      <c r="X4" s="74">
        <f t="shared" si="5"/>
        <v>4.9959983987187186</v>
      </c>
      <c r="Y4" s="74">
        <f t="shared" si="1"/>
        <v>-0.2</v>
      </c>
      <c r="Z4" s="80"/>
    </row>
    <row r="5" spans="1:26" x14ac:dyDescent="0.25">
      <c r="A5" t="s">
        <v>6</v>
      </c>
      <c r="B5">
        <v>5</v>
      </c>
      <c r="D5" s="54">
        <f t="shared" ref="D5:D51" si="7">B5</f>
        <v>5</v>
      </c>
      <c r="E5">
        <v>-0.2</v>
      </c>
      <c r="F5" s="59">
        <f>F4+(SQRT((D5-D4)^2-(E5-E4)^2))</f>
        <v>4.9959983987187186</v>
      </c>
      <c r="G5" s="55">
        <f t="shared" ref="G5:G51" si="8">E5</f>
        <v>-0.2</v>
      </c>
      <c r="H5" s="54" t="s">
        <v>104</v>
      </c>
      <c r="I5" s="12">
        <f t="shared" ref="I5:I27" si="9">F5</f>
        <v>4.9959983987187186</v>
      </c>
      <c r="J5" s="55">
        <f t="shared" ref="J5:J27" si="10">G5</f>
        <v>-0.2</v>
      </c>
      <c r="M5" s="81">
        <f t="shared" si="2"/>
        <v>4.9959983987187186</v>
      </c>
      <c r="N5" s="73">
        <f t="shared" si="6"/>
        <v>-0.2</v>
      </c>
      <c r="O5" s="73"/>
      <c r="P5" s="74">
        <f t="shared" si="3"/>
        <v>9.9949982986987145</v>
      </c>
      <c r="Q5" s="73">
        <f t="shared" si="4"/>
        <v>-0.3</v>
      </c>
      <c r="R5" s="73"/>
      <c r="S5" s="73"/>
      <c r="T5" s="73"/>
      <c r="U5" s="73">
        <v>10</v>
      </c>
      <c r="V5" s="73">
        <f t="shared" si="0"/>
        <v>-0.3</v>
      </c>
      <c r="W5" s="73"/>
      <c r="X5" s="74">
        <f t="shared" si="5"/>
        <v>9.9949982986987145</v>
      </c>
      <c r="Y5" s="74">
        <f t="shared" si="1"/>
        <v>-0.3</v>
      </c>
      <c r="Z5" s="80"/>
    </row>
    <row r="6" spans="1:26" x14ac:dyDescent="0.25">
      <c r="A6" t="s">
        <v>7</v>
      </c>
      <c r="B6">
        <v>10</v>
      </c>
      <c r="D6" s="54">
        <f t="shared" si="7"/>
        <v>10</v>
      </c>
      <c r="E6">
        <v>-0.3</v>
      </c>
      <c r="F6" s="59">
        <f t="shared" ref="F6:F51" si="11">F5+(SQRT((D6-D5)^2-(E6-E5)^2))</f>
        <v>9.9949982986987145</v>
      </c>
      <c r="G6" s="55">
        <f t="shared" si="8"/>
        <v>-0.3</v>
      </c>
      <c r="H6" s="54" t="s">
        <v>105</v>
      </c>
      <c r="I6" s="12">
        <f t="shared" si="9"/>
        <v>9.9949982986987145</v>
      </c>
      <c r="J6" s="55">
        <f t="shared" si="10"/>
        <v>-0.3</v>
      </c>
      <c r="M6" s="81">
        <f t="shared" si="2"/>
        <v>9.9949982986987145</v>
      </c>
      <c r="N6" s="73">
        <f t="shared" si="6"/>
        <v>-0.3</v>
      </c>
      <c r="O6" s="73"/>
      <c r="P6" s="74">
        <f t="shared" si="3"/>
        <v>14.990996697417433</v>
      </c>
      <c r="Q6" s="73">
        <f t="shared" si="4"/>
        <v>-0.5</v>
      </c>
      <c r="R6" s="73"/>
      <c r="S6" s="73"/>
      <c r="T6" s="73"/>
      <c r="U6" s="73">
        <v>15</v>
      </c>
      <c r="V6" s="73">
        <f t="shared" si="0"/>
        <v>-0.5</v>
      </c>
      <c r="W6" s="73"/>
      <c r="X6" s="74">
        <f t="shared" si="5"/>
        <v>14.990996697417433</v>
      </c>
      <c r="Y6" s="74">
        <f t="shared" si="1"/>
        <v>-0.5</v>
      </c>
      <c r="Z6" s="80"/>
    </row>
    <row r="7" spans="1:26" x14ac:dyDescent="0.25">
      <c r="A7" t="s">
        <v>8</v>
      </c>
      <c r="B7">
        <v>15</v>
      </c>
      <c r="D7" s="54">
        <f t="shared" si="7"/>
        <v>15</v>
      </c>
      <c r="E7">
        <v>-0.5</v>
      </c>
      <c r="F7" s="59">
        <f t="shared" si="11"/>
        <v>14.990996697417433</v>
      </c>
      <c r="G7" s="55">
        <f t="shared" si="8"/>
        <v>-0.5</v>
      </c>
      <c r="H7" s="54" t="s">
        <v>106</v>
      </c>
      <c r="I7" s="12">
        <f t="shared" si="9"/>
        <v>14.990996697417433</v>
      </c>
      <c r="J7" s="55">
        <f t="shared" si="10"/>
        <v>-0.5</v>
      </c>
      <c r="M7" s="81">
        <f t="shared" si="2"/>
        <v>14.990996697417433</v>
      </c>
      <c r="N7" s="73">
        <f t="shared" si="6"/>
        <v>-0.5</v>
      </c>
      <c r="O7" s="73"/>
      <c r="P7" s="74">
        <f t="shared" si="3"/>
        <v>19.986995096136152</v>
      </c>
      <c r="Q7" s="73">
        <f t="shared" si="4"/>
        <v>-0.7</v>
      </c>
      <c r="R7" s="73"/>
      <c r="S7" s="73"/>
      <c r="T7" s="73"/>
      <c r="U7" s="73">
        <v>20</v>
      </c>
      <c r="V7" s="73">
        <f t="shared" si="0"/>
        <v>-0.7</v>
      </c>
      <c r="W7" s="73"/>
      <c r="X7" s="74">
        <f t="shared" si="5"/>
        <v>19.986995096136152</v>
      </c>
      <c r="Y7" s="74">
        <f t="shared" si="1"/>
        <v>-0.7</v>
      </c>
      <c r="Z7" s="80"/>
    </row>
    <row r="8" spans="1:26" x14ac:dyDescent="0.25">
      <c r="A8" t="s">
        <v>9</v>
      </c>
      <c r="B8">
        <v>20</v>
      </c>
      <c r="D8" s="54">
        <f t="shared" si="7"/>
        <v>20</v>
      </c>
      <c r="E8">
        <v>-0.7</v>
      </c>
      <c r="F8" s="59">
        <f t="shared" si="11"/>
        <v>19.986995096136152</v>
      </c>
      <c r="G8" s="55">
        <f t="shared" si="8"/>
        <v>-0.7</v>
      </c>
      <c r="H8" s="54" t="s">
        <v>107</v>
      </c>
      <c r="I8" s="12">
        <f t="shared" si="9"/>
        <v>19.986995096136152</v>
      </c>
      <c r="J8" s="55">
        <f t="shared" si="10"/>
        <v>-0.7</v>
      </c>
      <c r="M8" s="81">
        <f t="shared" si="2"/>
        <v>19.986995096136152</v>
      </c>
      <c r="N8" s="73">
        <f t="shared" si="6"/>
        <v>-0.7</v>
      </c>
      <c r="O8" s="73"/>
      <c r="P8" s="74">
        <f t="shared" si="3"/>
        <v>24.985994996116148</v>
      </c>
      <c r="Q8" s="73">
        <f t="shared" si="4"/>
        <v>-0.8</v>
      </c>
      <c r="R8" s="73"/>
      <c r="S8" s="73"/>
      <c r="T8" s="73"/>
      <c r="U8" s="73">
        <v>25</v>
      </c>
      <c r="V8" s="73">
        <f t="shared" si="0"/>
        <v>-0.8</v>
      </c>
      <c r="W8" s="73"/>
      <c r="X8" s="74">
        <f t="shared" si="5"/>
        <v>24.985994996116148</v>
      </c>
      <c r="Y8" s="74">
        <f t="shared" si="1"/>
        <v>-0.8</v>
      </c>
      <c r="Z8" s="80"/>
    </row>
    <row r="9" spans="1:26" x14ac:dyDescent="0.25">
      <c r="A9" t="s">
        <v>10</v>
      </c>
      <c r="B9">
        <v>25</v>
      </c>
      <c r="D9" s="54">
        <f t="shared" si="7"/>
        <v>25</v>
      </c>
      <c r="E9">
        <v>-0.8</v>
      </c>
      <c r="F9" s="59">
        <f t="shared" si="11"/>
        <v>24.985994996116148</v>
      </c>
      <c r="G9" s="55">
        <f t="shared" si="8"/>
        <v>-0.8</v>
      </c>
      <c r="H9" s="54" t="s">
        <v>108</v>
      </c>
      <c r="I9" s="12">
        <f t="shared" si="9"/>
        <v>24.985994996116148</v>
      </c>
      <c r="J9" s="55">
        <f t="shared" si="10"/>
        <v>-0.8</v>
      </c>
      <c r="M9" s="81">
        <f t="shared" si="2"/>
        <v>24.985994996116148</v>
      </c>
      <c r="N9" s="73">
        <f t="shared" si="6"/>
        <v>-0.8</v>
      </c>
      <c r="O9" s="73"/>
      <c r="P9" s="74">
        <f t="shared" si="3"/>
        <v>29.984994896096143</v>
      </c>
      <c r="Q9" s="73">
        <f t="shared" si="4"/>
        <v>-0.9</v>
      </c>
      <c r="R9" s="73"/>
      <c r="S9" s="73"/>
      <c r="T9" s="73"/>
      <c r="U9" s="73">
        <v>30</v>
      </c>
      <c r="V9" s="73">
        <f t="shared" si="0"/>
        <v>-0.9</v>
      </c>
      <c r="W9" s="73"/>
      <c r="X9" s="74">
        <f t="shared" si="5"/>
        <v>29.984994896096143</v>
      </c>
      <c r="Y9" s="74">
        <f t="shared" si="1"/>
        <v>-0.9</v>
      </c>
      <c r="Z9" s="80"/>
    </row>
    <row r="10" spans="1:26" x14ac:dyDescent="0.25">
      <c r="A10" t="s">
        <v>11</v>
      </c>
      <c r="B10">
        <v>30</v>
      </c>
      <c r="D10" s="54">
        <f t="shared" si="7"/>
        <v>30</v>
      </c>
      <c r="E10">
        <v>-0.9</v>
      </c>
      <c r="F10" s="59">
        <f t="shared" si="11"/>
        <v>29.984994896096143</v>
      </c>
      <c r="G10" s="55">
        <f t="shared" si="8"/>
        <v>-0.9</v>
      </c>
      <c r="H10" s="54" t="s">
        <v>109</v>
      </c>
      <c r="I10" s="12">
        <f t="shared" si="9"/>
        <v>29.984994896096143</v>
      </c>
      <c r="J10" s="55">
        <f t="shared" si="10"/>
        <v>-0.9</v>
      </c>
      <c r="M10" s="81">
        <f t="shared" si="2"/>
        <v>29.984994896096143</v>
      </c>
      <c r="N10" s="73">
        <f t="shared" si="6"/>
        <v>-0.9</v>
      </c>
      <c r="O10" s="73"/>
      <c r="P10" s="74">
        <f t="shared" si="3"/>
        <v>34.98499489609614</v>
      </c>
      <c r="Q10" s="73">
        <f t="shared" si="4"/>
        <v>-0.9</v>
      </c>
      <c r="R10" s="73"/>
      <c r="S10" s="73"/>
      <c r="T10" s="73"/>
      <c r="U10" s="73">
        <v>35</v>
      </c>
      <c r="V10" s="73">
        <f t="shared" si="0"/>
        <v>-0.9</v>
      </c>
      <c r="W10" s="73"/>
      <c r="X10" s="74">
        <f t="shared" si="5"/>
        <v>34.98499489609614</v>
      </c>
      <c r="Y10" s="74">
        <f t="shared" si="1"/>
        <v>-0.9</v>
      </c>
      <c r="Z10" s="80"/>
    </row>
    <row r="11" spans="1:26" x14ac:dyDescent="0.25">
      <c r="A11" t="s">
        <v>12</v>
      </c>
      <c r="B11">
        <v>35</v>
      </c>
      <c r="D11" s="54">
        <f t="shared" si="7"/>
        <v>35</v>
      </c>
      <c r="E11">
        <v>-0.9</v>
      </c>
      <c r="F11" s="59">
        <f t="shared" si="11"/>
        <v>34.98499489609614</v>
      </c>
      <c r="G11" s="55">
        <f t="shared" si="8"/>
        <v>-0.9</v>
      </c>
      <c r="H11" s="54" t="s">
        <v>110</v>
      </c>
      <c r="I11" s="12">
        <f t="shared" si="9"/>
        <v>34.98499489609614</v>
      </c>
      <c r="J11" s="55">
        <f t="shared" si="10"/>
        <v>-0.9</v>
      </c>
      <c r="M11" s="81">
        <f t="shared" si="2"/>
        <v>34.98499489609614</v>
      </c>
      <c r="N11" s="73">
        <f t="shared" si="6"/>
        <v>-0.9</v>
      </c>
      <c r="O11" s="73"/>
      <c r="P11" s="74">
        <f t="shared" si="3"/>
        <v>39.98499489609614</v>
      </c>
      <c r="Q11" s="73">
        <f t="shared" si="4"/>
        <v>-0.9</v>
      </c>
      <c r="R11" s="73"/>
      <c r="S11" s="73"/>
      <c r="T11" s="73"/>
      <c r="U11" s="73">
        <v>40</v>
      </c>
      <c r="V11" s="73">
        <f t="shared" si="0"/>
        <v>-0.9</v>
      </c>
      <c r="W11" s="73"/>
      <c r="X11" s="74">
        <f t="shared" si="5"/>
        <v>39.98499489609614</v>
      </c>
      <c r="Y11" s="74">
        <f t="shared" si="1"/>
        <v>-0.9</v>
      </c>
      <c r="Z11" s="80"/>
    </row>
    <row r="12" spans="1:26" x14ac:dyDescent="0.25">
      <c r="A12" t="s">
        <v>13</v>
      </c>
      <c r="B12">
        <v>40</v>
      </c>
      <c r="D12" s="54">
        <f t="shared" si="7"/>
        <v>40</v>
      </c>
      <c r="E12">
        <v>-0.9</v>
      </c>
      <c r="F12" s="59">
        <f t="shared" si="11"/>
        <v>39.98499489609614</v>
      </c>
      <c r="G12" s="55">
        <f t="shared" si="8"/>
        <v>-0.9</v>
      </c>
      <c r="H12" s="54" t="s">
        <v>111</v>
      </c>
      <c r="I12" s="12">
        <f t="shared" si="9"/>
        <v>39.98499489609614</v>
      </c>
      <c r="J12" s="55">
        <f t="shared" si="10"/>
        <v>-0.9</v>
      </c>
      <c r="M12" s="81">
        <f t="shared" si="2"/>
        <v>39.98499489609614</v>
      </c>
      <c r="N12" s="73">
        <f t="shared" si="6"/>
        <v>-0.9</v>
      </c>
      <c r="O12" s="73"/>
      <c r="P12" s="74">
        <f t="shared" si="3"/>
        <v>44.983994796076132</v>
      </c>
      <c r="Q12" s="73">
        <f t="shared" si="4"/>
        <v>-1</v>
      </c>
      <c r="R12" s="73"/>
      <c r="S12" s="73"/>
      <c r="T12" s="73"/>
      <c r="U12" s="73">
        <v>45</v>
      </c>
      <c r="V12" s="73">
        <f t="shared" si="0"/>
        <v>-1</v>
      </c>
      <c r="W12" s="73"/>
      <c r="X12" s="74">
        <f t="shared" si="5"/>
        <v>44.983994796076132</v>
      </c>
      <c r="Y12" s="74">
        <f t="shared" si="1"/>
        <v>-1</v>
      </c>
      <c r="Z12" s="80"/>
    </row>
    <row r="13" spans="1:26" x14ac:dyDescent="0.25">
      <c r="A13" t="s">
        <v>14</v>
      </c>
      <c r="B13">
        <v>45</v>
      </c>
      <c r="D13" s="54">
        <f t="shared" si="7"/>
        <v>45</v>
      </c>
      <c r="E13">
        <v>-1</v>
      </c>
      <c r="F13" s="59">
        <f t="shared" si="11"/>
        <v>44.983994796076132</v>
      </c>
      <c r="G13" s="55">
        <f t="shared" si="8"/>
        <v>-1</v>
      </c>
      <c r="H13" s="54" t="s">
        <v>112</v>
      </c>
      <c r="I13" s="12">
        <f t="shared" si="9"/>
        <v>44.983994796076132</v>
      </c>
      <c r="J13" s="55">
        <f t="shared" si="10"/>
        <v>-1</v>
      </c>
      <c r="M13" s="81">
        <f t="shared" si="2"/>
        <v>44.983994796076132</v>
      </c>
      <c r="N13" s="73">
        <f t="shared" si="6"/>
        <v>-1</v>
      </c>
      <c r="O13" s="73"/>
      <c r="P13" s="74">
        <f t="shared" si="3"/>
        <v>49.983994796076132</v>
      </c>
      <c r="Q13" s="73">
        <f t="shared" si="4"/>
        <v>-1</v>
      </c>
      <c r="R13" s="73"/>
      <c r="S13" s="73"/>
      <c r="T13" s="73"/>
      <c r="U13" s="73">
        <v>50</v>
      </c>
      <c r="V13" s="73">
        <f t="shared" si="0"/>
        <v>-1</v>
      </c>
      <c r="W13" s="73"/>
      <c r="X13" s="74">
        <f t="shared" si="5"/>
        <v>49.983994796076132</v>
      </c>
      <c r="Y13" s="74">
        <f t="shared" si="1"/>
        <v>-1</v>
      </c>
      <c r="Z13" s="80"/>
    </row>
    <row r="14" spans="1:26" x14ac:dyDescent="0.25">
      <c r="A14" t="s">
        <v>15</v>
      </c>
      <c r="B14">
        <v>50</v>
      </c>
      <c r="D14" s="54">
        <f t="shared" si="7"/>
        <v>50</v>
      </c>
      <c r="E14">
        <v>-1</v>
      </c>
      <c r="F14" s="59">
        <f t="shared" si="11"/>
        <v>49.983994796076132</v>
      </c>
      <c r="G14" s="55">
        <f t="shared" si="8"/>
        <v>-1</v>
      </c>
      <c r="H14" s="54" t="s">
        <v>113</v>
      </c>
      <c r="I14" s="12">
        <f t="shared" si="9"/>
        <v>49.983994796076132</v>
      </c>
      <c r="J14" s="55">
        <f t="shared" si="10"/>
        <v>-1</v>
      </c>
      <c r="M14" s="81">
        <f t="shared" si="2"/>
        <v>49.983994796076132</v>
      </c>
      <c r="N14" s="73">
        <f t="shared" si="6"/>
        <v>-1</v>
      </c>
      <c r="O14" s="73"/>
      <c r="P14" s="74">
        <f t="shared" si="3"/>
        <v>54.982994696056124</v>
      </c>
      <c r="Q14" s="73">
        <f t="shared" si="4"/>
        <v>-1.1000000000000001</v>
      </c>
      <c r="R14" s="73"/>
      <c r="S14" s="73"/>
      <c r="T14" s="73"/>
      <c r="U14" s="73">
        <v>55</v>
      </c>
      <c r="V14" s="73">
        <f t="shared" si="0"/>
        <v>-1.1000000000000001</v>
      </c>
      <c r="W14" s="73"/>
      <c r="X14" s="74">
        <f t="shared" si="5"/>
        <v>54.982994696056124</v>
      </c>
      <c r="Y14" s="74">
        <f t="shared" si="1"/>
        <v>-1.1000000000000001</v>
      </c>
      <c r="Z14" s="80"/>
    </row>
    <row r="15" spans="1:26" x14ac:dyDescent="0.25">
      <c r="A15" t="s">
        <v>16</v>
      </c>
      <c r="B15">
        <v>55</v>
      </c>
      <c r="D15" s="54">
        <f t="shared" si="7"/>
        <v>55</v>
      </c>
      <c r="E15">
        <v>-1.1000000000000001</v>
      </c>
      <c r="F15" s="59">
        <f t="shared" si="11"/>
        <v>54.982994696056124</v>
      </c>
      <c r="G15" s="55">
        <f t="shared" si="8"/>
        <v>-1.1000000000000001</v>
      </c>
      <c r="H15" s="54" t="s">
        <v>114</v>
      </c>
      <c r="I15" s="12">
        <f t="shared" si="9"/>
        <v>54.982994696056124</v>
      </c>
      <c r="J15" s="55">
        <f t="shared" si="10"/>
        <v>-1.1000000000000001</v>
      </c>
      <c r="M15" s="81">
        <f t="shared" si="2"/>
        <v>54.982994696056124</v>
      </c>
      <c r="N15" s="73">
        <f t="shared" si="6"/>
        <v>-1.1000000000000001</v>
      </c>
      <c r="O15" s="73"/>
      <c r="P15" s="74">
        <f t="shared" si="3"/>
        <v>59.981994596036117</v>
      </c>
      <c r="Q15" s="73">
        <f t="shared" si="4"/>
        <v>-1.2</v>
      </c>
      <c r="R15" s="73"/>
      <c r="S15" s="73"/>
      <c r="T15" s="73"/>
      <c r="U15" s="73">
        <v>60</v>
      </c>
      <c r="V15" s="73">
        <f t="shared" si="0"/>
        <v>-1.2</v>
      </c>
      <c r="W15" s="73"/>
      <c r="X15" s="74">
        <f t="shared" si="5"/>
        <v>59.981994596036117</v>
      </c>
      <c r="Y15" s="74">
        <f t="shared" si="1"/>
        <v>-1.2</v>
      </c>
      <c r="Z15" s="80"/>
    </row>
    <row r="16" spans="1:26" x14ac:dyDescent="0.25">
      <c r="A16" t="s">
        <v>17</v>
      </c>
      <c r="B16">
        <v>60</v>
      </c>
      <c r="D16" s="54">
        <f t="shared" si="7"/>
        <v>60</v>
      </c>
      <c r="E16">
        <v>-1.2</v>
      </c>
      <c r="F16" s="59">
        <f t="shared" si="11"/>
        <v>59.981994596036117</v>
      </c>
      <c r="G16" s="55">
        <f t="shared" si="8"/>
        <v>-1.2</v>
      </c>
      <c r="H16" s="54" t="s">
        <v>115</v>
      </c>
      <c r="I16" s="12">
        <f t="shared" si="9"/>
        <v>59.981994596036117</v>
      </c>
      <c r="J16" s="55">
        <f t="shared" si="10"/>
        <v>-1.2</v>
      </c>
      <c r="M16" s="81">
        <f t="shared" si="2"/>
        <v>59.981994596036117</v>
      </c>
      <c r="N16" s="73">
        <f t="shared" si="6"/>
        <v>-1.2</v>
      </c>
      <c r="O16" s="73"/>
      <c r="P16" s="74">
        <f t="shared" si="3"/>
        <v>64.981994596036117</v>
      </c>
      <c r="Q16" s="73">
        <f t="shared" si="4"/>
        <v>-1.2</v>
      </c>
      <c r="R16" s="73"/>
      <c r="S16" s="73"/>
      <c r="T16" s="73"/>
      <c r="U16" s="73">
        <v>65</v>
      </c>
      <c r="V16" s="73">
        <f t="shared" si="0"/>
        <v>-1.2</v>
      </c>
      <c r="W16" s="73"/>
      <c r="X16" s="74">
        <f t="shared" si="5"/>
        <v>64.981994596036117</v>
      </c>
      <c r="Y16" s="74">
        <f t="shared" si="1"/>
        <v>-1.2</v>
      </c>
      <c r="Z16" s="80"/>
    </row>
    <row r="17" spans="1:26" x14ac:dyDescent="0.25">
      <c r="A17" t="s">
        <v>18</v>
      </c>
      <c r="B17">
        <v>65</v>
      </c>
      <c r="D17" s="54">
        <f t="shared" si="7"/>
        <v>65</v>
      </c>
      <c r="E17">
        <v>-1.2</v>
      </c>
      <c r="F17" s="59">
        <f t="shared" si="11"/>
        <v>64.981994596036117</v>
      </c>
      <c r="G17" s="55">
        <f t="shared" si="8"/>
        <v>-1.2</v>
      </c>
      <c r="H17" s="54" t="s">
        <v>116</v>
      </c>
      <c r="I17" s="12">
        <f t="shared" si="9"/>
        <v>64.981994596036117</v>
      </c>
      <c r="J17" s="55">
        <f t="shared" si="10"/>
        <v>-1.2</v>
      </c>
      <c r="M17" s="81">
        <f t="shared" si="2"/>
        <v>64.981994596036117</v>
      </c>
      <c r="N17" s="73">
        <f t="shared" si="6"/>
        <v>-1.2</v>
      </c>
      <c r="O17" s="73"/>
      <c r="P17" s="74">
        <f t="shared" si="3"/>
        <v>69.981994596036117</v>
      </c>
      <c r="Q17" s="73">
        <f t="shared" si="4"/>
        <v>-1.2</v>
      </c>
      <c r="R17" s="73"/>
      <c r="S17" s="73"/>
      <c r="T17" s="73"/>
      <c r="U17" s="73">
        <v>70</v>
      </c>
      <c r="V17" s="73">
        <f t="shared" si="0"/>
        <v>-1.2</v>
      </c>
      <c r="W17" s="73"/>
      <c r="X17" s="74">
        <f t="shared" si="5"/>
        <v>69.981994596036117</v>
      </c>
      <c r="Y17" s="74">
        <f t="shared" si="1"/>
        <v>-1.2</v>
      </c>
      <c r="Z17" s="80"/>
    </row>
    <row r="18" spans="1:26" x14ac:dyDescent="0.25">
      <c r="A18" t="s">
        <v>19</v>
      </c>
      <c r="B18">
        <v>70</v>
      </c>
      <c r="D18" s="54">
        <f t="shared" si="7"/>
        <v>70</v>
      </c>
      <c r="E18">
        <v>-1.2</v>
      </c>
      <c r="F18" s="59">
        <f t="shared" si="11"/>
        <v>69.981994596036117</v>
      </c>
      <c r="G18" s="55">
        <f t="shared" si="8"/>
        <v>-1.2</v>
      </c>
      <c r="H18" s="54" t="s">
        <v>117</v>
      </c>
      <c r="I18" s="12">
        <f t="shared" si="9"/>
        <v>69.981994596036117</v>
      </c>
      <c r="J18" s="55">
        <f t="shared" si="10"/>
        <v>-1.2</v>
      </c>
      <c r="M18" s="81">
        <f t="shared" si="2"/>
        <v>69.981994596036117</v>
      </c>
      <c r="N18" s="73">
        <f t="shared" si="6"/>
        <v>-1.2</v>
      </c>
      <c r="O18" s="73"/>
      <c r="P18" s="74">
        <f t="shared" si="3"/>
        <v>74.981994596036117</v>
      </c>
      <c r="Q18" s="73">
        <f t="shared" si="4"/>
        <v>-1.2</v>
      </c>
      <c r="R18" s="73"/>
      <c r="S18" s="73"/>
      <c r="T18" s="73"/>
      <c r="U18" s="73">
        <v>75</v>
      </c>
      <c r="V18" s="73">
        <f t="shared" si="0"/>
        <v>-1.2</v>
      </c>
      <c r="W18" s="73"/>
      <c r="X18" s="74">
        <f t="shared" si="5"/>
        <v>74.981994596036117</v>
      </c>
      <c r="Y18" s="74">
        <f t="shared" si="1"/>
        <v>-1.2</v>
      </c>
      <c r="Z18" s="80"/>
    </row>
    <row r="19" spans="1:26" x14ac:dyDescent="0.25">
      <c r="A19" t="s">
        <v>20</v>
      </c>
      <c r="B19">
        <v>75</v>
      </c>
      <c r="D19" s="54">
        <f t="shared" si="7"/>
        <v>75</v>
      </c>
      <c r="E19">
        <v>-1.2</v>
      </c>
      <c r="F19" s="59">
        <f t="shared" si="11"/>
        <v>74.981994596036117</v>
      </c>
      <c r="G19" s="55">
        <f t="shared" si="8"/>
        <v>-1.2</v>
      </c>
      <c r="H19" s="54" t="s">
        <v>118</v>
      </c>
      <c r="I19" s="12">
        <f t="shared" si="9"/>
        <v>74.981994596036117</v>
      </c>
      <c r="J19" s="55">
        <f t="shared" si="10"/>
        <v>-1.2</v>
      </c>
      <c r="M19" s="81">
        <f t="shared" si="2"/>
        <v>74.981994596036117</v>
      </c>
      <c r="N19" s="73">
        <f t="shared" si="6"/>
        <v>-1.2</v>
      </c>
      <c r="O19" s="73"/>
      <c r="P19" s="74">
        <f t="shared" si="3"/>
        <v>79.981994596036117</v>
      </c>
      <c r="Q19" s="73">
        <f t="shared" si="4"/>
        <v>-1.2</v>
      </c>
      <c r="R19" s="73"/>
      <c r="S19" s="73"/>
      <c r="T19" s="73"/>
      <c r="U19" s="73">
        <v>80</v>
      </c>
      <c r="V19" s="73">
        <f t="shared" si="0"/>
        <v>-1.2</v>
      </c>
      <c r="W19" s="73"/>
      <c r="X19" s="74">
        <f t="shared" si="5"/>
        <v>79.981994596036117</v>
      </c>
      <c r="Y19" s="74">
        <f t="shared" si="1"/>
        <v>-1.2</v>
      </c>
      <c r="Z19" s="80"/>
    </row>
    <row r="20" spans="1:26" x14ac:dyDescent="0.25">
      <c r="A20" t="s">
        <v>21</v>
      </c>
      <c r="B20">
        <v>80</v>
      </c>
      <c r="D20" s="54">
        <f t="shared" si="7"/>
        <v>80</v>
      </c>
      <c r="E20">
        <v>-1.2</v>
      </c>
      <c r="F20" s="59">
        <f t="shared" si="11"/>
        <v>79.981994596036117</v>
      </c>
      <c r="G20" s="55">
        <f t="shared" si="8"/>
        <v>-1.2</v>
      </c>
      <c r="H20" s="54" t="s">
        <v>119</v>
      </c>
      <c r="I20" s="12">
        <f t="shared" si="9"/>
        <v>79.981994596036117</v>
      </c>
      <c r="J20" s="55">
        <f t="shared" si="10"/>
        <v>-1.2</v>
      </c>
      <c r="M20" s="81">
        <f t="shared" si="2"/>
        <v>79.981994596036117</v>
      </c>
      <c r="N20" s="73">
        <f t="shared" si="6"/>
        <v>-1.2</v>
      </c>
      <c r="O20" s="73"/>
      <c r="P20" s="74">
        <f t="shared" si="3"/>
        <v>84.980994496016109</v>
      </c>
      <c r="Q20" s="73">
        <f t="shared" si="4"/>
        <v>-1.3</v>
      </c>
      <c r="R20" s="73"/>
      <c r="S20" s="73"/>
      <c r="T20" s="73"/>
      <c r="U20" s="73">
        <v>85</v>
      </c>
      <c r="V20" s="73">
        <f t="shared" si="0"/>
        <v>-1.3</v>
      </c>
      <c r="W20" s="73"/>
      <c r="X20" s="74">
        <f t="shared" si="5"/>
        <v>84.980994496016109</v>
      </c>
      <c r="Y20" s="74">
        <f t="shared" si="1"/>
        <v>-1.3</v>
      </c>
      <c r="Z20" s="80"/>
    </row>
    <row r="21" spans="1:26" x14ac:dyDescent="0.25">
      <c r="A21" t="s">
        <v>22</v>
      </c>
      <c r="B21">
        <v>85</v>
      </c>
      <c r="D21" s="54">
        <f t="shared" si="7"/>
        <v>85</v>
      </c>
      <c r="E21">
        <v>-1.3</v>
      </c>
      <c r="F21" s="59">
        <f t="shared" si="11"/>
        <v>84.980994496016109</v>
      </c>
      <c r="G21" s="55">
        <f t="shared" si="8"/>
        <v>-1.3</v>
      </c>
      <c r="H21" s="54" t="s">
        <v>120</v>
      </c>
      <c r="I21" s="12">
        <f t="shared" si="9"/>
        <v>84.980994496016109</v>
      </c>
      <c r="J21" s="55">
        <f t="shared" si="10"/>
        <v>-1.3</v>
      </c>
      <c r="M21" s="81">
        <f t="shared" si="2"/>
        <v>84.980994496016109</v>
      </c>
      <c r="N21" s="73">
        <f t="shared" si="6"/>
        <v>-1.3</v>
      </c>
      <c r="O21" s="73"/>
      <c r="P21" s="74">
        <f t="shared" si="3"/>
        <v>89.979994395996101</v>
      </c>
      <c r="Q21" s="73">
        <f t="shared" si="4"/>
        <v>-1.4</v>
      </c>
      <c r="R21" s="73"/>
      <c r="S21" s="73"/>
      <c r="T21" s="73"/>
      <c r="U21" s="73">
        <v>90</v>
      </c>
      <c r="V21" s="73">
        <f t="shared" si="0"/>
        <v>-1.4</v>
      </c>
      <c r="W21" s="73"/>
      <c r="X21" s="74">
        <f t="shared" si="5"/>
        <v>89.979994395996101</v>
      </c>
      <c r="Y21" s="74">
        <f t="shared" si="1"/>
        <v>-1.4</v>
      </c>
      <c r="Z21" s="80"/>
    </row>
    <row r="22" spans="1:26" x14ac:dyDescent="0.25">
      <c r="A22" t="s">
        <v>23</v>
      </c>
      <c r="B22">
        <v>90</v>
      </c>
      <c r="D22" s="54">
        <f t="shared" si="7"/>
        <v>90</v>
      </c>
      <c r="E22">
        <v>-1.4</v>
      </c>
      <c r="F22" s="59">
        <f t="shared" si="11"/>
        <v>89.979994395996101</v>
      </c>
      <c r="G22" s="55">
        <f t="shared" si="8"/>
        <v>-1.4</v>
      </c>
      <c r="H22" s="54" t="s">
        <v>121</v>
      </c>
      <c r="I22" s="12">
        <f t="shared" si="9"/>
        <v>89.979994395996101</v>
      </c>
      <c r="J22" s="55">
        <f t="shared" si="10"/>
        <v>-1.4</v>
      </c>
      <c r="M22" s="81">
        <f t="shared" si="2"/>
        <v>89.979994395996101</v>
      </c>
      <c r="N22" s="73">
        <f t="shared" si="6"/>
        <v>-1.4</v>
      </c>
      <c r="O22" s="73"/>
      <c r="P22" s="74">
        <f t="shared" si="3"/>
        <v>94.978994295976094</v>
      </c>
      <c r="Q22" s="73">
        <f t="shared" si="4"/>
        <v>-1.5</v>
      </c>
      <c r="R22" s="73"/>
      <c r="S22" s="73"/>
      <c r="T22" s="73"/>
      <c r="U22" s="73">
        <v>95</v>
      </c>
      <c r="V22" s="73">
        <f t="shared" si="0"/>
        <v>-1.5</v>
      </c>
      <c r="W22" s="73"/>
      <c r="X22" s="74">
        <f t="shared" si="5"/>
        <v>94.978994295976094</v>
      </c>
      <c r="Y22" s="74">
        <f t="shared" si="1"/>
        <v>-1.5</v>
      </c>
      <c r="Z22" s="80"/>
    </row>
    <row r="23" spans="1:26" x14ac:dyDescent="0.25">
      <c r="A23" t="s">
        <v>24</v>
      </c>
      <c r="B23">
        <v>95</v>
      </c>
      <c r="D23" s="54">
        <f t="shared" si="7"/>
        <v>95</v>
      </c>
      <c r="E23">
        <v>-1.5</v>
      </c>
      <c r="F23" s="59">
        <f t="shared" si="11"/>
        <v>94.978994295976094</v>
      </c>
      <c r="G23" s="55">
        <f t="shared" si="8"/>
        <v>-1.5</v>
      </c>
      <c r="H23" s="54" t="s">
        <v>122</v>
      </c>
      <c r="I23" s="12">
        <f t="shared" si="9"/>
        <v>94.978994295976094</v>
      </c>
      <c r="J23" s="55">
        <f t="shared" si="10"/>
        <v>-1.5</v>
      </c>
      <c r="M23" s="81">
        <f t="shared" si="2"/>
        <v>94.978994295976094</v>
      </c>
      <c r="N23" s="73">
        <f t="shared" si="6"/>
        <v>-1.5</v>
      </c>
      <c r="O23" s="73"/>
      <c r="P23" s="74">
        <f t="shared" si="3"/>
        <v>99.977994195956086</v>
      </c>
      <c r="Q23" s="73">
        <f t="shared" si="4"/>
        <v>-1.6</v>
      </c>
      <c r="R23" s="73"/>
      <c r="S23" s="73"/>
      <c r="T23" s="73"/>
      <c r="U23" s="73">
        <v>100</v>
      </c>
      <c r="V23" s="73">
        <f t="shared" si="0"/>
        <v>-1.6</v>
      </c>
      <c r="W23" s="73"/>
      <c r="X23" s="74">
        <f t="shared" si="5"/>
        <v>99.977994195956086</v>
      </c>
      <c r="Y23" s="74">
        <f t="shared" si="1"/>
        <v>-1.6</v>
      </c>
      <c r="Z23" s="80"/>
    </row>
    <row r="24" spans="1:26" x14ac:dyDescent="0.25">
      <c r="A24" t="s">
        <v>25</v>
      </c>
      <c r="B24">
        <v>100</v>
      </c>
      <c r="D24" s="54">
        <f t="shared" si="7"/>
        <v>100</v>
      </c>
      <c r="E24">
        <v>-1.6</v>
      </c>
      <c r="F24" s="59">
        <f t="shared" si="11"/>
        <v>99.977994195956086</v>
      </c>
      <c r="G24" s="55">
        <f t="shared" si="8"/>
        <v>-1.6</v>
      </c>
      <c r="H24" s="54" t="s">
        <v>123</v>
      </c>
      <c r="I24" s="12">
        <f t="shared" si="9"/>
        <v>99.977994195956086</v>
      </c>
      <c r="J24" s="55">
        <f t="shared" si="10"/>
        <v>-1.6</v>
      </c>
      <c r="M24" s="81">
        <f t="shared" si="2"/>
        <v>99.977994195956086</v>
      </c>
      <c r="N24" s="73">
        <f t="shared" si="6"/>
        <v>-1.6</v>
      </c>
      <c r="O24" s="73"/>
      <c r="P24" s="74">
        <f t="shared" si="3"/>
        <v>104.97699409593608</v>
      </c>
      <c r="Q24" s="73">
        <f t="shared" si="4"/>
        <v>-1.7</v>
      </c>
      <c r="R24" s="73"/>
      <c r="S24" s="73"/>
      <c r="T24" s="73"/>
      <c r="U24" s="73">
        <v>105</v>
      </c>
      <c r="V24" s="73">
        <f t="shared" si="0"/>
        <v>-1.7</v>
      </c>
      <c r="W24" s="73"/>
      <c r="X24" s="74">
        <f t="shared" si="5"/>
        <v>104.97699409593608</v>
      </c>
      <c r="Y24" s="74">
        <f t="shared" si="1"/>
        <v>-1.7</v>
      </c>
      <c r="Z24" s="80"/>
    </row>
    <row r="25" spans="1:26" x14ac:dyDescent="0.25">
      <c r="A25" t="s">
        <v>26</v>
      </c>
      <c r="B25">
        <v>105</v>
      </c>
      <c r="D25" s="54">
        <f t="shared" si="7"/>
        <v>105</v>
      </c>
      <c r="E25">
        <v>-1.7</v>
      </c>
      <c r="F25" s="59">
        <f t="shared" si="11"/>
        <v>104.97699409593608</v>
      </c>
      <c r="G25" s="55">
        <f t="shared" si="8"/>
        <v>-1.7</v>
      </c>
      <c r="H25" s="54" t="s">
        <v>124</v>
      </c>
      <c r="I25" s="12">
        <f t="shared" si="9"/>
        <v>104.97699409593608</v>
      </c>
      <c r="J25" s="55">
        <f t="shared" si="10"/>
        <v>-1.7</v>
      </c>
      <c r="M25" s="81">
        <f t="shared" si="2"/>
        <v>104.97699409593608</v>
      </c>
      <c r="N25" s="73">
        <f t="shared" si="6"/>
        <v>-1.7</v>
      </c>
      <c r="O25" s="73"/>
      <c r="P25" s="74">
        <f t="shared" si="3"/>
        <v>109.97299249465479</v>
      </c>
      <c r="Q25" s="73">
        <f t="shared" si="4"/>
        <v>-1.9</v>
      </c>
      <c r="R25" s="73"/>
      <c r="S25" s="73"/>
      <c r="T25" s="73"/>
      <c r="U25" s="73">
        <v>110</v>
      </c>
      <c r="V25" s="73">
        <f t="shared" si="0"/>
        <v>-1.9</v>
      </c>
      <c r="W25" s="73"/>
      <c r="X25" s="74">
        <f t="shared" si="5"/>
        <v>109.97299249465479</v>
      </c>
      <c r="Y25" s="74">
        <f t="shared" si="1"/>
        <v>-1.9</v>
      </c>
      <c r="Z25" s="80"/>
    </row>
    <row r="26" spans="1:26" x14ac:dyDescent="0.25">
      <c r="A26" t="s">
        <v>27</v>
      </c>
      <c r="B26">
        <v>110</v>
      </c>
      <c r="D26" s="54">
        <f t="shared" si="7"/>
        <v>110</v>
      </c>
      <c r="E26">
        <v>-1.9</v>
      </c>
      <c r="F26" s="59">
        <f t="shared" si="11"/>
        <v>109.97299249465479</v>
      </c>
      <c r="G26" s="55">
        <f t="shared" si="8"/>
        <v>-1.9</v>
      </c>
      <c r="H26" s="54" t="s">
        <v>125</v>
      </c>
      <c r="I26" s="12">
        <f t="shared" si="9"/>
        <v>109.97299249465479</v>
      </c>
      <c r="J26" s="55">
        <f t="shared" si="10"/>
        <v>-1.9</v>
      </c>
      <c r="M26" s="81">
        <f t="shared" si="2"/>
        <v>109.97299249465479</v>
      </c>
      <c r="N26" s="73">
        <f t="shared" si="6"/>
        <v>-1.9</v>
      </c>
      <c r="O26" s="73"/>
      <c r="P26" s="74">
        <f t="shared" si="3"/>
        <v>114.97199239463478</v>
      </c>
      <c r="Q26" s="73">
        <f t="shared" si="4"/>
        <v>-2</v>
      </c>
      <c r="R26" s="73"/>
      <c r="S26" s="73"/>
      <c r="T26" s="73"/>
      <c r="U26" s="73">
        <v>115</v>
      </c>
      <c r="V26" s="73">
        <f t="shared" si="0"/>
        <v>-2</v>
      </c>
      <c r="W26" s="73"/>
      <c r="X26" s="74">
        <f t="shared" si="5"/>
        <v>114.97199239463478</v>
      </c>
      <c r="Y26" s="74">
        <f t="shared" si="1"/>
        <v>-2</v>
      </c>
      <c r="Z26" s="80"/>
    </row>
    <row r="27" spans="1:26" x14ac:dyDescent="0.25">
      <c r="A27" t="s">
        <v>28</v>
      </c>
      <c r="B27">
        <v>115</v>
      </c>
      <c r="D27" s="54">
        <f t="shared" si="7"/>
        <v>115</v>
      </c>
      <c r="E27">
        <v>-2</v>
      </c>
      <c r="F27" s="59">
        <f t="shared" si="11"/>
        <v>114.97199239463478</v>
      </c>
      <c r="G27" s="55">
        <f t="shared" si="8"/>
        <v>-2</v>
      </c>
      <c r="H27" s="54" t="s">
        <v>126</v>
      </c>
      <c r="I27" s="12">
        <f t="shared" si="9"/>
        <v>114.97199239463478</v>
      </c>
      <c r="J27" s="55">
        <f t="shared" si="10"/>
        <v>-2</v>
      </c>
      <c r="M27" s="81">
        <f t="shared" si="2"/>
        <v>114.97199239463478</v>
      </c>
      <c r="N27" s="73">
        <f t="shared" si="6"/>
        <v>-2</v>
      </c>
      <c r="O27" s="73"/>
      <c r="P27" s="74">
        <f t="shared" si="3"/>
        <v>119.97099229461477</v>
      </c>
      <c r="Q27" s="73">
        <f t="shared" si="4"/>
        <v>-2.1</v>
      </c>
      <c r="R27" s="73"/>
      <c r="S27" s="73"/>
      <c r="T27" s="73"/>
      <c r="W27" s="73"/>
      <c r="Z27" s="80"/>
    </row>
    <row r="28" spans="1:26" x14ac:dyDescent="0.25">
      <c r="A28" t="s">
        <v>29</v>
      </c>
      <c r="B28">
        <v>120</v>
      </c>
      <c r="D28" s="54">
        <f t="shared" si="7"/>
        <v>120</v>
      </c>
      <c r="E28">
        <v>-2.1</v>
      </c>
      <c r="F28" s="59">
        <f t="shared" si="11"/>
        <v>119.97099229461477</v>
      </c>
      <c r="G28" s="55">
        <f t="shared" si="8"/>
        <v>-2.1</v>
      </c>
      <c r="O28" s="73"/>
      <c r="P28" s="74">
        <f t="shared" si="3"/>
        <v>124.97099229461477</v>
      </c>
      <c r="Q28" s="73">
        <f t="shared" si="4"/>
        <v>-2.1</v>
      </c>
      <c r="R28" s="73"/>
      <c r="S28" s="73"/>
      <c r="T28" s="73"/>
      <c r="W28" s="73"/>
      <c r="Z28" s="80"/>
    </row>
    <row r="29" spans="1:26" x14ac:dyDescent="0.25">
      <c r="A29" t="s">
        <v>30</v>
      </c>
      <c r="B29">
        <v>125</v>
      </c>
      <c r="D29" s="54">
        <f t="shared" si="7"/>
        <v>125</v>
      </c>
      <c r="E29">
        <v>-2.1</v>
      </c>
      <c r="F29" s="59">
        <f t="shared" si="11"/>
        <v>124.97099229461477</v>
      </c>
      <c r="G29" s="55">
        <f t="shared" si="8"/>
        <v>-2.1</v>
      </c>
      <c r="O29" s="73"/>
      <c r="P29" s="74">
        <f t="shared" si="3"/>
        <v>129.97099229461477</v>
      </c>
      <c r="Q29" s="73">
        <f t="shared" si="4"/>
        <v>-2.1</v>
      </c>
      <c r="R29" s="73"/>
      <c r="S29" s="73"/>
      <c r="T29" s="73"/>
      <c r="W29" s="73"/>
      <c r="Z29" s="80"/>
    </row>
    <row r="30" spans="1:26" x14ac:dyDescent="0.25">
      <c r="A30" t="s">
        <v>31</v>
      </c>
      <c r="B30">
        <v>130</v>
      </c>
      <c r="D30" s="54">
        <f t="shared" si="7"/>
        <v>130</v>
      </c>
      <c r="E30">
        <v>-2.1</v>
      </c>
      <c r="F30" s="59">
        <f t="shared" si="11"/>
        <v>129.97099229461477</v>
      </c>
      <c r="G30" s="55">
        <f t="shared" si="8"/>
        <v>-2.1</v>
      </c>
      <c r="O30" s="73"/>
      <c r="P30" s="74">
        <f t="shared" si="3"/>
        <v>134.96999219459477</v>
      </c>
      <c r="Q30" s="73">
        <f t="shared" si="4"/>
        <v>-2.2000000000000002</v>
      </c>
      <c r="R30" s="73"/>
      <c r="S30" s="73"/>
      <c r="T30" s="73"/>
      <c r="W30" s="73"/>
      <c r="Z30" s="80"/>
    </row>
    <row r="31" spans="1:26" x14ac:dyDescent="0.25">
      <c r="A31" t="s">
        <v>32</v>
      </c>
      <c r="B31">
        <v>135</v>
      </c>
      <c r="D31" s="54">
        <f t="shared" si="7"/>
        <v>135</v>
      </c>
      <c r="E31">
        <v>-2.2000000000000002</v>
      </c>
      <c r="F31" s="59">
        <f t="shared" si="11"/>
        <v>134.96999219459477</v>
      </c>
      <c r="G31" s="55">
        <f t="shared" si="8"/>
        <v>-2.2000000000000002</v>
      </c>
      <c r="O31" s="73"/>
      <c r="P31" s="74">
        <f t="shared" si="3"/>
        <v>139.96899209457476</v>
      </c>
      <c r="Q31" s="73">
        <f t="shared" si="4"/>
        <v>-2.2999999999999998</v>
      </c>
      <c r="R31" s="73"/>
      <c r="S31" s="73"/>
      <c r="T31" s="73"/>
      <c r="W31" s="73"/>
      <c r="Z31" s="80"/>
    </row>
    <row r="32" spans="1:26" x14ac:dyDescent="0.25">
      <c r="A32" t="s">
        <v>33</v>
      </c>
      <c r="B32">
        <v>140</v>
      </c>
      <c r="D32" s="54">
        <f t="shared" si="7"/>
        <v>140</v>
      </c>
      <c r="E32">
        <v>-2.2999999999999998</v>
      </c>
      <c r="F32" s="59">
        <f t="shared" si="11"/>
        <v>139.96899209457476</v>
      </c>
      <c r="G32" s="55">
        <f t="shared" si="8"/>
        <v>-2.2999999999999998</v>
      </c>
      <c r="O32" s="73"/>
      <c r="P32" s="74">
        <f t="shared" si="3"/>
        <v>144.96799199455475</v>
      </c>
      <c r="Q32" s="73">
        <f t="shared" si="4"/>
        <v>-2.2000000000000002</v>
      </c>
      <c r="R32" s="73"/>
      <c r="S32" s="73"/>
      <c r="T32" s="73"/>
      <c r="W32" s="73"/>
      <c r="Z32" s="80"/>
    </row>
    <row r="33" spans="1:26" x14ac:dyDescent="0.25">
      <c r="A33" t="s">
        <v>34</v>
      </c>
      <c r="B33">
        <v>145</v>
      </c>
      <c r="D33" s="54">
        <f t="shared" si="7"/>
        <v>145</v>
      </c>
      <c r="E33">
        <v>-2.2000000000000002</v>
      </c>
      <c r="F33" s="59">
        <f t="shared" si="11"/>
        <v>144.96799199455475</v>
      </c>
      <c r="G33" s="55">
        <f t="shared" si="8"/>
        <v>-2.2000000000000002</v>
      </c>
      <c r="O33" s="73"/>
      <c r="P33" s="74">
        <f t="shared" si="3"/>
        <v>149.96699189453474</v>
      </c>
      <c r="Q33" s="73">
        <f t="shared" si="4"/>
        <v>-2.1</v>
      </c>
      <c r="R33" s="73"/>
      <c r="S33" s="73"/>
      <c r="T33" s="73"/>
      <c r="W33" s="73"/>
      <c r="Z33" s="80"/>
    </row>
    <row r="34" spans="1:26" x14ac:dyDescent="0.25">
      <c r="A34" t="s">
        <v>35</v>
      </c>
      <c r="B34">
        <v>150</v>
      </c>
      <c r="D34" s="54">
        <f t="shared" si="7"/>
        <v>150</v>
      </c>
      <c r="E34">
        <v>-2.1</v>
      </c>
      <c r="F34" s="59">
        <f t="shared" si="11"/>
        <v>149.96699189453474</v>
      </c>
      <c r="G34" s="55">
        <f t="shared" si="8"/>
        <v>-2.1</v>
      </c>
      <c r="O34" s="73"/>
      <c r="P34" s="74">
        <f t="shared" si="3"/>
        <v>154.96699189453474</v>
      </c>
      <c r="Q34" s="73">
        <f t="shared" si="4"/>
        <v>-2.1</v>
      </c>
      <c r="R34" s="73"/>
      <c r="S34" s="73"/>
      <c r="T34" s="73"/>
      <c r="W34" s="73"/>
      <c r="Z34" s="80"/>
    </row>
    <row r="35" spans="1:26" x14ac:dyDescent="0.25">
      <c r="A35" t="s">
        <v>36</v>
      </c>
      <c r="B35">
        <v>155</v>
      </c>
      <c r="D35" s="54">
        <f t="shared" si="7"/>
        <v>155</v>
      </c>
      <c r="E35">
        <v>-2.1</v>
      </c>
      <c r="F35" s="59">
        <f t="shared" si="11"/>
        <v>154.96699189453474</v>
      </c>
      <c r="G35" s="55">
        <f t="shared" si="8"/>
        <v>-2.1</v>
      </c>
      <c r="O35" s="73"/>
      <c r="P35" s="74">
        <f t="shared" si="3"/>
        <v>159.96699189453474</v>
      </c>
      <c r="Q35" s="73">
        <f t="shared" si="4"/>
        <v>-2.1</v>
      </c>
      <c r="R35" s="73"/>
      <c r="S35" s="73"/>
      <c r="T35" s="73"/>
      <c r="W35" s="73"/>
      <c r="Z35" s="80"/>
    </row>
    <row r="36" spans="1:26" x14ac:dyDescent="0.25">
      <c r="A36" t="s">
        <v>37</v>
      </c>
      <c r="B36">
        <v>160</v>
      </c>
      <c r="D36" s="54">
        <f t="shared" si="7"/>
        <v>160</v>
      </c>
      <c r="E36">
        <v>-2.1</v>
      </c>
      <c r="F36" s="59">
        <f t="shared" si="11"/>
        <v>159.96699189453474</v>
      </c>
      <c r="G36" s="55">
        <f t="shared" si="8"/>
        <v>-2.1</v>
      </c>
      <c r="O36" s="73"/>
      <c r="P36" s="74">
        <f t="shared" si="3"/>
        <v>164.96699189453474</v>
      </c>
      <c r="Q36" s="73">
        <f t="shared" si="4"/>
        <v>-2.1</v>
      </c>
      <c r="R36" s="73"/>
      <c r="S36" s="73"/>
      <c r="T36" s="73"/>
      <c r="W36" s="73"/>
      <c r="Z36" s="80"/>
    </row>
    <row r="37" spans="1:26" x14ac:dyDescent="0.25">
      <c r="A37" t="s">
        <v>38</v>
      </c>
      <c r="B37">
        <v>165</v>
      </c>
      <c r="D37" s="54">
        <f t="shared" si="7"/>
        <v>165</v>
      </c>
      <c r="E37">
        <v>-2.1</v>
      </c>
      <c r="F37" s="59">
        <f t="shared" si="11"/>
        <v>164.96699189453474</v>
      </c>
      <c r="G37" s="55">
        <f t="shared" si="8"/>
        <v>-2.1</v>
      </c>
      <c r="O37" s="73"/>
      <c r="P37" s="74">
        <f t="shared" si="3"/>
        <v>169.96699189453474</v>
      </c>
      <c r="Q37" s="73">
        <f t="shared" si="4"/>
        <v>-2.1</v>
      </c>
      <c r="R37" s="73"/>
      <c r="S37" s="73"/>
      <c r="T37" s="73"/>
      <c r="W37" s="73"/>
      <c r="Z37" s="80"/>
    </row>
    <row r="38" spans="1:26" x14ac:dyDescent="0.25">
      <c r="A38" t="s">
        <v>39</v>
      </c>
      <c r="B38">
        <v>170</v>
      </c>
      <c r="D38" s="54">
        <f t="shared" si="7"/>
        <v>170</v>
      </c>
      <c r="E38">
        <v>-2.1</v>
      </c>
      <c r="F38" s="59">
        <f t="shared" si="11"/>
        <v>169.96699189453474</v>
      </c>
      <c r="G38" s="55">
        <f t="shared" si="8"/>
        <v>-2.1</v>
      </c>
      <c r="O38" s="73"/>
      <c r="P38" s="74">
        <f t="shared" si="3"/>
        <v>174.96599179451474</v>
      </c>
      <c r="Q38" s="73">
        <f t="shared" si="4"/>
        <v>-2</v>
      </c>
      <c r="R38" s="73"/>
      <c r="S38" s="73"/>
      <c r="T38" s="73"/>
      <c r="W38" s="73"/>
      <c r="Z38" s="80"/>
    </row>
    <row r="39" spans="1:26" x14ac:dyDescent="0.25">
      <c r="A39" t="s">
        <v>40</v>
      </c>
      <c r="B39">
        <v>175</v>
      </c>
      <c r="D39" s="54">
        <f t="shared" si="7"/>
        <v>175</v>
      </c>
      <c r="E39">
        <v>-2</v>
      </c>
      <c r="F39" s="59">
        <f t="shared" si="11"/>
        <v>174.96599179451474</v>
      </c>
      <c r="G39" s="55">
        <f t="shared" si="8"/>
        <v>-2</v>
      </c>
      <c r="M39" s="81"/>
      <c r="N39" s="73"/>
      <c r="O39" s="73"/>
      <c r="P39" s="74"/>
      <c r="Q39" s="73"/>
      <c r="R39" s="73"/>
      <c r="S39" s="73"/>
      <c r="T39" s="73"/>
      <c r="U39" s="73"/>
      <c r="V39" s="73"/>
      <c r="W39" s="73"/>
      <c r="X39" s="74"/>
      <c r="Y39" s="74"/>
      <c r="Z39" s="80"/>
    </row>
    <row r="40" spans="1:26" x14ac:dyDescent="0.25">
      <c r="A40" t="s">
        <v>41</v>
      </c>
      <c r="B40">
        <v>180</v>
      </c>
      <c r="D40" s="54">
        <f t="shared" si="7"/>
        <v>180</v>
      </c>
      <c r="E40">
        <v>-1.9</v>
      </c>
      <c r="F40" s="59">
        <f t="shared" si="11"/>
        <v>179.96499169449473</v>
      </c>
      <c r="G40" s="55">
        <f t="shared" si="8"/>
        <v>-1.9</v>
      </c>
      <c r="M40" s="81"/>
      <c r="N40" s="73"/>
      <c r="O40" s="73"/>
      <c r="P40" s="74"/>
      <c r="Q40" s="73"/>
      <c r="R40" s="73"/>
      <c r="S40" s="73"/>
      <c r="T40" s="73"/>
      <c r="U40" s="73"/>
      <c r="V40" s="73"/>
      <c r="W40" s="73"/>
      <c r="X40" s="74"/>
      <c r="Y40" s="74"/>
      <c r="Z40" s="80"/>
    </row>
    <row r="41" spans="1:26" x14ac:dyDescent="0.25">
      <c r="A41" t="s">
        <v>42</v>
      </c>
      <c r="B41">
        <v>185</v>
      </c>
      <c r="D41" s="54">
        <f t="shared" si="7"/>
        <v>185</v>
      </c>
      <c r="E41">
        <v>-1.8</v>
      </c>
      <c r="F41" s="59">
        <f t="shared" si="11"/>
        <v>184.96399159447472</v>
      </c>
      <c r="G41" s="55">
        <f t="shared" si="8"/>
        <v>-1.8</v>
      </c>
      <c r="H41" s="54"/>
      <c r="I41" s="12"/>
      <c r="J41" s="55"/>
      <c r="M41" s="81"/>
      <c r="N41" s="73"/>
      <c r="O41" s="73"/>
      <c r="P41" s="74"/>
      <c r="Q41" s="73"/>
      <c r="R41" s="73"/>
      <c r="S41" s="73"/>
      <c r="T41" s="73"/>
      <c r="U41" s="73"/>
      <c r="V41" s="73"/>
      <c r="W41" s="73"/>
      <c r="X41" s="74"/>
      <c r="Y41" s="74"/>
      <c r="Z41" s="80"/>
    </row>
    <row r="42" spans="1:26" x14ac:dyDescent="0.25">
      <c r="A42" t="s">
        <v>43</v>
      </c>
      <c r="B42">
        <v>190</v>
      </c>
      <c r="D42" s="54">
        <f t="shared" si="7"/>
        <v>190</v>
      </c>
      <c r="E42">
        <v>-1.7</v>
      </c>
      <c r="F42" s="59">
        <f t="shared" si="11"/>
        <v>189.96299149445471</v>
      </c>
      <c r="G42" s="55">
        <f t="shared" si="8"/>
        <v>-1.7</v>
      </c>
      <c r="H42" s="54"/>
      <c r="I42" s="12"/>
      <c r="J42" s="55"/>
      <c r="M42" s="81"/>
      <c r="N42" s="73"/>
      <c r="O42" s="73"/>
      <c r="P42" s="74"/>
      <c r="Q42" s="73"/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44</v>
      </c>
      <c r="B43">
        <v>195</v>
      </c>
      <c r="D43" s="54">
        <f t="shared" si="7"/>
        <v>195</v>
      </c>
      <c r="E43">
        <v>-1.7</v>
      </c>
      <c r="F43" s="59">
        <f t="shared" si="11"/>
        <v>194.96299149445471</v>
      </c>
      <c r="G43" s="55">
        <f t="shared" si="8"/>
        <v>-1.7</v>
      </c>
      <c r="H43" s="54"/>
      <c r="I43" s="12"/>
      <c r="J43" s="55"/>
      <c r="M43" s="81"/>
      <c r="N43" s="73"/>
      <c r="O43" s="73"/>
      <c r="P43" s="74"/>
      <c r="Q43" s="73"/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45</v>
      </c>
      <c r="B44">
        <v>200</v>
      </c>
      <c r="D44" s="54">
        <f t="shared" si="7"/>
        <v>200</v>
      </c>
      <c r="E44">
        <v>-1.7</v>
      </c>
      <c r="F44" s="59">
        <f t="shared" si="11"/>
        <v>199.96299149445471</v>
      </c>
      <c r="G44" s="55">
        <f t="shared" si="8"/>
        <v>-1.7</v>
      </c>
      <c r="H44" s="54"/>
      <c r="I44" s="12"/>
      <c r="J44" s="55"/>
      <c r="M44" s="81"/>
      <c r="N44" s="73"/>
      <c r="O44" s="73"/>
      <c r="P44" s="74"/>
      <c r="Q44" s="73"/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46</v>
      </c>
      <c r="B45">
        <v>205</v>
      </c>
      <c r="D45" s="54">
        <f t="shared" si="7"/>
        <v>205</v>
      </c>
      <c r="E45">
        <v>-1.7</v>
      </c>
      <c r="F45" s="59">
        <f t="shared" si="11"/>
        <v>204.96299149445471</v>
      </c>
      <c r="G45" s="55">
        <f t="shared" si="8"/>
        <v>-1.7</v>
      </c>
      <c r="H45" s="54"/>
      <c r="I45" s="12"/>
      <c r="J45" s="55"/>
      <c r="M45" s="81"/>
      <c r="N45" s="73"/>
      <c r="O45" s="73"/>
      <c r="P45" s="74"/>
      <c r="Q45" s="73"/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47</v>
      </c>
      <c r="B46">
        <v>210</v>
      </c>
      <c r="D46" s="54">
        <f t="shared" si="7"/>
        <v>210</v>
      </c>
      <c r="E46">
        <v>-1.6</v>
      </c>
      <c r="F46" s="59">
        <f t="shared" si="11"/>
        <v>209.9619913944347</v>
      </c>
      <c r="G46" s="55">
        <f t="shared" si="8"/>
        <v>-1.6</v>
      </c>
      <c r="H46" s="54"/>
      <c r="I46" s="12"/>
      <c r="J46" s="55"/>
      <c r="M46" s="81"/>
      <c r="N46" s="73"/>
      <c r="O46" s="73"/>
      <c r="P46" s="74"/>
      <c r="Q46" s="73"/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48</v>
      </c>
      <c r="B47">
        <v>215</v>
      </c>
      <c r="D47" s="54">
        <f t="shared" si="7"/>
        <v>215</v>
      </c>
      <c r="E47">
        <v>-1.5</v>
      </c>
      <c r="F47" s="59">
        <f t="shared" si="11"/>
        <v>214.9609912944147</v>
      </c>
      <c r="G47" s="55">
        <f t="shared" si="8"/>
        <v>-1.5</v>
      </c>
      <c r="H47" s="54"/>
      <c r="I47" s="12"/>
      <c r="J47" s="55"/>
      <c r="M47" s="81"/>
      <c r="N47" s="73"/>
      <c r="O47" s="73"/>
      <c r="P47" s="74"/>
      <c r="Q47" s="73"/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49</v>
      </c>
      <c r="B48">
        <v>220</v>
      </c>
      <c r="D48" s="54">
        <f t="shared" si="7"/>
        <v>220</v>
      </c>
      <c r="E48">
        <v>-1.4</v>
      </c>
      <c r="F48" s="59">
        <f t="shared" si="11"/>
        <v>219.95999119439469</v>
      </c>
      <c r="G48" s="55">
        <f t="shared" si="8"/>
        <v>-1.4</v>
      </c>
      <c r="H48" s="54"/>
      <c r="I48" s="12"/>
      <c r="J48" s="55"/>
      <c r="M48" s="81"/>
      <c r="N48" s="73"/>
      <c r="O48" s="73"/>
      <c r="P48" s="74"/>
      <c r="Q48" s="73"/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50</v>
      </c>
      <c r="B49">
        <v>225</v>
      </c>
      <c r="D49" s="54">
        <f t="shared" si="7"/>
        <v>225</v>
      </c>
      <c r="E49">
        <v>-1.4</v>
      </c>
      <c r="F49" s="59">
        <f t="shared" si="11"/>
        <v>224.95999119439469</v>
      </c>
      <c r="G49" s="55">
        <f t="shared" si="8"/>
        <v>-1.4</v>
      </c>
      <c r="H49" s="54"/>
      <c r="I49" s="12"/>
      <c r="J49" s="55"/>
      <c r="M49" s="81"/>
      <c r="N49" s="73"/>
      <c r="O49" s="73"/>
      <c r="P49" s="74"/>
      <c r="Q49" s="73"/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51</v>
      </c>
      <c r="B50">
        <v>230</v>
      </c>
      <c r="D50" s="54">
        <f t="shared" si="7"/>
        <v>230</v>
      </c>
      <c r="E50">
        <v>-1.4</v>
      </c>
      <c r="F50" s="59">
        <f t="shared" si="11"/>
        <v>229.95999119439469</v>
      </c>
      <c r="G50" s="55">
        <f t="shared" si="8"/>
        <v>-1.4</v>
      </c>
      <c r="H50" s="54"/>
      <c r="I50" s="12"/>
      <c r="J50" s="55"/>
      <c r="M50" s="81"/>
      <c r="N50" s="73"/>
      <c r="O50" s="73"/>
      <c r="P50" s="74"/>
      <c r="Q50" s="73"/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52</v>
      </c>
      <c r="B51">
        <v>235</v>
      </c>
      <c r="D51" s="54">
        <f t="shared" si="7"/>
        <v>235</v>
      </c>
      <c r="E51">
        <v>-1.4</v>
      </c>
      <c r="F51" s="59">
        <f t="shared" si="11"/>
        <v>234.95999119439469</v>
      </c>
      <c r="G51" s="55">
        <f t="shared" si="8"/>
        <v>-1.4</v>
      </c>
      <c r="H51" s="54"/>
      <c r="I51" s="12"/>
      <c r="J51" s="55"/>
      <c r="M51" s="81"/>
      <c r="N51" s="73"/>
      <c r="O51" s="73"/>
      <c r="P51" s="74"/>
      <c r="Q51" s="73"/>
      <c r="R51" s="73"/>
      <c r="S51" s="73"/>
      <c r="T51" s="73"/>
      <c r="U51" s="73"/>
      <c r="V51" s="73"/>
      <c r="W51" s="73"/>
      <c r="X51" s="74"/>
      <c r="Y51" s="74"/>
      <c r="Z51" s="80"/>
    </row>
    <row r="52" spans="1:26" x14ac:dyDescent="0.25">
      <c r="D52" s="54"/>
      <c r="E52" s="55"/>
      <c r="F52" s="107"/>
      <c r="G52" s="55"/>
      <c r="H52" s="54"/>
      <c r="I52" s="12"/>
      <c r="J52" s="55"/>
      <c r="M52" s="81"/>
      <c r="N52" s="73"/>
      <c r="O52" s="73"/>
      <c r="P52" s="74"/>
      <c r="Q52" s="73"/>
      <c r="R52" s="73"/>
      <c r="S52" s="73"/>
      <c r="T52" s="73"/>
      <c r="U52" s="73"/>
      <c r="V52" s="73"/>
      <c r="W52" s="73"/>
      <c r="X52" s="74"/>
      <c r="Y52" s="74"/>
      <c r="Z52" s="80"/>
    </row>
    <row r="53" spans="1:26" x14ac:dyDescent="0.25">
      <c r="D53" s="54"/>
      <c r="E53" s="55"/>
      <c r="F53" s="107"/>
      <c r="G53" s="55"/>
      <c r="H53" s="54"/>
      <c r="I53" s="12"/>
      <c r="J53" s="55"/>
      <c r="M53" s="81"/>
      <c r="N53" s="73"/>
      <c r="O53" s="73"/>
      <c r="P53" s="74"/>
      <c r="Q53" s="73"/>
      <c r="R53" s="73"/>
      <c r="S53" s="73"/>
      <c r="T53" s="73"/>
      <c r="U53" s="73"/>
      <c r="V53" s="73"/>
      <c r="W53" s="73"/>
      <c r="X53" s="74"/>
      <c r="Y53" s="74"/>
      <c r="Z53" s="80"/>
    </row>
    <row r="54" spans="1:26" x14ac:dyDescent="0.25">
      <c r="D54" s="54"/>
      <c r="E54" s="55"/>
      <c r="F54" s="107"/>
      <c r="G54" s="55"/>
      <c r="H54" s="54"/>
      <c r="I54" s="12"/>
      <c r="J54" s="55"/>
      <c r="M54" s="81"/>
      <c r="N54" s="73"/>
      <c r="O54" s="73"/>
      <c r="P54" s="74"/>
      <c r="Q54" s="73"/>
      <c r="R54" s="73"/>
      <c r="S54" s="73"/>
      <c r="T54" s="73"/>
      <c r="U54" s="73"/>
      <c r="V54" s="73"/>
      <c r="W54" s="73"/>
      <c r="X54" s="74"/>
      <c r="Y54" s="74"/>
      <c r="Z54" s="80"/>
    </row>
    <row r="55" spans="1:26" x14ac:dyDescent="0.25">
      <c r="D55" s="54"/>
      <c r="E55" s="55"/>
      <c r="F55" s="107"/>
      <c r="G55" s="55"/>
      <c r="H55" s="54"/>
      <c r="I55" s="12"/>
      <c r="J55" s="55"/>
      <c r="M55" s="81"/>
      <c r="N55" s="73"/>
      <c r="O55" s="73"/>
      <c r="P55" s="74"/>
      <c r="Q55" s="73"/>
      <c r="R55" s="73"/>
      <c r="S55" s="73"/>
      <c r="T55" s="73"/>
      <c r="U55" s="73"/>
      <c r="V55" s="73"/>
      <c r="W55" s="73"/>
      <c r="X55" s="74"/>
      <c r="Y55" s="74"/>
      <c r="Z55" s="80"/>
    </row>
    <row r="56" spans="1:26" ht="15.75" thickBot="1" x14ac:dyDescent="0.3">
      <c r="D56" s="54"/>
      <c r="E56" s="55"/>
      <c r="F56" s="107"/>
      <c r="G56" s="55"/>
      <c r="H56" s="54"/>
      <c r="I56" s="12"/>
      <c r="J56" s="55"/>
      <c r="M56" s="82"/>
      <c r="N56" s="83"/>
      <c r="O56" s="83"/>
      <c r="P56" s="84"/>
      <c r="Q56" s="83"/>
      <c r="R56" s="83"/>
      <c r="S56" s="83"/>
      <c r="T56" s="83"/>
      <c r="U56" s="83"/>
      <c r="V56" s="83"/>
      <c r="W56" s="83"/>
      <c r="X56" s="84"/>
      <c r="Y56" s="84"/>
      <c r="Z56" s="85"/>
    </row>
    <row r="57" spans="1:26" x14ac:dyDescent="0.25">
      <c r="D57" s="54"/>
      <c r="E57" s="55"/>
      <c r="F57" s="107"/>
      <c r="G57" s="55"/>
      <c r="H57" s="54"/>
      <c r="I57" s="12"/>
      <c r="J57" s="55"/>
    </row>
    <row r="58" spans="1:26" x14ac:dyDescent="0.25">
      <c r="D58" s="54"/>
      <c r="E58" s="55"/>
      <c r="F58" s="107"/>
      <c r="G58" s="55"/>
      <c r="H58" s="65"/>
      <c r="I58" s="64"/>
      <c r="J58" s="66"/>
    </row>
    <row r="59" spans="1:26" x14ac:dyDescent="0.25">
      <c r="D59" s="54"/>
      <c r="E59" s="55"/>
      <c r="F59" s="107"/>
      <c r="I59" s="12"/>
    </row>
    <row r="60" spans="1:26" x14ac:dyDescent="0.25">
      <c r="D60" s="54"/>
      <c r="E60" s="55"/>
      <c r="F60" s="107"/>
      <c r="I60" s="12"/>
    </row>
    <row r="61" spans="1:26" x14ac:dyDescent="0.25">
      <c r="D61" s="54"/>
      <c r="E61" s="55"/>
      <c r="F61" s="107"/>
      <c r="I61" s="12"/>
    </row>
    <row r="62" spans="1:26" x14ac:dyDescent="0.25">
      <c r="D62" s="54"/>
      <c r="E62" s="55"/>
      <c r="F62" s="107"/>
      <c r="I62" s="12"/>
    </row>
    <row r="63" spans="1:26" x14ac:dyDescent="0.25">
      <c r="D63" s="54"/>
      <c r="E63" s="55"/>
      <c r="F63" s="107"/>
      <c r="I63" s="12"/>
    </row>
    <row r="64" spans="1:26" x14ac:dyDescent="0.25">
      <c r="D64" s="54"/>
      <c r="E64" s="55"/>
      <c r="F64" s="107"/>
      <c r="I64" s="12"/>
    </row>
    <row r="65" spans="4:9" x14ac:dyDescent="0.25">
      <c r="D65" s="54"/>
      <c r="E65" s="55"/>
      <c r="F65" s="107"/>
      <c r="I65" s="12"/>
    </row>
    <row r="66" spans="4:9" x14ac:dyDescent="0.25">
      <c r="D66" s="54"/>
      <c r="E66" s="55"/>
      <c r="F66" s="107"/>
      <c r="I66" s="12"/>
    </row>
    <row r="67" spans="4:9" x14ac:dyDescent="0.25">
      <c r="D67" s="54"/>
      <c r="E67" s="55"/>
      <c r="F67" s="107"/>
      <c r="I67" s="12"/>
    </row>
    <row r="68" spans="4:9" x14ac:dyDescent="0.25">
      <c r="D68" s="54"/>
      <c r="E68" s="55"/>
      <c r="F68" s="107"/>
      <c r="I68" s="12"/>
    </row>
    <row r="69" spans="4:9" x14ac:dyDescent="0.25">
      <c r="D69" s="54"/>
      <c r="E69" s="55"/>
      <c r="F69" s="107"/>
      <c r="I69" s="12"/>
    </row>
    <row r="70" spans="4:9" x14ac:dyDescent="0.25">
      <c r="D70" s="54"/>
      <c r="E70" s="55"/>
      <c r="F70" s="107"/>
      <c r="I70" s="12"/>
    </row>
    <row r="71" spans="4:9" x14ac:dyDescent="0.25">
      <c r="D71" s="54"/>
      <c r="E71" s="55"/>
      <c r="F71" s="107"/>
      <c r="I71" s="12"/>
    </row>
    <row r="72" spans="4:9" x14ac:dyDescent="0.25">
      <c r="D72" s="54"/>
      <c r="E72" s="55"/>
      <c r="F72" s="107"/>
      <c r="I72" s="12"/>
    </row>
    <row r="73" spans="4:9" x14ac:dyDescent="0.25">
      <c r="D73" s="54"/>
      <c r="E73" s="55"/>
      <c r="F73" s="107"/>
      <c r="I73" s="12"/>
    </row>
    <row r="74" spans="4:9" x14ac:dyDescent="0.25">
      <c r="D74" s="54"/>
      <c r="E74" s="55"/>
      <c r="F74" s="107"/>
      <c r="I74" s="12"/>
    </row>
    <row r="75" spans="4:9" x14ac:dyDescent="0.25">
      <c r="D75" s="54"/>
      <c r="E75" s="55"/>
      <c r="F75" s="107"/>
      <c r="I75" s="12"/>
    </row>
    <row r="76" spans="4:9" x14ac:dyDescent="0.25">
      <c r="D76" s="56"/>
      <c r="E76" s="57"/>
      <c r="F76" s="108"/>
      <c r="I76" s="12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9F07-00A0-43C4-8926-1FF92F6C6CE5}">
  <dimension ref="A1:Z76"/>
  <sheetViews>
    <sheetView topLeftCell="A3" workbookViewId="0">
      <selection activeCell="A15" sqref="A15:XFD15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322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MAX(J16:J39)</f>
        <v>0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x14ac:dyDescent="0.25">
      <c r="A2" s="1" t="s">
        <v>330</v>
      </c>
      <c r="B2" s="1"/>
      <c r="C2" s="1"/>
      <c r="D2" s="62"/>
      <c r="E2" s="1"/>
      <c r="F2" s="62"/>
      <c r="G2" s="58"/>
      <c r="H2" s="62"/>
      <c r="I2" s="1"/>
      <c r="J2" s="119"/>
      <c r="K2" s="1"/>
      <c r="L2" s="1"/>
      <c r="M2" s="79" t="s">
        <v>328</v>
      </c>
      <c r="N2" s="72"/>
      <c r="O2" s="73"/>
      <c r="P2" s="71" t="s">
        <v>325</v>
      </c>
      <c r="Q2" s="73"/>
      <c r="R2" s="73"/>
      <c r="S2" s="73"/>
      <c r="T2" s="73"/>
      <c r="Z2" s="80"/>
    </row>
    <row r="3" spans="1:26" x14ac:dyDescent="0.25">
      <c r="A3" s="1" t="s">
        <v>175</v>
      </c>
      <c r="B3" s="109"/>
      <c r="C3" s="109"/>
      <c r="D3" s="110"/>
      <c r="E3" s="109"/>
      <c r="F3" s="110"/>
      <c r="G3" s="111"/>
      <c r="H3" s="120"/>
      <c r="I3" s="120"/>
      <c r="J3" s="121"/>
      <c r="K3" s="114"/>
      <c r="L3" s="114" t="s">
        <v>175</v>
      </c>
      <c r="M3" s="122"/>
      <c r="N3" s="120"/>
      <c r="O3" s="116"/>
      <c r="P3" s="71">
        <v>-10</v>
      </c>
      <c r="Q3" s="73">
        <v>-2.5</v>
      </c>
      <c r="R3" s="73"/>
      <c r="S3" s="73"/>
      <c r="T3" s="116"/>
      <c r="U3" s="116">
        <v>-10</v>
      </c>
      <c r="V3" s="116">
        <f>J15</f>
        <v>-1.7</v>
      </c>
      <c r="W3" s="116"/>
      <c r="X3" s="117">
        <f>M15-(MIN($M$16:$M$40))</f>
        <v>-9</v>
      </c>
      <c r="Y3" s="117">
        <f>V3</f>
        <v>-1.7</v>
      </c>
      <c r="Z3" s="118"/>
    </row>
    <row r="4" spans="1:26" x14ac:dyDescent="0.25">
      <c r="A4" t="s">
        <v>5</v>
      </c>
      <c r="B4">
        <v>0</v>
      </c>
      <c r="C4">
        <v>3834.7049999999999</v>
      </c>
      <c r="D4" s="54">
        <f>B4</f>
        <v>0</v>
      </c>
      <c r="E4">
        <f>C4-(MAX($C$4:$C$51))</f>
        <v>-2.9180000000001201</v>
      </c>
      <c r="F4" s="54">
        <v>0</v>
      </c>
      <c r="G4" s="55">
        <f>E4</f>
        <v>-2.9180000000001201</v>
      </c>
      <c r="J4" s="63"/>
      <c r="M4" s="15"/>
      <c r="O4" s="73"/>
      <c r="P4" s="117">
        <f t="shared" ref="P4:P51" si="0">F4</f>
        <v>0</v>
      </c>
      <c r="Q4" s="116">
        <f t="shared" ref="Q4:Q51" si="1">G4-$S$1</f>
        <v>-2.9180000000001201</v>
      </c>
      <c r="R4" s="116"/>
      <c r="S4" s="116"/>
      <c r="T4" s="73"/>
      <c r="U4" s="73">
        <v>0</v>
      </c>
      <c r="V4" s="116">
        <f t="shared" ref="V4:V28" si="2">J16</f>
        <v>-0.95000000000027285</v>
      </c>
      <c r="W4" s="73"/>
      <c r="X4" s="117">
        <f t="shared" ref="X4:X28" si="3">M16-(MIN($M$16:$M$40))</f>
        <v>0</v>
      </c>
      <c r="Y4" s="117">
        <f t="shared" ref="Y4:Y28" si="4">V4</f>
        <v>-0.95000000000027285</v>
      </c>
      <c r="Z4" s="80"/>
    </row>
    <row r="5" spans="1:26" x14ac:dyDescent="0.25">
      <c r="A5" t="s">
        <v>6</v>
      </c>
      <c r="B5">
        <v>3</v>
      </c>
      <c r="C5">
        <v>3834.6559999999999</v>
      </c>
      <c r="D5" s="54">
        <f t="shared" ref="D5:D51" si="5">B5</f>
        <v>3</v>
      </c>
      <c r="E5">
        <f t="shared" ref="E5:E51" si="6">C5-(MAX($C$4:$C$51))</f>
        <v>-2.9670000000000982</v>
      </c>
      <c r="F5" s="59">
        <f>F4+(SQRT((D5-D4)^2-(E5-E4)^2))</f>
        <v>2.9995998066408798</v>
      </c>
      <c r="G5" s="55">
        <f t="shared" ref="G5:G51" si="7">E5</f>
        <v>-2.9670000000000982</v>
      </c>
      <c r="J5" s="63"/>
      <c r="M5" s="15"/>
      <c r="O5" s="73"/>
      <c r="P5" s="74">
        <f t="shared" si="0"/>
        <v>2.9995998066408798</v>
      </c>
      <c r="Q5" s="73">
        <f t="shared" si="1"/>
        <v>-2.9670000000000982</v>
      </c>
      <c r="R5" s="73"/>
      <c r="S5" s="73"/>
      <c r="T5" s="73"/>
      <c r="U5" s="73">
        <v>3</v>
      </c>
      <c r="V5" s="116">
        <f t="shared" si="2"/>
        <v>-0.78000000000020009</v>
      </c>
      <c r="W5" s="73"/>
      <c r="X5" s="117">
        <f t="shared" si="3"/>
        <v>2.9951794603996547</v>
      </c>
      <c r="Y5" s="117">
        <f t="shared" si="4"/>
        <v>-0.78000000000020009</v>
      </c>
      <c r="Z5" s="80"/>
    </row>
    <row r="6" spans="1:26" x14ac:dyDescent="0.25">
      <c r="A6" t="s">
        <v>7</v>
      </c>
      <c r="B6">
        <v>6</v>
      </c>
      <c r="C6">
        <v>3834.5790000000002</v>
      </c>
      <c r="D6" s="54">
        <f t="shared" si="5"/>
        <v>6</v>
      </c>
      <c r="E6">
        <f t="shared" si="6"/>
        <v>-3.043999999999869</v>
      </c>
      <c r="F6" s="59">
        <f t="shared" ref="F6:F51" si="8">F5+(SQRT((D6-D5)^2-(E6-E5)^2))</f>
        <v>5.9986114771750305</v>
      </c>
      <c r="G6" s="55">
        <f t="shared" si="7"/>
        <v>-3.043999999999869</v>
      </c>
      <c r="J6" s="63"/>
      <c r="M6" s="15"/>
      <c r="O6" s="73"/>
      <c r="P6" s="74">
        <f t="shared" si="0"/>
        <v>5.9986114771750305</v>
      </c>
      <c r="Q6" s="73">
        <f t="shared" si="1"/>
        <v>-3.043999999999869</v>
      </c>
      <c r="R6" s="73"/>
      <c r="S6" s="73"/>
      <c r="T6" s="73"/>
      <c r="U6" s="73">
        <v>6</v>
      </c>
      <c r="V6" s="116">
        <f t="shared" si="2"/>
        <v>-0.9819999999999709</v>
      </c>
      <c r="W6" s="73"/>
      <c r="X6" s="117">
        <f t="shared" si="3"/>
        <v>5.9883710680318956</v>
      </c>
      <c r="Y6" s="117">
        <f t="shared" si="4"/>
        <v>-0.9819999999999709</v>
      </c>
      <c r="Z6" s="80"/>
    </row>
    <row r="7" spans="1:26" x14ac:dyDescent="0.25">
      <c r="A7" t="s">
        <v>8</v>
      </c>
      <c r="B7">
        <v>9</v>
      </c>
      <c r="C7">
        <v>3834.4969999999998</v>
      </c>
      <c r="D7" s="54">
        <f t="shared" si="5"/>
        <v>9</v>
      </c>
      <c r="E7">
        <f t="shared" si="6"/>
        <v>-3.1260000000002037</v>
      </c>
      <c r="F7" s="59">
        <f t="shared" si="8"/>
        <v>8.9974906011144977</v>
      </c>
      <c r="G7" s="55">
        <f t="shared" si="7"/>
        <v>-3.1260000000002037</v>
      </c>
      <c r="J7" s="63"/>
      <c r="M7" s="15"/>
      <c r="O7" s="73"/>
      <c r="P7" s="74">
        <f t="shared" si="0"/>
        <v>8.9974906011144977</v>
      </c>
      <c r="Q7" s="73">
        <f t="shared" si="1"/>
        <v>-3.1260000000002037</v>
      </c>
      <c r="R7" s="73"/>
      <c r="S7" s="73"/>
      <c r="T7" s="73"/>
      <c r="U7" s="73">
        <v>9</v>
      </c>
      <c r="V7" s="116">
        <f t="shared" si="2"/>
        <v>-0.85199999999986176</v>
      </c>
      <c r="W7" s="73"/>
      <c r="X7" s="117">
        <f t="shared" si="3"/>
        <v>8.9855530778537869</v>
      </c>
      <c r="Y7" s="117">
        <f t="shared" si="4"/>
        <v>-0.85199999999986176</v>
      </c>
      <c r="Z7" s="80"/>
    </row>
    <row r="8" spans="1:26" x14ac:dyDescent="0.25">
      <c r="A8" t="s">
        <v>9</v>
      </c>
      <c r="B8">
        <v>12</v>
      </c>
      <c r="C8">
        <v>3834.3380000000002</v>
      </c>
      <c r="D8" s="54">
        <f t="shared" si="5"/>
        <v>12</v>
      </c>
      <c r="E8">
        <f t="shared" si="6"/>
        <v>-3.2849999999998545</v>
      </c>
      <c r="F8" s="59">
        <f t="shared" si="8"/>
        <v>11.993274138021013</v>
      </c>
      <c r="G8" s="55">
        <f t="shared" si="7"/>
        <v>-3.2849999999998545</v>
      </c>
      <c r="J8" s="63"/>
      <c r="M8" s="15"/>
      <c r="O8" s="73"/>
      <c r="P8" s="74">
        <f t="shared" si="0"/>
        <v>11.993274138021013</v>
      </c>
      <c r="Q8" s="73">
        <f t="shared" si="1"/>
        <v>-3.2849999999998545</v>
      </c>
      <c r="R8" s="73"/>
      <c r="S8" s="73"/>
      <c r="T8" s="73"/>
      <c r="U8" s="73">
        <v>12</v>
      </c>
      <c r="V8" s="116">
        <f t="shared" si="2"/>
        <v>-0.60800000000017462</v>
      </c>
      <c r="W8" s="73"/>
      <c r="X8" s="117">
        <f t="shared" si="3"/>
        <v>11.975613946799463</v>
      </c>
      <c r="Y8" s="117">
        <f t="shared" si="4"/>
        <v>-0.60800000000017462</v>
      </c>
      <c r="Z8" s="80"/>
    </row>
    <row r="9" spans="1:26" x14ac:dyDescent="0.25">
      <c r="A9" t="s">
        <v>10</v>
      </c>
      <c r="B9">
        <v>15</v>
      </c>
      <c r="C9">
        <v>3834.2809999999999</v>
      </c>
      <c r="D9" s="54">
        <f t="shared" si="5"/>
        <v>15</v>
      </c>
      <c r="E9">
        <f t="shared" si="6"/>
        <v>-3.3420000000000982</v>
      </c>
      <c r="F9" s="59">
        <f t="shared" si="8"/>
        <v>14.992732589141809</v>
      </c>
      <c r="G9" s="55">
        <f t="shared" si="7"/>
        <v>-3.3420000000000982</v>
      </c>
      <c r="J9" s="63"/>
      <c r="M9" s="15"/>
      <c r="O9" s="73"/>
      <c r="P9" s="74">
        <f t="shared" si="0"/>
        <v>14.992732589141809</v>
      </c>
      <c r="Q9" s="73">
        <f t="shared" si="1"/>
        <v>-3.3420000000000982</v>
      </c>
      <c r="R9" s="73"/>
      <c r="S9" s="73"/>
      <c r="T9" s="73"/>
      <c r="U9" s="73">
        <v>15</v>
      </c>
      <c r="V9" s="116">
        <f t="shared" si="2"/>
        <v>-0.99800000000004729</v>
      </c>
      <c r="W9" s="73"/>
      <c r="X9" s="117">
        <f t="shared" si="3"/>
        <v>14.950155928348906</v>
      </c>
      <c r="Y9" s="117">
        <f t="shared" si="4"/>
        <v>-0.99800000000004729</v>
      </c>
      <c r="Z9" s="80"/>
    </row>
    <row r="10" spans="1:26" x14ac:dyDescent="0.25">
      <c r="A10" t="s">
        <v>11</v>
      </c>
      <c r="B10">
        <v>18</v>
      </c>
      <c r="C10">
        <v>3834.5230000000001</v>
      </c>
      <c r="D10" s="54">
        <f t="shared" si="5"/>
        <v>18</v>
      </c>
      <c r="E10">
        <f t="shared" si="6"/>
        <v>-3.0999999999999091</v>
      </c>
      <c r="F10" s="59">
        <f t="shared" si="8"/>
        <v>17.98295599216706</v>
      </c>
      <c r="G10" s="55">
        <f t="shared" si="7"/>
        <v>-3.0999999999999091</v>
      </c>
      <c r="J10" s="63"/>
      <c r="M10" s="15"/>
      <c r="O10" s="73"/>
      <c r="P10" s="74">
        <f t="shared" si="0"/>
        <v>17.98295599216706</v>
      </c>
      <c r="Q10" s="73">
        <f t="shared" si="1"/>
        <v>-3.0999999999999091</v>
      </c>
      <c r="R10" s="73"/>
      <c r="S10" s="73"/>
      <c r="T10" s="73"/>
      <c r="U10" s="73">
        <v>18</v>
      </c>
      <c r="V10" s="116">
        <f t="shared" si="2"/>
        <v>-0.73100000000022192</v>
      </c>
      <c r="W10" s="73"/>
      <c r="X10" s="117">
        <f t="shared" si="3"/>
        <v>17.938250806360664</v>
      </c>
      <c r="Y10" s="117">
        <f t="shared" si="4"/>
        <v>-0.73100000000022192</v>
      </c>
      <c r="Z10" s="80"/>
    </row>
    <row r="11" spans="1:26" x14ac:dyDescent="0.25">
      <c r="A11" t="s">
        <v>12</v>
      </c>
      <c r="B11">
        <v>21</v>
      </c>
      <c r="C11">
        <v>3834.9450000000002</v>
      </c>
      <c r="D11" s="54">
        <f t="shared" si="5"/>
        <v>21</v>
      </c>
      <c r="E11">
        <f t="shared" si="6"/>
        <v>-2.6779999999998836</v>
      </c>
      <c r="F11" s="59">
        <f t="shared" si="8"/>
        <v>20.953127031013135</v>
      </c>
      <c r="G11" s="55">
        <f t="shared" si="7"/>
        <v>-2.6779999999998836</v>
      </c>
      <c r="J11" s="63"/>
      <c r="M11" s="15"/>
      <c r="O11" s="73"/>
      <c r="P11" s="74">
        <f t="shared" si="0"/>
        <v>20.953127031013135</v>
      </c>
      <c r="Q11" s="73">
        <f t="shared" si="1"/>
        <v>-2.6779999999998836</v>
      </c>
      <c r="R11" s="73"/>
      <c r="S11" s="73"/>
      <c r="T11" s="73"/>
      <c r="U11" s="73">
        <v>21</v>
      </c>
      <c r="V11" s="116">
        <f t="shared" si="2"/>
        <v>-0.68200000000024374</v>
      </c>
      <c r="W11" s="73"/>
      <c r="X11" s="117">
        <f t="shared" si="3"/>
        <v>20.937850613001544</v>
      </c>
      <c r="Y11" s="117">
        <f t="shared" si="4"/>
        <v>-0.68200000000024374</v>
      </c>
      <c r="Z11" s="80"/>
    </row>
    <row r="12" spans="1:26" x14ac:dyDescent="0.25">
      <c r="A12" t="s">
        <v>13</v>
      </c>
      <c r="B12">
        <v>24</v>
      </c>
      <c r="C12">
        <v>3835.4630000000002</v>
      </c>
      <c r="D12" s="54">
        <f t="shared" si="5"/>
        <v>24</v>
      </c>
      <c r="E12">
        <f t="shared" si="6"/>
        <v>-2.1599999999998545</v>
      </c>
      <c r="F12" s="59">
        <f t="shared" si="8"/>
        <v>23.908067977969601</v>
      </c>
      <c r="G12" s="55">
        <f t="shared" si="7"/>
        <v>-2.1599999999998545</v>
      </c>
      <c r="J12" s="63"/>
      <c r="M12" s="15"/>
      <c r="O12" s="73"/>
      <c r="P12" s="74">
        <f t="shared" si="0"/>
        <v>23.908067977969601</v>
      </c>
      <c r="Q12" s="73">
        <f t="shared" si="1"/>
        <v>-2.1599999999998545</v>
      </c>
      <c r="R12" s="73"/>
      <c r="S12" s="73"/>
      <c r="T12" s="73"/>
      <c r="U12" s="73">
        <v>24</v>
      </c>
      <c r="V12" s="116">
        <f t="shared" si="2"/>
        <v>-0.57700000000022555</v>
      </c>
      <c r="W12" s="73"/>
      <c r="X12" s="117">
        <f t="shared" si="3"/>
        <v>23.936012549922232</v>
      </c>
      <c r="Y12" s="117">
        <f t="shared" si="4"/>
        <v>-0.57700000000022555</v>
      </c>
      <c r="Z12" s="80"/>
    </row>
    <row r="13" spans="1:26" x14ac:dyDescent="0.25">
      <c r="A13" t="s">
        <v>14</v>
      </c>
      <c r="B13">
        <v>27</v>
      </c>
      <c r="C13">
        <v>3835.944</v>
      </c>
      <c r="D13" s="54">
        <f t="shared" si="5"/>
        <v>27</v>
      </c>
      <c r="E13">
        <f t="shared" si="6"/>
        <v>-1.6790000000000873</v>
      </c>
      <c r="F13" s="59">
        <f t="shared" si="8"/>
        <v>26.869256759523427</v>
      </c>
      <c r="G13" s="55">
        <f t="shared" si="7"/>
        <v>-1.6790000000000873</v>
      </c>
      <c r="J13" s="63"/>
      <c r="M13" s="15"/>
      <c r="O13" s="73"/>
      <c r="P13" s="74">
        <f t="shared" si="0"/>
        <v>26.869256759523427</v>
      </c>
      <c r="Q13" s="73">
        <f t="shared" si="1"/>
        <v>-1.6790000000000873</v>
      </c>
      <c r="R13" s="73"/>
      <c r="S13" s="73"/>
      <c r="T13" s="73"/>
      <c r="U13" s="73">
        <v>27</v>
      </c>
      <c r="V13" s="116">
        <f t="shared" si="2"/>
        <v>-0.26200000000017099</v>
      </c>
      <c r="W13" s="73"/>
      <c r="X13" s="117">
        <f t="shared" si="3"/>
        <v>26.919429215425055</v>
      </c>
      <c r="Y13" s="117">
        <f t="shared" si="4"/>
        <v>-0.26200000000017099</v>
      </c>
      <c r="Z13" s="80"/>
    </row>
    <row r="14" spans="1:26" x14ac:dyDescent="0.25">
      <c r="A14" t="s">
        <v>15</v>
      </c>
      <c r="B14">
        <v>30</v>
      </c>
      <c r="C14">
        <v>3835.9679999999998</v>
      </c>
      <c r="D14" s="54">
        <f t="shared" si="5"/>
        <v>30</v>
      </c>
      <c r="E14">
        <f t="shared" si="6"/>
        <v>-1.6550000000002001</v>
      </c>
      <c r="F14" s="59">
        <f t="shared" si="8"/>
        <v>29.86916075798738</v>
      </c>
      <c r="G14" s="55">
        <f t="shared" si="7"/>
        <v>-1.6550000000002001</v>
      </c>
      <c r="J14" s="63"/>
      <c r="M14" s="15"/>
      <c r="O14" s="73"/>
      <c r="P14" s="74">
        <f t="shared" si="0"/>
        <v>29.86916075798738</v>
      </c>
      <c r="Q14" s="73">
        <f t="shared" si="1"/>
        <v>-1.6550000000002001</v>
      </c>
      <c r="R14" s="73"/>
      <c r="S14" s="73"/>
      <c r="T14" s="73"/>
      <c r="U14" s="73">
        <v>30</v>
      </c>
      <c r="V14" s="116">
        <f t="shared" si="2"/>
        <v>-0.10800000000017462</v>
      </c>
      <c r="W14" s="73"/>
      <c r="X14" s="117">
        <f t="shared" si="3"/>
        <v>29.915473941392939</v>
      </c>
      <c r="Y14" s="117">
        <f t="shared" si="4"/>
        <v>-0.10800000000017462</v>
      </c>
      <c r="Z14" s="80"/>
    </row>
    <row r="15" spans="1:26" x14ac:dyDescent="0.25">
      <c r="A15" t="s">
        <v>16</v>
      </c>
      <c r="B15">
        <v>33</v>
      </c>
      <c r="C15">
        <v>3836.3040000000001</v>
      </c>
      <c r="D15" s="54">
        <f t="shared" si="5"/>
        <v>33</v>
      </c>
      <c r="E15">
        <f t="shared" si="6"/>
        <v>-1.31899999999996</v>
      </c>
      <c r="F15" s="59">
        <f t="shared" si="8"/>
        <v>32.850285377992364</v>
      </c>
      <c r="G15" s="55">
        <f t="shared" si="7"/>
        <v>-1.31899999999996</v>
      </c>
      <c r="H15" s="112" t="s">
        <v>175</v>
      </c>
      <c r="I15" s="123">
        <f>I16-9</f>
        <v>26.827505390017045</v>
      </c>
      <c r="J15" s="113">
        <v>-1.7</v>
      </c>
      <c r="M15" s="115">
        <f>I15</f>
        <v>26.827505390017045</v>
      </c>
      <c r="N15" s="116">
        <f>J15</f>
        <v>-1.7</v>
      </c>
      <c r="O15" s="73"/>
      <c r="P15" s="74">
        <f t="shared" si="0"/>
        <v>32.850285377992364</v>
      </c>
      <c r="Q15" s="73">
        <f t="shared" si="1"/>
        <v>-1.31899999999996</v>
      </c>
      <c r="R15" s="73"/>
      <c r="S15" s="73"/>
      <c r="T15" s="73"/>
      <c r="U15" s="73">
        <v>33</v>
      </c>
      <c r="V15" s="116">
        <f t="shared" si="2"/>
        <v>0</v>
      </c>
      <c r="W15" s="73"/>
      <c r="X15" s="117">
        <f t="shared" si="3"/>
        <v>32.91352931112845</v>
      </c>
      <c r="Y15" s="117">
        <f t="shared" si="4"/>
        <v>0</v>
      </c>
      <c r="Z15" s="80"/>
    </row>
    <row r="16" spans="1:26" x14ac:dyDescent="0.25">
      <c r="A16" t="s">
        <v>17</v>
      </c>
      <c r="B16">
        <v>36</v>
      </c>
      <c r="C16">
        <v>3836.6729999999998</v>
      </c>
      <c r="D16" s="54">
        <f t="shared" si="5"/>
        <v>36</v>
      </c>
      <c r="E16">
        <f t="shared" si="6"/>
        <v>-0.95000000000027285</v>
      </c>
      <c r="F16" s="59">
        <f t="shared" si="8"/>
        <v>35.827505390017045</v>
      </c>
      <c r="G16" s="55">
        <f t="shared" si="7"/>
        <v>-0.95000000000027285</v>
      </c>
      <c r="H16" s="54" t="s">
        <v>103</v>
      </c>
      <c r="I16" s="12">
        <f>F16</f>
        <v>35.827505390017045</v>
      </c>
      <c r="J16" s="55">
        <f>G16</f>
        <v>-0.95000000000027285</v>
      </c>
      <c r="M16" s="81">
        <f t="shared" ref="M16:M40" si="9">I16</f>
        <v>35.827505390017045</v>
      </c>
      <c r="N16" s="73">
        <f t="shared" ref="N16:N40" si="10">J16-$S$1</f>
        <v>-0.95000000000027285</v>
      </c>
      <c r="O16" s="73"/>
      <c r="P16" s="74">
        <f t="shared" si="0"/>
        <v>35.827505390017045</v>
      </c>
      <c r="Q16" s="73">
        <f t="shared" si="1"/>
        <v>-0.95000000000027285</v>
      </c>
      <c r="R16" s="73"/>
      <c r="S16" s="73"/>
      <c r="T16" s="73"/>
      <c r="U16" s="73">
        <v>36</v>
      </c>
      <c r="V16" s="116">
        <f t="shared" si="2"/>
        <v>-2.3000000000138243E-2</v>
      </c>
      <c r="W16" s="73"/>
      <c r="X16" s="117">
        <f t="shared" si="3"/>
        <v>35.913441143166189</v>
      </c>
      <c r="Y16" s="117">
        <f t="shared" si="4"/>
        <v>-2.3000000000138243E-2</v>
      </c>
      <c r="Z16" s="80"/>
    </row>
    <row r="17" spans="1:26" x14ac:dyDescent="0.25">
      <c r="A17" t="s">
        <v>18</v>
      </c>
      <c r="B17">
        <v>39</v>
      </c>
      <c r="C17">
        <v>3836.8429999999998</v>
      </c>
      <c r="D17" s="54">
        <f t="shared" si="5"/>
        <v>39</v>
      </c>
      <c r="E17">
        <f t="shared" si="6"/>
        <v>-0.78000000000020009</v>
      </c>
      <c r="F17" s="59">
        <f t="shared" si="8"/>
        <v>38.822684850416699</v>
      </c>
      <c r="G17" s="55">
        <f t="shared" si="7"/>
        <v>-0.78000000000020009</v>
      </c>
      <c r="H17" s="54" t="s">
        <v>104</v>
      </c>
      <c r="I17" s="12">
        <f t="shared" ref="I17:I39" si="11">F17</f>
        <v>38.822684850416699</v>
      </c>
      <c r="J17" s="55">
        <f t="shared" ref="J17:J38" si="12">G17</f>
        <v>-0.78000000000020009</v>
      </c>
      <c r="M17" s="81">
        <f t="shared" si="9"/>
        <v>38.822684850416699</v>
      </c>
      <c r="N17" s="73">
        <f t="shared" si="10"/>
        <v>-0.78000000000020009</v>
      </c>
      <c r="O17" s="73"/>
      <c r="P17" s="74">
        <f t="shared" si="0"/>
        <v>38.822684850416699</v>
      </c>
      <c r="Q17" s="73">
        <f t="shared" si="1"/>
        <v>-0.78000000000020009</v>
      </c>
      <c r="R17" s="73"/>
      <c r="S17" s="73"/>
      <c r="T17" s="73"/>
      <c r="U17" s="73">
        <v>39</v>
      </c>
      <c r="V17" s="116">
        <f t="shared" si="2"/>
        <v>-0.11099999999987631</v>
      </c>
      <c r="W17" s="73"/>
      <c r="X17" s="117">
        <f t="shared" si="3"/>
        <v>38.912150198743284</v>
      </c>
      <c r="Y17" s="117">
        <f t="shared" si="4"/>
        <v>-0.11099999999987631</v>
      </c>
      <c r="Z17" s="80"/>
    </row>
    <row r="18" spans="1:26" x14ac:dyDescent="0.25">
      <c r="A18" t="s">
        <v>19</v>
      </c>
      <c r="B18">
        <v>42</v>
      </c>
      <c r="C18">
        <v>3836.6410000000001</v>
      </c>
      <c r="D18" s="54">
        <f t="shared" si="5"/>
        <v>42</v>
      </c>
      <c r="E18">
        <f t="shared" si="6"/>
        <v>-0.9819999999999709</v>
      </c>
      <c r="F18" s="59">
        <f t="shared" si="8"/>
        <v>41.81587645804894</v>
      </c>
      <c r="G18" s="55">
        <f t="shared" si="7"/>
        <v>-0.9819999999999709</v>
      </c>
      <c r="H18" s="54" t="s">
        <v>105</v>
      </c>
      <c r="I18" s="12">
        <f t="shared" si="11"/>
        <v>41.81587645804894</v>
      </c>
      <c r="J18" s="55">
        <f t="shared" si="12"/>
        <v>-0.9819999999999709</v>
      </c>
      <c r="M18" s="81">
        <f t="shared" si="9"/>
        <v>41.81587645804894</v>
      </c>
      <c r="N18" s="73">
        <f t="shared" si="10"/>
        <v>-0.9819999999999709</v>
      </c>
      <c r="O18" s="73"/>
      <c r="P18" s="74">
        <f t="shared" si="0"/>
        <v>41.81587645804894</v>
      </c>
      <c r="Q18" s="73">
        <f t="shared" si="1"/>
        <v>-0.9819999999999709</v>
      </c>
      <c r="R18" s="73"/>
      <c r="S18" s="73"/>
      <c r="T18" s="73"/>
      <c r="U18" s="73">
        <v>42</v>
      </c>
      <c r="V18" s="116">
        <f t="shared" si="2"/>
        <v>-0.43200000000024374</v>
      </c>
      <c r="W18" s="73"/>
      <c r="X18" s="117">
        <f t="shared" si="3"/>
        <v>41.894927260476159</v>
      </c>
      <c r="Y18" s="117">
        <f t="shared" si="4"/>
        <v>-0.43200000000024374</v>
      </c>
      <c r="Z18" s="80"/>
    </row>
    <row r="19" spans="1:26" x14ac:dyDescent="0.25">
      <c r="A19" t="s">
        <v>20</v>
      </c>
      <c r="B19">
        <v>45</v>
      </c>
      <c r="C19">
        <v>3836.7710000000002</v>
      </c>
      <c r="D19" s="54">
        <f t="shared" si="5"/>
        <v>45</v>
      </c>
      <c r="E19">
        <f t="shared" si="6"/>
        <v>-0.85199999999986176</v>
      </c>
      <c r="F19" s="59">
        <f t="shared" si="8"/>
        <v>44.813058467870832</v>
      </c>
      <c r="G19" s="55">
        <f t="shared" si="7"/>
        <v>-0.85199999999986176</v>
      </c>
      <c r="H19" s="54" t="s">
        <v>106</v>
      </c>
      <c r="I19" s="12">
        <f t="shared" si="11"/>
        <v>44.813058467870832</v>
      </c>
      <c r="J19" s="55">
        <f t="shared" si="12"/>
        <v>-0.85199999999986176</v>
      </c>
      <c r="M19" s="81">
        <f t="shared" si="9"/>
        <v>44.813058467870832</v>
      </c>
      <c r="N19" s="73">
        <f t="shared" si="10"/>
        <v>-0.85199999999986176</v>
      </c>
      <c r="O19" s="73"/>
      <c r="P19" s="74">
        <f t="shared" si="0"/>
        <v>44.813058467870832</v>
      </c>
      <c r="Q19" s="73">
        <f t="shared" si="1"/>
        <v>-0.85199999999986176</v>
      </c>
      <c r="R19" s="73"/>
      <c r="S19" s="73"/>
      <c r="T19" s="73"/>
      <c r="U19" s="73">
        <v>45</v>
      </c>
      <c r="V19" s="116">
        <f t="shared" si="2"/>
        <v>-0.50399999999990541</v>
      </c>
      <c r="W19" s="73"/>
      <c r="X19" s="117">
        <f t="shared" si="3"/>
        <v>44.894063136024322</v>
      </c>
      <c r="Y19" s="117">
        <f t="shared" si="4"/>
        <v>-0.50399999999990541</v>
      </c>
      <c r="Z19" s="80"/>
    </row>
    <row r="20" spans="1:26" x14ac:dyDescent="0.25">
      <c r="A20" t="s">
        <v>21</v>
      </c>
      <c r="B20">
        <v>48</v>
      </c>
      <c r="C20">
        <v>3837.0149999999999</v>
      </c>
      <c r="D20" s="54">
        <f t="shared" si="5"/>
        <v>48</v>
      </c>
      <c r="E20">
        <f t="shared" si="6"/>
        <v>-0.60800000000017462</v>
      </c>
      <c r="F20" s="59">
        <f t="shared" si="8"/>
        <v>47.803119336816508</v>
      </c>
      <c r="G20" s="55">
        <f t="shared" si="7"/>
        <v>-0.60800000000017462</v>
      </c>
      <c r="H20" s="54" t="s">
        <v>107</v>
      </c>
      <c r="I20" s="12">
        <f t="shared" si="11"/>
        <v>47.803119336816508</v>
      </c>
      <c r="J20" s="55">
        <f t="shared" si="12"/>
        <v>-0.60800000000017462</v>
      </c>
      <c r="M20" s="81">
        <f t="shared" si="9"/>
        <v>47.803119336816508</v>
      </c>
      <c r="N20" s="73">
        <f t="shared" si="10"/>
        <v>-0.60800000000017462</v>
      </c>
      <c r="O20" s="73"/>
      <c r="P20" s="74">
        <f t="shared" si="0"/>
        <v>47.803119336816508</v>
      </c>
      <c r="Q20" s="73">
        <f t="shared" si="1"/>
        <v>-0.60800000000017462</v>
      </c>
      <c r="R20" s="73"/>
      <c r="S20" s="73"/>
      <c r="T20" s="73"/>
      <c r="U20" s="73">
        <v>48</v>
      </c>
      <c r="V20" s="116">
        <f t="shared" si="2"/>
        <v>-0.63300000000026557</v>
      </c>
      <c r="W20" s="73"/>
      <c r="X20" s="117">
        <f t="shared" si="3"/>
        <v>47.891288352787306</v>
      </c>
      <c r="Y20" s="117">
        <f t="shared" si="4"/>
        <v>-0.63300000000026557</v>
      </c>
      <c r="Z20" s="80"/>
    </row>
    <row r="21" spans="1:26" x14ac:dyDescent="0.25">
      <c r="A21" t="s">
        <v>22</v>
      </c>
      <c r="B21">
        <v>51</v>
      </c>
      <c r="C21">
        <v>3836.625</v>
      </c>
      <c r="D21" s="54">
        <f t="shared" si="5"/>
        <v>51</v>
      </c>
      <c r="E21">
        <f t="shared" si="6"/>
        <v>-0.99800000000004729</v>
      </c>
      <c r="F21" s="59">
        <f t="shared" si="8"/>
        <v>50.777661318365951</v>
      </c>
      <c r="G21" s="55">
        <f t="shared" si="7"/>
        <v>-0.99800000000004729</v>
      </c>
      <c r="H21" s="54" t="s">
        <v>108</v>
      </c>
      <c r="I21" s="12">
        <f t="shared" si="11"/>
        <v>50.777661318365951</v>
      </c>
      <c r="J21" s="55">
        <f t="shared" si="12"/>
        <v>-0.99800000000004729</v>
      </c>
      <c r="M21" s="81">
        <f t="shared" si="9"/>
        <v>50.777661318365951</v>
      </c>
      <c r="N21" s="73">
        <f t="shared" si="10"/>
        <v>-0.99800000000004729</v>
      </c>
      <c r="O21" s="73"/>
      <c r="P21" s="74">
        <f t="shared" si="0"/>
        <v>50.777661318365951</v>
      </c>
      <c r="Q21" s="73">
        <f t="shared" si="1"/>
        <v>-0.99800000000004729</v>
      </c>
      <c r="R21" s="73"/>
      <c r="S21" s="73"/>
      <c r="T21" s="73"/>
      <c r="U21" s="73">
        <v>51</v>
      </c>
      <c r="V21" s="116">
        <f t="shared" si="2"/>
        <v>-0.88999999999987267</v>
      </c>
      <c r="W21" s="73"/>
      <c r="X21" s="117">
        <f t="shared" si="3"/>
        <v>50.88025991504751</v>
      </c>
      <c r="Y21" s="117">
        <f t="shared" si="4"/>
        <v>-0.88999999999987267</v>
      </c>
      <c r="Z21" s="80"/>
    </row>
    <row r="22" spans="1:26" x14ac:dyDescent="0.25">
      <c r="A22" t="s">
        <v>23</v>
      </c>
      <c r="B22">
        <v>54</v>
      </c>
      <c r="C22">
        <v>3836.8919999999998</v>
      </c>
      <c r="D22" s="54">
        <f t="shared" si="5"/>
        <v>54</v>
      </c>
      <c r="E22">
        <f t="shared" si="6"/>
        <v>-0.73100000000022192</v>
      </c>
      <c r="F22" s="59">
        <f t="shared" si="8"/>
        <v>53.765756196377708</v>
      </c>
      <c r="G22" s="55">
        <f t="shared" si="7"/>
        <v>-0.73100000000022192</v>
      </c>
      <c r="H22" s="54" t="s">
        <v>109</v>
      </c>
      <c r="I22" s="12">
        <f t="shared" si="11"/>
        <v>53.765756196377708</v>
      </c>
      <c r="J22" s="55">
        <f t="shared" si="12"/>
        <v>-0.73100000000022192</v>
      </c>
      <c r="M22" s="81">
        <f t="shared" si="9"/>
        <v>53.765756196377708</v>
      </c>
      <c r="N22" s="73">
        <f t="shared" si="10"/>
        <v>-0.73100000000022192</v>
      </c>
      <c r="O22" s="73"/>
      <c r="P22" s="74">
        <f t="shared" si="0"/>
        <v>53.765756196377708</v>
      </c>
      <c r="Q22" s="73">
        <f t="shared" si="1"/>
        <v>-0.73100000000022192</v>
      </c>
      <c r="R22" s="73"/>
      <c r="S22" s="73"/>
      <c r="T22" s="73"/>
      <c r="U22" s="73">
        <v>54</v>
      </c>
      <c r="V22" s="116">
        <f t="shared" si="2"/>
        <v>-1.1449999999999818</v>
      </c>
      <c r="W22" s="73"/>
      <c r="X22" s="117">
        <f t="shared" si="3"/>
        <v>53.869402768776645</v>
      </c>
      <c r="Y22" s="117">
        <f t="shared" si="4"/>
        <v>-1.1449999999999818</v>
      </c>
      <c r="Z22" s="80"/>
    </row>
    <row r="23" spans="1:26" x14ac:dyDescent="0.25">
      <c r="A23" t="s">
        <v>24</v>
      </c>
      <c r="B23">
        <v>57</v>
      </c>
      <c r="C23">
        <v>3836.9409999999998</v>
      </c>
      <c r="D23" s="54">
        <f t="shared" si="5"/>
        <v>57</v>
      </c>
      <c r="E23">
        <f t="shared" si="6"/>
        <v>-0.68200000000024374</v>
      </c>
      <c r="F23" s="59">
        <f t="shared" si="8"/>
        <v>56.765356003018589</v>
      </c>
      <c r="G23" s="55">
        <f t="shared" si="7"/>
        <v>-0.68200000000024374</v>
      </c>
      <c r="H23" s="54" t="s">
        <v>110</v>
      </c>
      <c r="I23" s="12">
        <f t="shared" si="11"/>
        <v>56.765356003018589</v>
      </c>
      <c r="J23" s="55">
        <f t="shared" si="12"/>
        <v>-0.68200000000024374</v>
      </c>
      <c r="M23" s="81">
        <f t="shared" si="9"/>
        <v>56.765356003018589</v>
      </c>
      <c r="N23" s="73">
        <f t="shared" si="10"/>
        <v>-0.68200000000024374</v>
      </c>
      <c r="O23" s="73"/>
      <c r="P23" s="74">
        <f t="shared" si="0"/>
        <v>56.765356003018589</v>
      </c>
      <c r="Q23" s="73">
        <f t="shared" si="1"/>
        <v>-0.68200000000024374</v>
      </c>
      <c r="R23" s="73"/>
      <c r="S23" s="73"/>
      <c r="T23" s="73"/>
      <c r="U23" s="73">
        <v>57</v>
      </c>
      <c r="V23" s="116">
        <f t="shared" si="2"/>
        <v>-1.4859999999998763</v>
      </c>
      <c r="W23" s="73"/>
      <c r="X23" s="117">
        <f t="shared" si="3"/>
        <v>56.849959595948384</v>
      </c>
      <c r="Y23" s="117">
        <f t="shared" si="4"/>
        <v>-1.4859999999998763</v>
      </c>
      <c r="Z23" s="80"/>
    </row>
    <row r="24" spans="1:26" x14ac:dyDescent="0.25">
      <c r="A24" t="s">
        <v>25</v>
      </c>
      <c r="B24">
        <v>60</v>
      </c>
      <c r="C24">
        <v>3837.0459999999998</v>
      </c>
      <c r="D24" s="54">
        <f t="shared" si="5"/>
        <v>60</v>
      </c>
      <c r="E24">
        <f t="shared" si="6"/>
        <v>-0.57700000000022555</v>
      </c>
      <c r="F24" s="59">
        <f t="shared" si="8"/>
        <v>59.763517939939277</v>
      </c>
      <c r="G24" s="55">
        <f t="shared" si="7"/>
        <v>-0.57700000000022555</v>
      </c>
      <c r="H24" s="54" t="s">
        <v>111</v>
      </c>
      <c r="I24" s="12">
        <f t="shared" si="11"/>
        <v>59.763517939939277</v>
      </c>
      <c r="J24" s="55">
        <f t="shared" si="12"/>
        <v>-0.57700000000022555</v>
      </c>
      <c r="M24" s="81">
        <f t="shared" si="9"/>
        <v>59.763517939939277</v>
      </c>
      <c r="N24" s="73">
        <f t="shared" si="10"/>
        <v>-0.57700000000022555</v>
      </c>
      <c r="O24" s="73"/>
      <c r="P24" s="74">
        <f t="shared" si="0"/>
        <v>59.763517939939277</v>
      </c>
      <c r="Q24" s="73">
        <f t="shared" si="1"/>
        <v>-0.57700000000022555</v>
      </c>
      <c r="R24" s="73"/>
      <c r="S24" s="73"/>
      <c r="T24" s="73"/>
      <c r="U24" s="73">
        <v>60</v>
      </c>
      <c r="V24" s="116">
        <f t="shared" si="2"/>
        <v>-2.0010000000002037</v>
      </c>
      <c r="W24" s="73"/>
      <c r="X24" s="117">
        <f t="shared" si="3"/>
        <v>59.805424872347295</v>
      </c>
      <c r="Y24" s="117">
        <f t="shared" si="4"/>
        <v>-2.0010000000002037</v>
      </c>
      <c r="Z24" s="80"/>
    </row>
    <row r="25" spans="1:26" x14ac:dyDescent="0.25">
      <c r="A25" t="s">
        <v>26</v>
      </c>
      <c r="B25">
        <v>63</v>
      </c>
      <c r="C25">
        <v>3837.3609999999999</v>
      </c>
      <c r="D25" s="54">
        <f t="shared" si="5"/>
        <v>63</v>
      </c>
      <c r="E25">
        <f t="shared" si="6"/>
        <v>-0.26200000000017099</v>
      </c>
      <c r="F25" s="59">
        <f t="shared" si="8"/>
        <v>62.7469346054421</v>
      </c>
      <c r="G25" s="55">
        <f t="shared" si="7"/>
        <v>-0.26200000000017099</v>
      </c>
      <c r="H25" s="54" t="s">
        <v>112</v>
      </c>
      <c r="I25" s="12">
        <f t="shared" si="11"/>
        <v>62.7469346054421</v>
      </c>
      <c r="J25" s="55">
        <f t="shared" si="12"/>
        <v>-0.26200000000017099</v>
      </c>
      <c r="M25" s="81">
        <f t="shared" si="9"/>
        <v>62.7469346054421</v>
      </c>
      <c r="N25" s="73">
        <f t="shared" si="10"/>
        <v>-0.26200000000017099</v>
      </c>
      <c r="O25" s="73"/>
      <c r="P25" s="74">
        <f t="shared" si="0"/>
        <v>62.7469346054421</v>
      </c>
      <c r="Q25" s="73">
        <f t="shared" si="1"/>
        <v>-0.26200000000017099</v>
      </c>
      <c r="R25" s="73"/>
      <c r="S25" s="73"/>
      <c r="T25" s="73"/>
      <c r="U25" s="73">
        <v>63</v>
      </c>
      <c r="V25" s="116">
        <f t="shared" si="2"/>
        <v>-2.63799999999992</v>
      </c>
      <c r="W25" s="73"/>
      <c r="X25" s="117">
        <f t="shared" si="3"/>
        <v>62.737016760724721</v>
      </c>
      <c r="Y25" s="117">
        <f t="shared" si="4"/>
        <v>-2.63799999999992</v>
      </c>
      <c r="Z25" s="80"/>
    </row>
    <row r="26" spans="1:26" x14ac:dyDescent="0.25">
      <c r="A26" t="s">
        <v>27</v>
      </c>
      <c r="B26">
        <v>66</v>
      </c>
      <c r="C26">
        <v>3837.5149999999999</v>
      </c>
      <c r="D26" s="54">
        <f t="shared" si="5"/>
        <v>66</v>
      </c>
      <c r="E26">
        <f t="shared" si="6"/>
        <v>-0.10800000000017462</v>
      </c>
      <c r="F26" s="59">
        <f t="shared" si="8"/>
        <v>65.742979331409984</v>
      </c>
      <c r="G26" s="55">
        <f t="shared" si="7"/>
        <v>-0.10800000000017462</v>
      </c>
      <c r="H26" s="54" t="s">
        <v>113</v>
      </c>
      <c r="I26" s="12">
        <f t="shared" si="11"/>
        <v>65.742979331409984</v>
      </c>
      <c r="J26" s="55">
        <f t="shared" si="12"/>
        <v>-0.10800000000017462</v>
      </c>
      <c r="M26" s="81">
        <f t="shared" si="9"/>
        <v>65.742979331409984</v>
      </c>
      <c r="N26" s="73">
        <f t="shared" si="10"/>
        <v>-0.10800000000017462</v>
      </c>
      <c r="O26" s="73"/>
      <c r="P26" s="74">
        <f t="shared" si="0"/>
        <v>65.742979331409984</v>
      </c>
      <c r="Q26" s="73">
        <f t="shared" si="1"/>
        <v>-0.10800000000017462</v>
      </c>
      <c r="R26" s="73"/>
      <c r="S26" s="73"/>
      <c r="T26" s="73"/>
      <c r="U26" s="73">
        <v>66</v>
      </c>
      <c r="V26" s="116">
        <f t="shared" si="2"/>
        <v>-2.9000000000000909</v>
      </c>
      <c r="W26" s="73"/>
      <c r="X26" s="117">
        <f t="shared" si="3"/>
        <v>65.72555419565839</v>
      </c>
      <c r="Y26" s="117">
        <f t="shared" si="4"/>
        <v>-2.9000000000000909</v>
      </c>
      <c r="Z26" s="80"/>
    </row>
    <row r="27" spans="1:26" x14ac:dyDescent="0.25">
      <c r="A27" t="s">
        <v>28</v>
      </c>
      <c r="B27">
        <v>69</v>
      </c>
      <c r="C27">
        <v>3837.623</v>
      </c>
      <c r="D27" s="54">
        <f t="shared" si="5"/>
        <v>69</v>
      </c>
      <c r="E27">
        <f t="shared" si="6"/>
        <v>0</v>
      </c>
      <c r="F27" s="59">
        <f t="shared" si="8"/>
        <v>68.741034701145495</v>
      </c>
      <c r="G27" s="55">
        <f t="shared" si="7"/>
        <v>0</v>
      </c>
      <c r="H27" s="54" t="s">
        <v>114</v>
      </c>
      <c r="I27" s="12">
        <f t="shared" si="11"/>
        <v>68.741034701145495</v>
      </c>
      <c r="J27" s="55">
        <f t="shared" si="12"/>
        <v>0</v>
      </c>
      <c r="M27" s="81">
        <f t="shared" si="9"/>
        <v>68.741034701145495</v>
      </c>
      <c r="N27" s="73">
        <f t="shared" si="10"/>
        <v>0</v>
      </c>
      <c r="O27" s="73"/>
      <c r="P27" s="74">
        <f t="shared" si="0"/>
        <v>68.741034701145495</v>
      </c>
      <c r="Q27" s="73">
        <f t="shared" si="1"/>
        <v>0</v>
      </c>
      <c r="R27" s="73"/>
      <c r="S27" s="73"/>
      <c r="T27" s="73"/>
      <c r="U27" s="73">
        <v>69</v>
      </c>
      <c r="V27" s="116">
        <f t="shared" si="2"/>
        <v>-3.0920000000000982</v>
      </c>
      <c r="W27" s="73"/>
      <c r="X27" s="117">
        <f t="shared" si="3"/>
        <v>68.719403891284401</v>
      </c>
      <c r="Y27" s="117">
        <f t="shared" si="4"/>
        <v>-3.0920000000000982</v>
      </c>
      <c r="Z27" s="80"/>
    </row>
    <row r="28" spans="1:26" x14ac:dyDescent="0.25">
      <c r="A28" t="s">
        <v>29</v>
      </c>
      <c r="B28">
        <v>72</v>
      </c>
      <c r="C28">
        <v>3837.6</v>
      </c>
      <c r="D28" s="54">
        <f t="shared" si="5"/>
        <v>72</v>
      </c>
      <c r="E28">
        <f t="shared" si="6"/>
        <v>-2.3000000000138243E-2</v>
      </c>
      <c r="F28" s="59">
        <f t="shared" si="8"/>
        <v>71.740946533183234</v>
      </c>
      <c r="G28" s="55">
        <f t="shared" si="7"/>
        <v>-2.3000000000138243E-2</v>
      </c>
      <c r="H28" s="54" t="s">
        <v>115</v>
      </c>
      <c r="I28" s="12">
        <f t="shared" si="11"/>
        <v>71.740946533183234</v>
      </c>
      <c r="J28" s="55">
        <f t="shared" si="12"/>
        <v>-2.3000000000138243E-2</v>
      </c>
      <c r="M28" s="81">
        <f t="shared" si="9"/>
        <v>71.740946533183234</v>
      </c>
      <c r="N28" s="73">
        <f t="shared" si="10"/>
        <v>-2.3000000000138243E-2</v>
      </c>
      <c r="O28" s="73"/>
      <c r="P28" s="74">
        <f t="shared" si="0"/>
        <v>71.740946533183234</v>
      </c>
      <c r="Q28" s="73">
        <f t="shared" si="1"/>
        <v>-2.3000000000138243E-2</v>
      </c>
      <c r="R28" s="73"/>
      <c r="S28" s="73"/>
      <c r="T28" s="73"/>
      <c r="U28" s="129">
        <v>79</v>
      </c>
      <c r="V28" s="116">
        <f t="shared" si="2"/>
        <v>-3.4169999999999163</v>
      </c>
      <c r="W28" s="126"/>
      <c r="X28" s="117">
        <f t="shared" si="3"/>
        <v>78.719403891284401</v>
      </c>
      <c r="Y28" s="130">
        <f t="shared" si="4"/>
        <v>-3.4169999999999163</v>
      </c>
      <c r="Z28" s="127"/>
    </row>
    <row r="29" spans="1:26" x14ac:dyDescent="0.25">
      <c r="A29" t="s">
        <v>30</v>
      </c>
      <c r="B29">
        <v>75</v>
      </c>
      <c r="C29">
        <v>3837.5120000000002</v>
      </c>
      <c r="D29" s="54">
        <f t="shared" si="5"/>
        <v>75</v>
      </c>
      <c r="E29">
        <f t="shared" si="6"/>
        <v>-0.11099999999987631</v>
      </c>
      <c r="F29" s="59">
        <f t="shared" si="8"/>
        <v>74.739655588760328</v>
      </c>
      <c r="G29" s="55">
        <f t="shared" si="7"/>
        <v>-0.11099999999987631</v>
      </c>
      <c r="H29" s="54" t="s">
        <v>116</v>
      </c>
      <c r="I29" s="12">
        <f t="shared" si="11"/>
        <v>74.739655588760328</v>
      </c>
      <c r="J29" s="55">
        <f t="shared" si="12"/>
        <v>-0.11099999999987631</v>
      </c>
      <c r="M29" s="81">
        <f t="shared" si="9"/>
        <v>74.739655588760328</v>
      </c>
      <c r="N29" s="73">
        <f t="shared" si="10"/>
        <v>-0.11099999999987631</v>
      </c>
      <c r="O29" s="73"/>
      <c r="P29" s="74">
        <f t="shared" si="0"/>
        <v>74.739655588760328</v>
      </c>
      <c r="Q29" s="73">
        <f t="shared" si="1"/>
        <v>-0.11099999999987631</v>
      </c>
      <c r="R29" s="73"/>
      <c r="S29" s="73"/>
      <c r="T29" s="73"/>
      <c r="V29" s="126"/>
      <c r="W29" s="126"/>
      <c r="Z29" s="127"/>
    </row>
    <row r="30" spans="1:26" x14ac:dyDescent="0.25">
      <c r="A30" t="s">
        <v>31</v>
      </c>
      <c r="B30">
        <v>78</v>
      </c>
      <c r="C30">
        <v>3837.1909999999998</v>
      </c>
      <c r="D30" s="54">
        <f t="shared" si="5"/>
        <v>78</v>
      </c>
      <c r="E30">
        <f t="shared" si="6"/>
        <v>-0.43200000000024374</v>
      </c>
      <c r="F30" s="59">
        <f t="shared" si="8"/>
        <v>77.722432650493204</v>
      </c>
      <c r="G30" s="55">
        <f t="shared" si="7"/>
        <v>-0.43200000000024374</v>
      </c>
      <c r="H30" s="54" t="s">
        <v>117</v>
      </c>
      <c r="I30" s="12">
        <f t="shared" si="11"/>
        <v>77.722432650493204</v>
      </c>
      <c r="J30" s="55">
        <f t="shared" si="12"/>
        <v>-0.43200000000024374</v>
      </c>
      <c r="M30" s="81">
        <f t="shared" si="9"/>
        <v>77.722432650493204</v>
      </c>
      <c r="N30" s="73">
        <f t="shared" si="10"/>
        <v>-0.43200000000024374</v>
      </c>
      <c r="O30" s="73"/>
      <c r="P30" s="74">
        <f t="shared" si="0"/>
        <v>77.722432650493204</v>
      </c>
      <c r="Q30" s="73">
        <f t="shared" si="1"/>
        <v>-0.43200000000024374</v>
      </c>
      <c r="R30" s="73"/>
      <c r="S30" s="73"/>
      <c r="T30" s="73"/>
      <c r="W30" s="126"/>
      <c r="Z30" s="127"/>
    </row>
    <row r="31" spans="1:26" x14ac:dyDescent="0.25">
      <c r="A31" t="s">
        <v>32</v>
      </c>
      <c r="B31">
        <v>81</v>
      </c>
      <c r="C31">
        <v>3837.1190000000001</v>
      </c>
      <c r="D31" s="54">
        <f t="shared" si="5"/>
        <v>81</v>
      </c>
      <c r="E31">
        <f t="shared" si="6"/>
        <v>-0.50399999999990541</v>
      </c>
      <c r="F31" s="59">
        <f t="shared" si="8"/>
        <v>80.721568526041366</v>
      </c>
      <c r="G31" s="55">
        <f t="shared" si="7"/>
        <v>-0.50399999999990541</v>
      </c>
      <c r="H31" s="54" t="s">
        <v>118</v>
      </c>
      <c r="I31" s="12">
        <f t="shared" si="11"/>
        <v>80.721568526041366</v>
      </c>
      <c r="J31" s="55">
        <f t="shared" si="12"/>
        <v>-0.50399999999990541</v>
      </c>
      <c r="M31" s="81">
        <f t="shared" si="9"/>
        <v>80.721568526041366</v>
      </c>
      <c r="N31" s="73">
        <f t="shared" si="10"/>
        <v>-0.50399999999990541</v>
      </c>
      <c r="O31" s="73"/>
      <c r="P31" s="74">
        <f t="shared" si="0"/>
        <v>80.721568526041366</v>
      </c>
      <c r="Q31" s="73">
        <f t="shared" si="1"/>
        <v>-0.50399999999990541</v>
      </c>
      <c r="R31" s="73"/>
      <c r="S31" s="73"/>
      <c r="T31" s="73"/>
      <c r="W31" s="126"/>
      <c r="Z31" s="127"/>
    </row>
    <row r="32" spans="1:26" x14ac:dyDescent="0.25">
      <c r="A32" t="s">
        <v>33</v>
      </c>
      <c r="B32">
        <v>84</v>
      </c>
      <c r="C32">
        <v>3836.99</v>
      </c>
      <c r="D32" s="54">
        <f t="shared" si="5"/>
        <v>84</v>
      </c>
      <c r="E32">
        <f t="shared" si="6"/>
        <v>-0.63300000000026557</v>
      </c>
      <c r="F32" s="59">
        <f t="shared" si="8"/>
        <v>83.718793742804351</v>
      </c>
      <c r="G32" s="55">
        <f t="shared" si="7"/>
        <v>-0.63300000000026557</v>
      </c>
      <c r="H32" s="54" t="s">
        <v>119</v>
      </c>
      <c r="I32" s="12">
        <f t="shared" si="11"/>
        <v>83.718793742804351</v>
      </c>
      <c r="J32" s="55">
        <f t="shared" si="12"/>
        <v>-0.63300000000026557</v>
      </c>
      <c r="M32" s="81">
        <f t="shared" si="9"/>
        <v>83.718793742804351</v>
      </c>
      <c r="N32" s="73">
        <f t="shared" si="10"/>
        <v>-0.63300000000026557</v>
      </c>
      <c r="O32" s="73"/>
      <c r="P32" s="74">
        <f t="shared" si="0"/>
        <v>83.718793742804351</v>
      </c>
      <c r="Q32" s="73">
        <f t="shared" si="1"/>
        <v>-0.63300000000026557</v>
      </c>
      <c r="R32" s="73"/>
      <c r="S32" s="73"/>
      <c r="T32" s="73"/>
      <c r="W32" s="126"/>
      <c r="Z32" s="127"/>
    </row>
    <row r="33" spans="1:26" x14ac:dyDescent="0.25">
      <c r="A33" t="s">
        <v>34</v>
      </c>
      <c r="B33">
        <v>87</v>
      </c>
      <c r="C33">
        <v>3836.7330000000002</v>
      </c>
      <c r="D33" s="54">
        <f t="shared" si="5"/>
        <v>87</v>
      </c>
      <c r="E33">
        <f t="shared" si="6"/>
        <v>-0.88999999999987267</v>
      </c>
      <c r="F33" s="59">
        <f t="shared" si="8"/>
        <v>86.707765305064555</v>
      </c>
      <c r="G33" s="55">
        <f t="shared" si="7"/>
        <v>-0.88999999999987267</v>
      </c>
      <c r="H33" s="54" t="s">
        <v>120</v>
      </c>
      <c r="I33" s="12">
        <f t="shared" si="11"/>
        <v>86.707765305064555</v>
      </c>
      <c r="J33" s="55">
        <f t="shared" si="12"/>
        <v>-0.88999999999987267</v>
      </c>
      <c r="M33" s="81">
        <f t="shared" si="9"/>
        <v>86.707765305064555</v>
      </c>
      <c r="N33" s="73">
        <f t="shared" si="10"/>
        <v>-0.88999999999987267</v>
      </c>
      <c r="O33" s="73"/>
      <c r="P33" s="74">
        <f t="shared" si="0"/>
        <v>86.707765305064555</v>
      </c>
      <c r="Q33" s="73">
        <f t="shared" si="1"/>
        <v>-0.88999999999987267</v>
      </c>
      <c r="R33" s="73"/>
      <c r="S33" s="73"/>
      <c r="T33" s="73"/>
      <c r="W33" s="126"/>
      <c r="Z33" s="127"/>
    </row>
    <row r="34" spans="1:26" x14ac:dyDescent="0.25">
      <c r="A34" t="s">
        <v>35</v>
      </c>
      <c r="B34">
        <v>90</v>
      </c>
      <c r="C34">
        <v>3836.4780000000001</v>
      </c>
      <c r="D34" s="54">
        <f t="shared" si="5"/>
        <v>90</v>
      </c>
      <c r="E34">
        <f t="shared" si="6"/>
        <v>-1.1449999999999818</v>
      </c>
      <c r="F34" s="59">
        <f t="shared" si="8"/>
        <v>89.69690815879369</v>
      </c>
      <c r="G34" s="55">
        <f t="shared" si="7"/>
        <v>-1.1449999999999818</v>
      </c>
      <c r="H34" s="54" t="s">
        <v>121</v>
      </c>
      <c r="I34" s="12">
        <f t="shared" si="11"/>
        <v>89.69690815879369</v>
      </c>
      <c r="J34" s="55">
        <f t="shared" si="12"/>
        <v>-1.1449999999999818</v>
      </c>
      <c r="M34" s="81">
        <f t="shared" si="9"/>
        <v>89.69690815879369</v>
      </c>
      <c r="N34" s="73">
        <f t="shared" si="10"/>
        <v>-1.1449999999999818</v>
      </c>
      <c r="O34" s="73"/>
      <c r="P34" s="74">
        <f t="shared" si="0"/>
        <v>89.69690815879369</v>
      </c>
      <c r="Q34" s="73">
        <f t="shared" si="1"/>
        <v>-1.1449999999999818</v>
      </c>
      <c r="R34" s="73"/>
      <c r="S34" s="73"/>
      <c r="T34" s="73"/>
      <c r="W34" s="126"/>
      <c r="Z34" s="127"/>
    </row>
    <row r="35" spans="1:26" x14ac:dyDescent="0.25">
      <c r="A35" t="s">
        <v>36</v>
      </c>
      <c r="B35">
        <v>93</v>
      </c>
      <c r="C35">
        <v>3836.1370000000002</v>
      </c>
      <c r="D35" s="54">
        <f t="shared" si="5"/>
        <v>93</v>
      </c>
      <c r="E35">
        <f t="shared" si="6"/>
        <v>-1.4859999999998763</v>
      </c>
      <c r="F35" s="59">
        <f t="shared" si="8"/>
        <v>92.677464985965429</v>
      </c>
      <c r="G35" s="55">
        <f t="shared" si="7"/>
        <v>-1.4859999999998763</v>
      </c>
      <c r="H35" s="54" t="s">
        <v>122</v>
      </c>
      <c r="I35" s="12">
        <f t="shared" si="11"/>
        <v>92.677464985965429</v>
      </c>
      <c r="J35" s="55">
        <f t="shared" si="12"/>
        <v>-1.4859999999998763</v>
      </c>
      <c r="M35" s="81">
        <f t="shared" si="9"/>
        <v>92.677464985965429</v>
      </c>
      <c r="N35" s="73">
        <f t="shared" si="10"/>
        <v>-1.4859999999998763</v>
      </c>
      <c r="O35" s="73"/>
      <c r="P35" s="74">
        <f t="shared" si="0"/>
        <v>92.677464985965429</v>
      </c>
      <c r="Q35" s="73">
        <f t="shared" si="1"/>
        <v>-1.4859999999998763</v>
      </c>
      <c r="R35" s="73"/>
      <c r="S35" s="73"/>
      <c r="T35" s="73"/>
      <c r="W35" s="126"/>
      <c r="Z35" s="127"/>
    </row>
    <row r="36" spans="1:26" x14ac:dyDescent="0.25">
      <c r="A36" t="s">
        <v>37</v>
      </c>
      <c r="B36">
        <v>96</v>
      </c>
      <c r="C36">
        <v>3835.6219999999998</v>
      </c>
      <c r="D36" s="54">
        <f t="shared" si="5"/>
        <v>96</v>
      </c>
      <c r="E36">
        <f t="shared" si="6"/>
        <v>-2.0010000000002037</v>
      </c>
      <c r="F36" s="59">
        <f t="shared" si="8"/>
        <v>95.63293026236434</v>
      </c>
      <c r="G36" s="55">
        <f t="shared" si="7"/>
        <v>-2.0010000000002037</v>
      </c>
      <c r="H36" s="54" t="s">
        <v>123</v>
      </c>
      <c r="I36" s="12">
        <f t="shared" si="11"/>
        <v>95.63293026236434</v>
      </c>
      <c r="J36" s="55">
        <f t="shared" si="12"/>
        <v>-2.0010000000002037</v>
      </c>
      <c r="M36" s="81">
        <f t="shared" si="9"/>
        <v>95.63293026236434</v>
      </c>
      <c r="N36" s="73">
        <f t="shared" si="10"/>
        <v>-2.0010000000002037</v>
      </c>
      <c r="O36" s="73"/>
      <c r="P36" s="74">
        <f t="shared" si="0"/>
        <v>95.63293026236434</v>
      </c>
      <c r="Q36" s="73">
        <f t="shared" si="1"/>
        <v>-2.0010000000002037</v>
      </c>
      <c r="R36" s="73"/>
      <c r="S36" s="73"/>
      <c r="T36" s="73"/>
      <c r="W36" s="126"/>
      <c r="Z36" s="127"/>
    </row>
    <row r="37" spans="1:26" x14ac:dyDescent="0.25">
      <c r="A37" t="s">
        <v>38</v>
      </c>
      <c r="B37">
        <v>99</v>
      </c>
      <c r="C37">
        <v>3834.9850000000001</v>
      </c>
      <c r="D37" s="54">
        <f t="shared" si="5"/>
        <v>99</v>
      </c>
      <c r="E37">
        <f t="shared" si="6"/>
        <v>-2.63799999999992</v>
      </c>
      <c r="F37" s="59">
        <f t="shared" si="8"/>
        <v>98.564522150741766</v>
      </c>
      <c r="G37" s="55">
        <f t="shared" si="7"/>
        <v>-2.63799999999992</v>
      </c>
      <c r="H37" s="54" t="s">
        <v>124</v>
      </c>
      <c r="I37" s="12">
        <f t="shared" si="11"/>
        <v>98.564522150741766</v>
      </c>
      <c r="J37" s="55">
        <f t="shared" si="12"/>
        <v>-2.63799999999992</v>
      </c>
      <c r="M37" s="81">
        <f t="shared" si="9"/>
        <v>98.564522150741766</v>
      </c>
      <c r="N37" s="73">
        <f t="shared" si="10"/>
        <v>-2.63799999999992</v>
      </c>
      <c r="O37" s="73"/>
      <c r="P37" s="74">
        <f t="shared" si="0"/>
        <v>98.564522150741766</v>
      </c>
      <c r="Q37" s="73">
        <f t="shared" si="1"/>
        <v>-2.63799999999992</v>
      </c>
      <c r="R37" s="73"/>
      <c r="S37" s="73"/>
      <c r="T37" s="73"/>
      <c r="W37" s="126"/>
      <c r="Z37" s="127"/>
    </row>
    <row r="38" spans="1:26" x14ac:dyDescent="0.25">
      <c r="A38" t="s">
        <v>39</v>
      </c>
      <c r="B38">
        <v>102</v>
      </c>
      <c r="C38">
        <v>3834.723</v>
      </c>
      <c r="D38" s="54">
        <f t="shared" si="5"/>
        <v>102</v>
      </c>
      <c r="E38">
        <f t="shared" si="6"/>
        <v>-2.9000000000000909</v>
      </c>
      <c r="F38" s="59">
        <f t="shared" si="8"/>
        <v>101.55305958567544</v>
      </c>
      <c r="G38" s="55">
        <f t="shared" si="7"/>
        <v>-2.9000000000000909</v>
      </c>
      <c r="H38" s="54" t="s">
        <v>125</v>
      </c>
      <c r="I38" s="12">
        <f t="shared" si="11"/>
        <v>101.55305958567544</v>
      </c>
      <c r="J38" s="55">
        <f t="shared" si="12"/>
        <v>-2.9000000000000909</v>
      </c>
      <c r="M38" s="81">
        <f t="shared" si="9"/>
        <v>101.55305958567544</v>
      </c>
      <c r="N38" s="73">
        <f t="shared" si="10"/>
        <v>-2.9000000000000909</v>
      </c>
      <c r="O38" s="73"/>
      <c r="P38" s="74">
        <f t="shared" si="0"/>
        <v>101.55305958567544</v>
      </c>
      <c r="Q38" s="73">
        <f t="shared" si="1"/>
        <v>-2.9000000000000909</v>
      </c>
      <c r="R38" s="73"/>
      <c r="S38" s="73"/>
      <c r="T38" s="73"/>
      <c r="W38" s="126"/>
      <c r="Z38" s="127"/>
    </row>
    <row r="39" spans="1:26" x14ac:dyDescent="0.25">
      <c r="A39" t="s">
        <v>40</v>
      </c>
      <c r="B39">
        <v>105</v>
      </c>
      <c r="C39">
        <v>3834.5309999999999</v>
      </c>
      <c r="D39" s="54">
        <f t="shared" si="5"/>
        <v>105</v>
      </c>
      <c r="E39">
        <f t="shared" si="6"/>
        <v>-3.0920000000000982</v>
      </c>
      <c r="F39" s="59">
        <f t="shared" si="8"/>
        <v>104.54690928130145</v>
      </c>
      <c r="G39" s="55">
        <f t="shared" si="7"/>
        <v>-3.0920000000000982</v>
      </c>
      <c r="H39" s="54" t="s">
        <v>126</v>
      </c>
      <c r="I39" s="12">
        <f t="shared" si="11"/>
        <v>104.54690928130145</v>
      </c>
      <c r="J39" s="55">
        <f>G39</f>
        <v>-3.0920000000000982</v>
      </c>
      <c r="M39" s="81">
        <f t="shared" si="9"/>
        <v>104.54690928130145</v>
      </c>
      <c r="N39" s="73">
        <f t="shared" si="10"/>
        <v>-3.0920000000000982</v>
      </c>
      <c r="O39" s="73"/>
      <c r="P39" s="74">
        <f t="shared" si="0"/>
        <v>104.54690928130145</v>
      </c>
      <c r="Q39" s="73">
        <f t="shared" si="1"/>
        <v>-3.0920000000000982</v>
      </c>
      <c r="R39" s="73"/>
      <c r="S39" s="73"/>
      <c r="T39" s="73"/>
      <c r="U39" s="126"/>
      <c r="V39" s="126"/>
      <c r="W39" s="126"/>
      <c r="X39" s="128"/>
      <c r="Y39" s="128"/>
      <c r="Z39" s="127"/>
    </row>
    <row r="40" spans="1:26" x14ac:dyDescent="0.25">
      <c r="A40" t="s">
        <v>41</v>
      </c>
      <c r="B40">
        <v>108</v>
      </c>
      <c r="C40">
        <v>3834.2060000000001</v>
      </c>
      <c r="D40" s="54">
        <f t="shared" si="5"/>
        <v>108</v>
      </c>
      <c r="E40">
        <f t="shared" si="6"/>
        <v>-3.4169999999999163</v>
      </c>
      <c r="F40" s="59">
        <f t="shared" si="8"/>
        <v>107.52925315818757</v>
      </c>
      <c r="G40" s="55">
        <f t="shared" si="7"/>
        <v>-3.4169999999999163</v>
      </c>
      <c r="H40" s="54" t="s">
        <v>175</v>
      </c>
      <c r="I40" s="12">
        <f>I39+10</f>
        <v>114.54690928130145</v>
      </c>
      <c r="J40" s="55">
        <f>G40</f>
        <v>-3.4169999999999163</v>
      </c>
      <c r="M40" s="81">
        <f t="shared" si="9"/>
        <v>114.54690928130145</v>
      </c>
      <c r="N40" s="73">
        <f t="shared" si="10"/>
        <v>-3.4169999999999163</v>
      </c>
      <c r="O40" s="73"/>
      <c r="P40" s="74">
        <f t="shared" si="0"/>
        <v>107.52925315818757</v>
      </c>
      <c r="Q40" s="73">
        <f t="shared" si="1"/>
        <v>-3.4169999999999163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42</v>
      </c>
      <c r="B41">
        <v>111</v>
      </c>
      <c r="C41">
        <v>3833.9560000000001</v>
      </c>
      <c r="D41" s="54">
        <f t="shared" si="5"/>
        <v>111</v>
      </c>
      <c r="E41">
        <f t="shared" si="6"/>
        <v>-3.6669999999999163</v>
      </c>
      <c r="F41" s="59">
        <f t="shared" si="8"/>
        <v>110.51881834396292</v>
      </c>
      <c r="G41" s="55">
        <f t="shared" si="7"/>
        <v>-3.6669999999999163</v>
      </c>
      <c r="H41" s="54"/>
      <c r="I41" s="12"/>
      <c r="J41" s="55"/>
      <c r="M41" s="81"/>
      <c r="N41" s="73"/>
      <c r="O41" s="73"/>
      <c r="P41" s="74">
        <f t="shared" si="0"/>
        <v>110.51881834396292</v>
      </c>
      <c r="Q41" s="73">
        <f t="shared" si="1"/>
        <v>-3.6669999999999163</v>
      </c>
      <c r="R41" s="73"/>
      <c r="S41" s="73"/>
      <c r="T41" s="73"/>
      <c r="U41" s="73"/>
      <c r="V41" s="73"/>
      <c r="W41" s="73"/>
      <c r="X41" s="74"/>
      <c r="Y41" s="74"/>
      <c r="Z41" s="80"/>
    </row>
    <row r="42" spans="1:26" x14ac:dyDescent="0.25">
      <c r="A42" t="s">
        <v>43</v>
      </c>
      <c r="B42">
        <v>114</v>
      </c>
      <c r="C42">
        <v>3833.7510000000002</v>
      </c>
      <c r="D42" s="54">
        <f t="shared" si="5"/>
        <v>114</v>
      </c>
      <c r="E42">
        <f t="shared" si="6"/>
        <v>-3.8719999999998436</v>
      </c>
      <c r="F42" s="59">
        <f t="shared" si="8"/>
        <v>113.51180598175898</v>
      </c>
      <c r="G42" s="55">
        <f t="shared" si="7"/>
        <v>-3.8719999999998436</v>
      </c>
      <c r="H42" s="54"/>
      <c r="I42" s="12"/>
      <c r="J42" s="55"/>
      <c r="M42" s="81"/>
      <c r="N42" s="73"/>
      <c r="O42" s="73"/>
      <c r="P42" s="74">
        <f t="shared" si="0"/>
        <v>113.51180598175898</v>
      </c>
      <c r="Q42" s="73">
        <f t="shared" si="1"/>
        <v>-3.8719999999998436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44</v>
      </c>
      <c r="B43">
        <v>117</v>
      </c>
      <c r="C43">
        <v>3833.44</v>
      </c>
      <c r="D43" s="54">
        <f t="shared" si="5"/>
        <v>117</v>
      </c>
      <c r="E43">
        <f t="shared" si="6"/>
        <v>-4.1829999999999927</v>
      </c>
      <c r="F43" s="59">
        <f t="shared" si="8"/>
        <v>116.49564227083383</v>
      </c>
      <c r="G43" s="55">
        <f t="shared" si="7"/>
        <v>-4.1829999999999927</v>
      </c>
      <c r="H43" s="54"/>
      <c r="I43" s="12"/>
      <c r="J43" s="55"/>
      <c r="M43" s="81"/>
      <c r="N43" s="73"/>
      <c r="O43" s="73"/>
      <c r="P43" s="74">
        <f t="shared" si="0"/>
        <v>116.49564227083383</v>
      </c>
      <c r="Q43" s="73">
        <f t="shared" si="1"/>
        <v>-4.1829999999999927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45</v>
      </c>
      <c r="B44">
        <v>120</v>
      </c>
      <c r="C44">
        <v>3833.09</v>
      </c>
      <c r="D44" s="54">
        <f t="shared" si="5"/>
        <v>120</v>
      </c>
      <c r="E44">
        <f t="shared" si="6"/>
        <v>-4.5329999999999018</v>
      </c>
      <c r="F44" s="59">
        <f t="shared" si="8"/>
        <v>119.47515565392176</v>
      </c>
      <c r="G44" s="55">
        <f t="shared" si="7"/>
        <v>-4.5329999999999018</v>
      </c>
      <c r="H44" s="54"/>
      <c r="I44" s="12"/>
      <c r="J44" s="55"/>
      <c r="M44" s="81"/>
      <c r="N44" s="73"/>
      <c r="O44" s="73"/>
      <c r="P44" s="74">
        <f t="shared" si="0"/>
        <v>119.47515565392176</v>
      </c>
      <c r="Q44" s="73">
        <f t="shared" si="1"/>
        <v>-4.5329999999999018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46</v>
      </c>
      <c r="B45">
        <v>123</v>
      </c>
      <c r="C45">
        <v>3832.681</v>
      </c>
      <c r="D45" s="54">
        <f t="shared" si="5"/>
        <v>123</v>
      </c>
      <c r="E45">
        <f t="shared" si="6"/>
        <v>-4.9420000000000073</v>
      </c>
      <c r="F45" s="59">
        <f t="shared" si="8"/>
        <v>122.44714471850459</v>
      </c>
      <c r="G45" s="55">
        <f t="shared" si="7"/>
        <v>-4.9420000000000073</v>
      </c>
      <c r="H45" s="54"/>
      <c r="I45" s="12"/>
      <c r="J45" s="55"/>
      <c r="M45" s="81"/>
      <c r="N45" s="73"/>
      <c r="O45" s="73"/>
      <c r="P45" s="74">
        <f t="shared" si="0"/>
        <v>122.44714471850459</v>
      </c>
      <c r="Q45" s="73">
        <f t="shared" si="1"/>
        <v>-4.9420000000000073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47</v>
      </c>
      <c r="B46">
        <v>126</v>
      </c>
      <c r="C46">
        <v>3831.9830000000002</v>
      </c>
      <c r="D46" s="54">
        <f t="shared" si="5"/>
        <v>126</v>
      </c>
      <c r="E46">
        <f t="shared" si="6"/>
        <v>-5.6399999999998727</v>
      </c>
      <c r="F46" s="59">
        <f t="shared" si="8"/>
        <v>125.36481433653886</v>
      </c>
      <c r="G46" s="55">
        <f t="shared" si="7"/>
        <v>-5.6399999999998727</v>
      </c>
      <c r="H46" s="54"/>
      <c r="I46" s="12"/>
      <c r="J46" s="55"/>
      <c r="M46" s="81"/>
      <c r="N46" s="73"/>
      <c r="O46" s="73"/>
      <c r="P46" s="74">
        <f t="shared" si="0"/>
        <v>125.36481433653886</v>
      </c>
      <c r="Q46" s="73">
        <f t="shared" si="1"/>
        <v>-5.6399999999998727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48</v>
      </c>
      <c r="B47">
        <v>129</v>
      </c>
      <c r="C47">
        <v>3831.4009999999998</v>
      </c>
      <c r="D47" s="54">
        <f t="shared" si="5"/>
        <v>129</v>
      </c>
      <c r="E47">
        <f t="shared" si="6"/>
        <v>-6.2220000000002074</v>
      </c>
      <c r="F47" s="59">
        <f t="shared" si="8"/>
        <v>128.30781892369117</v>
      </c>
      <c r="G47" s="55">
        <f t="shared" si="7"/>
        <v>-6.2220000000002074</v>
      </c>
      <c r="H47" s="54"/>
      <c r="I47" s="12"/>
      <c r="J47" s="55"/>
      <c r="M47" s="81"/>
      <c r="N47" s="73"/>
      <c r="O47" s="73"/>
      <c r="P47" s="74">
        <f t="shared" si="0"/>
        <v>128.30781892369117</v>
      </c>
      <c r="Q47" s="73">
        <f t="shared" si="1"/>
        <v>-6.2220000000002074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49</v>
      </c>
      <c r="B48">
        <v>132</v>
      </c>
      <c r="C48">
        <v>3830.806</v>
      </c>
      <c r="D48" s="54">
        <f t="shared" si="5"/>
        <v>132</v>
      </c>
      <c r="E48">
        <f t="shared" si="6"/>
        <v>-6.8170000000000073</v>
      </c>
      <c r="F48" s="59">
        <f t="shared" si="8"/>
        <v>131.24822280751397</v>
      </c>
      <c r="G48" s="55">
        <f t="shared" si="7"/>
        <v>-6.8170000000000073</v>
      </c>
      <c r="H48" s="54"/>
      <c r="I48" s="12"/>
      <c r="J48" s="55"/>
      <c r="M48" s="81"/>
      <c r="N48" s="73"/>
      <c r="O48" s="73"/>
      <c r="P48" s="74">
        <f t="shared" si="0"/>
        <v>131.24822280751397</v>
      </c>
      <c r="Q48" s="73">
        <f t="shared" si="1"/>
        <v>-6.8170000000000073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50</v>
      </c>
      <c r="B49">
        <v>135</v>
      </c>
      <c r="C49">
        <v>3830.11</v>
      </c>
      <c r="D49" s="54">
        <f t="shared" si="5"/>
        <v>135</v>
      </c>
      <c r="E49">
        <f t="shared" si="6"/>
        <v>-7.51299999999992</v>
      </c>
      <c r="F49" s="59">
        <f t="shared" si="8"/>
        <v>134.16637016499956</v>
      </c>
      <c r="G49" s="55">
        <f t="shared" si="7"/>
        <v>-7.51299999999992</v>
      </c>
      <c r="H49" s="54"/>
      <c r="I49" s="12"/>
      <c r="J49" s="55"/>
      <c r="M49" s="81"/>
      <c r="N49" s="73"/>
      <c r="O49" s="73"/>
      <c r="P49" s="74">
        <f t="shared" si="0"/>
        <v>134.16637016499956</v>
      </c>
      <c r="Q49" s="73">
        <f t="shared" si="1"/>
        <v>-7.51299999999992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51</v>
      </c>
      <c r="B50">
        <v>138</v>
      </c>
      <c r="C50">
        <v>3829.623</v>
      </c>
      <c r="D50" s="54">
        <f t="shared" si="5"/>
        <v>138</v>
      </c>
      <c r="E50">
        <f t="shared" si="6"/>
        <v>-8</v>
      </c>
      <c r="F50" s="59">
        <f t="shared" si="8"/>
        <v>137.12657809688542</v>
      </c>
      <c r="G50" s="55">
        <f t="shared" si="7"/>
        <v>-8</v>
      </c>
      <c r="H50" s="54"/>
      <c r="I50" s="12"/>
      <c r="J50" s="55"/>
      <c r="M50" s="81"/>
      <c r="N50" s="73"/>
      <c r="O50" s="73"/>
      <c r="P50" s="74">
        <f t="shared" si="0"/>
        <v>137.12657809688542</v>
      </c>
      <c r="Q50" s="73">
        <f t="shared" si="1"/>
        <v>-8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ht="15.75" thickBot="1" x14ac:dyDescent="0.3">
      <c r="A51" t="s">
        <v>52</v>
      </c>
      <c r="B51">
        <v>141</v>
      </c>
      <c r="C51">
        <v>3829.1030000000001</v>
      </c>
      <c r="D51" s="54">
        <f t="shared" si="5"/>
        <v>141</v>
      </c>
      <c r="E51">
        <f t="shared" si="6"/>
        <v>-8.5199999999999818</v>
      </c>
      <c r="F51" s="59">
        <f t="shared" si="8"/>
        <v>140.08116774690453</v>
      </c>
      <c r="G51" s="55">
        <f t="shared" si="7"/>
        <v>-8.5199999999999818</v>
      </c>
      <c r="H51" s="54"/>
      <c r="I51" s="12"/>
      <c r="J51" s="55"/>
      <c r="M51" s="82"/>
      <c r="N51" s="83"/>
      <c r="O51" s="83"/>
      <c r="P51" s="84">
        <f t="shared" si="0"/>
        <v>140.08116774690453</v>
      </c>
      <c r="Q51" s="83">
        <f t="shared" si="1"/>
        <v>-8.5199999999999818</v>
      </c>
      <c r="R51" s="83"/>
      <c r="S51" s="83"/>
      <c r="T51" s="83"/>
      <c r="U51" s="83"/>
      <c r="V51" s="83"/>
      <c r="W51" s="83"/>
      <c r="X51" s="84"/>
      <c r="Y51" s="84"/>
      <c r="Z51" s="85"/>
    </row>
    <row r="52" spans="1:26" x14ac:dyDescent="0.25">
      <c r="D52" s="54"/>
      <c r="E52" s="55"/>
      <c r="F52" s="107"/>
      <c r="G52" s="55"/>
      <c r="H52" s="54"/>
      <c r="I52" s="12"/>
      <c r="J52" s="55"/>
      <c r="M52" s="70"/>
      <c r="N52" s="68"/>
      <c r="O52" s="68"/>
      <c r="P52" s="70"/>
      <c r="Q52" s="68"/>
      <c r="R52" s="68"/>
      <c r="S52" s="68"/>
      <c r="T52" s="68"/>
      <c r="U52" s="68"/>
      <c r="V52" s="68"/>
      <c r="W52" s="68"/>
      <c r="X52" s="70"/>
      <c r="Y52" s="70"/>
      <c r="Z52" s="68"/>
    </row>
    <row r="53" spans="1:26" x14ac:dyDescent="0.25">
      <c r="D53" s="54"/>
      <c r="E53" s="55"/>
      <c r="F53" s="107"/>
      <c r="G53" s="55"/>
      <c r="H53" s="54"/>
      <c r="I53" s="12"/>
      <c r="J53" s="55"/>
      <c r="X53" s="12"/>
      <c r="Y53" s="12"/>
    </row>
    <row r="54" spans="1:26" x14ac:dyDescent="0.25">
      <c r="D54" s="54"/>
      <c r="E54" s="55"/>
      <c r="F54" s="107"/>
      <c r="G54" s="55"/>
      <c r="H54" s="54"/>
      <c r="I54" s="12"/>
      <c r="J54" s="55"/>
      <c r="X54" s="12"/>
      <c r="Y54" s="12"/>
    </row>
    <row r="55" spans="1:26" x14ac:dyDescent="0.25">
      <c r="D55" s="54"/>
      <c r="E55" s="55"/>
      <c r="F55" s="107"/>
      <c r="G55" s="55"/>
      <c r="H55" s="54"/>
      <c r="I55" s="12"/>
      <c r="J55" s="55"/>
      <c r="X55" s="12"/>
      <c r="Y55" s="12"/>
    </row>
    <row r="56" spans="1:26" x14ac:dyDescent="0.25">
      <c r="D56" s="54"/>
      <c r="E56" s="55"/>
      <c r="F56" s="107"/>
      <c r="G56" s="55"/>
      <c r="H56" s="54"/>
      <c r="I56" s="12"/>
      <c r="J56" s="55"/>
      <c r="X56" s="12"/>
      <c r="Y56" s="12"/>
    </row>
    <row r="57" spans="1:26" x14ac:dyDescent="0.25">
      <c r="D57" s="54"/>
      <c r="E57" s="55"/>
      <c r="F57" s="107"/>
      <c r="G57" s="55"/>
      <c r="H57" s="54"/>
      <c r="I57" s="12"/>
      <c r="J57" s="55"/>
    </row>
    <row r="58" spans="1:26" x14ac:dyDescent="0.25">
      <c r="D58" s="54"/>
      <c r="E58" s="55"/>
      <c r="F58" s="107"/>
      <c r="G58" s="55"/>
      <c r="H58" s="65"/>
      <c r="I58" s="64"/>
      <c r="J58" s="66"/>
    </row>
    <row r="59" spans="1:26" x14ac:dyDescent="0.25">
      <c r="D59" s="54"/>
      <c r="E59" s="55"/>
      <c r="F59" s="107"/>
      <c r="I59" s="12"/>
    </row>
    <row r="60" spans="1:26" x14ac:dyDescent="0.25">
      <c r="D60" s="54"/>
      <c r="E60" s="55"/>
      <c r="F60" s="107"/>
      <c r="I60" s="12"/>
    </row>
    <row r="61" spans="1:26" x14ac:dyDescent="0.25">
      <c r="D61" s="54"/>
      <c r="E61" s="55"/>
      <c r="F61" s="107"/>
      <c r="I61" s="12"/>
    </row>
    <row r="62" spans="1:26" x14ac:dyDescent="0.25">
      <c r="D62" s="54"/>
      <c r="E62" s="55"/>
      <c r="F62" s="107"/>
      <c r="I62" s="12"/>
    </row>
    <row r="63" spans="1:26" x14ac:dyDescent="0.25">
      <c r="D63" s="54"/>
      <c r="E63" s="55"/>
      <c r="F63" s="107"/>
      <c r="I63" s="12"/>
    </row>
    <row r="64" spans="1:26" x14ac:dyDescent="0.25">
      <c r="D64" s="54"/>
      <c r="E64" s="55"/>
      <c r="F64" s="107"/>
      <c r="I64" s="12"/>
    </row>
    <row r="65" spans="4:9" x14ac:dyDescent="0.25">
      <c r="D65" s="54"/>
      <c r="E65" s="55"/>
      <c r="F65" s="107"/>
      <c r="I65" s="12"/>
    </row>
    <row r="66" spans="4:9" x14ac:dyDescent="0.25">
      <c r="D66" s="54"/>
      <c r="E66" s="55"/>
      <c r="F66" s="107"/>
      <c r="I66" s="12"/>
    </row>
    <row r="67" spans="4:9" x14ac:dyDescent="0.25">
      <c r="D67" s="54"/>
      <c r="E67" s="55"/>
      <c r="F67" s="107"/>
      <c r="I67" s="12"/>
    </row>
    <row r="68" spans="4:9" x14ac:dyDescent="0.25">
      <c r="D68" s="54"/>
      <c r="E68" s="55"/>
      <c r="F68" s="107"/>
      <c r="I68" s="12"/>
    </row>
    <row r="69" spans="4:9" x14ac:dyDescent="0.25">
      <c r="D69" s="54"/>
      <c r="E69" s="55"/>
      <c r="F69" s="107"/>
      <c r="I69" s="12"/>
    </row>
    <row r="70" spans="4:9" x14ac:dyDescent="0.25">
      <c r="D70" s="54"/>
      <c r="E70" s="55"/>
      <c r="F70" s="107"/>
      <c r="I70" s="12"/>
    </row>
    <row r="71" spans="4:9" x14ac:dyDescent="0.25">
      <c r="D71" s="54"/>
      <c r="E71" s="55"/>
      <c r="F71" s="107"/>
      <c r="I71" s="12"/>
    </row>
    <row r="72" spans="4:9" x14ac:dyDescent="0.25">
      <c r="D72" s="54"/>
      <c r="E72" s="55"/>
      <c r="F72" s="107"/>
      <c r="I72" s="12"/>
    </row>
    <row r="73" spans="4:9" x14ac:dyDescent="0.25">
      <c r="D73" s="54"/>
      <c r="E73" s="55"/>
      <c r="F73" s="107"/>
      <c r="I73" s="12"/>
    </row>
    <row r="74" spans="4:9" x14ac:dyDescent="0.25">
      <c r="D74" s="54"/>
      <c r="E74" s="55"/>
      <c r="F74" s="107"/>
      <c r="I74" s="12"/>
    </row>
    <row r="75" spans="4:9" x14ac:dyDescent="0.25">
      <c r="D75" s="54"/>
      <c r="E75" s="55"/>
      <c r="F75" s="107"/>
      <c r="I75" s="12"/>
    </row>
    <row r="76" spans="4:9" x14ac:dyDescent="0.25">
      <c r="D76" s="56"/>
      <c r="E76" s="57"/>
      <c r="F76" s="108"/>
      <c r="I76" s="12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CDFE-CDD4-4639-8CB7-92DC135E4BDF}">
  <dimension ref="A1:Z77"/>
  <sheetViews>
    <sheetView workbookViewId="0">
      <selection activeCell="J27" sqref="J27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331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MAX(J17:J40)</f>
        <v>0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s="1" customFormat="1" ht="15.75" x14ac:dyDescent="0.25">
      <c r="A2" s="135" t="s">
        <v>332</v>
      </c>
      <c r="B2" s="136">
        <v>5</v>
      </c>
      <c r="D2" s="62"/>
      <c r="F2" s="62"/>
      <c r="G2" s="58"/>
      <c r="H2" s="62"/>
      <c r="M2" s="131"/>
      <c r="N2" s="132"/>
      <c r="O2" s="132"/>
      <c r="P2" s="133"/>
      <c r="Q2" s="132"/>
      <c r="R2" s="132"/>
      <c r="S2" s="132"/>
      <c r="T2" s="132"/>
      <c r="U2" s="67"/>
      <c r="V2" s="67"/>
      <c r="W2" s="67"/>
      <c r="X2" s="67"/>
      <c r="Y2" s="67"/>
      <c r="Z2" s="134"/>
    </row>
    <row r="3" spans="1:26" x14ac:dyDescent="0.25">
      <c r="A3" s="1" t="s">
        <v>175</v>
      </c>
      <c r="B3">
        <v>10</v>
      </c>
      <c r="C3" s="1"/>
      <c r="D3" s="62"/>
      <c r="E3" s="1"/>
      <c r="F3" s="62"/>
      <c r="G3" s="58"/>
      <c r="H3" s="62"/>
      <c r="I3" s="1"/>
      <c r="J3" s="119"/>
      <c r="K3" s="1"/>
      <c r="L3" s="1"/>
      <c r="M3" s="79" t="s">
        <v>328</v>
      </c>
      <c r="N3" s="72"/>
      <c r="O3" s="73"/>
      <c r="P3" s="71" t="s">
        <v>325</v>
      </c>
      <c r="Q3" s="73"/>
      <c r="R3" s="73"/>
      <c r="S3" s="73"/>
      <c r="T3" s="73"/>
      <c r="Z3" s="80"/>
    </row>
    <row r="4" spans="1:26" x14ac:dyDescent="0.25">
      <c r="A4" s="1" t="s">
        <v>175</v>
      </c>
      <c r="B4" s="109"/>
      <c r="C4" s="109"/>
      <c r="D4" s="110"/>
      <c r="E4" s="109"/>
      <c r="F4" s="110"/>
      <c r="G4" s="111"/>
      <c r="H4" s="120"/>
      <c r="I4" s="120"/>
      <c r="J4" s="121"/>
      <c r="K4" s="114"/>
      <c r="L4" s="114" t="s">
        <v>175</v>
      </c>
      <c r="M4" s="122"/>
      <c r="N4" s="120"/>
      <c r="O4" s="116"/>
      <c r="P4" s="71"/>
      <c r="Q4" s="116"/>
      <c r="R4" s="73"/>
      <c r="S4" s="73"/>
      <c r="T4" s="116"/>
      <c r="U4" s="116">
        <f>-B3</f>
        <v>-10</v>
      </c>
      <c r="V4" s="116">
        <f>J16</f>
        <v>-1.7</v>
      </c>
      <c r="W4" s="116"/>
      <c r="X4" s="117">
        <f>M16-(MIN($M$17:$M$41))</f>
        <v>-10</v>
      </c>
      <c r="Y4" s="117">
        <f>V4</f>
        <v>-1.7</v>
      </c>
      <c r="Z4" s="118"/>
    </row>
    <row r="5" spans="1:26" x14ac:dyDescent="0.25">
      <c r="A5" t="s">
        <v>5</v>
      </c>
      <c r="B5">
        <v>0</v>
      </c>
      <c r="C5">
        <v>3953.489</v>
      </c>
      <c r="D5" s="54">
        <f>B5</f>
        <v>0</v>
      </c>
      <c r="E5">
        <f>C5-(MAX($C$5:$C$52))</f>
        <v>-15.751999999999953</v>
      </c>
      <c r="F5" s="54">
        <v>0</v>
      </c>
      <c r="G5" s="55">
        <f>E5</f>
        <v>-15.751999999999953</v>
      </c>
      <c r="J5" s="63"/>
      <c r="M5" s="15"/>
      <c r="O5" s="73"/>
      <c r="P5" s="117">
        <f t="shared" ref="P5:P52" si="0">F5</f>
        <v>0</v>
      </c>
      <c r="Q5" s="116">
        <f t="shared" ref="Q5:Q52" si="1">G5-$S$1</f>
        <v>-15.751999999999953</v>
      </c>
      <c r="R5" s="116"/>
      <c r="S5" s="116"/>
      <c r="T5" s="73"/>
      <c r="U5" s="73">
        <v>0</v>
      </c>
      <c r="V5" s="116">
        <f t="shared" ref="V5:V29" si="2">J17</f>
        <v>-0.30400000000008731</v>
      </c>
      <c r="W5" s="73"/>
      <c r="X5" s="117">
        <f t="shared" ref="X5:X29" si="3">M17-(MIN($M$17:$M$41))</f>
        <v>0</v>
      </c>
      <c r="Y5" s="117">
        <f t="shared" ref="Y5:Y29" si="4">V5</f>
        <v>-0.30400000000008731</v>
      </c>
      <c r="Z5" s="80"/>
    </row>
    <row r="6" spans="1:26" x14ac:dyDescent="0.25">
      <c r="A6" t="s">
        <v>6</v>
      </c>
      <c r="B6">
        <f>B5+$B$2</f>
        <v>5</v>
      </c>
      <c r="C6">
        <v>3953.63</v>
      </c>
      <c r="D6" s="54">
        <f t="shared" ref="D6:D52" si="5">B6</f>
        <v>5</v>
      </c>
      <c r="E6">
        <f t="shared" ref="E6:E52" si="6">C6-(MAX($C$5:$C$52))</f>
        <v>-15.610999999999876</v>
      </c>
      <c r="F6" s="59">
        <f>F5+(SQRT((D6-D5)^2-(E6-E5)^2))</f>
        <v>4.9980115045885976</v>
      </c>
      <c r="G6" s="55">
        <f t="shared" ref="G6:G52" si="7">E6</f>
        <v>-15.610999999999876</v>
      </c>
      <c r="J6" s="63"/>
      <c r="M6" s="15"/>
      <c r="O6" s="73"/>
      <c r="P6" s="74">
        <f t="shared" si="0"/>
        <v>4.9980115045885976</v>
      </c>
      <c r="Q6" s="73">
        <f t="shared" si="1"/>
        <v>-15.610999999999876</v>
      </c>
      <c r="R6" s="73"/>
      <c r="S6" s="73"/>
      <c r="T6" s="73"/>
      <c r="U6" s="73">
        <v>5</v>
      </c>
      <c r="V6" s="116">
        <f t="shared" si="2"/>
        <v>-5.4000000000087311E-2</v>
      </c>
      <c r="W6" s="73"/>
      <c r="X6" s="117">
        <f t="shared" si="3"/>
        <v>4.9937460888595453</v>
      </c>
      <c r="Y6" s="117">
        <f t="shared" si="4"/>
        <v>-5.4000000000087311E-2</v>
      </c>
      <c r="Z6" s="80"/>
    </row>
    <row r="7" spans="1:26" x14ac:dyDescent="0.25">
      <c r="A7" t="s">
        <v>7</v>
      </c>
      <c r="B7">
        <f t="shared" ref="B7:B52" si="8">B6+$B$2</f>
        <v>10</v>
      </c>
      <c r="C7">
        <v>3954.0140000000001</v>
      </c>
      <c r="D7" s="54">
        <f t="shared" si="5"/>
        <v>10</v>
      </c>
      <c r="E7">
        <f t="shared" si="6"/>
        <v>-15.226999999999862</v>
      </c>
      <c r="F7" s="59">
        <f t="shared" ref="F7:F52" si="9">F6+(SQRT((D7-D6)^2-(E7-E6)^2))</f>
        <v>9.9832440969557759</v>
      </c>
      <c r="G7" s="55">
        <f t="shared" si="7"/>
        <v>-15.226999999999862</v>
      </c>
      <c r="J7" s="63"/>
      <c r="M7" s="15"/>
      <c r="O7" s="73"/>
      <c r="P7" s="74">
        <f t="shared" si="0"/>
        <v>9.9832440969557759</v>
      </c>
      <c r="Q7" s="73">
        <f t="shared" si="1"/>
        <v>-15.226999999999862</v>
      </c>
      <c r="R7" s="73"/>
      <c r="S7" s="73"/>
      <c r="T7" s="73"/>
      <c r="U7" s="73">
        <v>10</v>
      </c>
      <c r="V7" s="116">
        <f t="shared" si="2"/>
        <v>0</v>
      </c>
      <c r="W7" s="73"/>
      <c r="X7" s="117">
        <f t="shared" si="3"/>
        <v>9.993454480355993</v>
      </c>
      <c r="Y7" s="117">
        <f t="shared" si="4"/>
        <v>0</v>
      </c>
      <c r="Z7" s="80"/>
    </row>
    <row r="8" spans="1:26" x14ac:dyDescent="0.25">
      <c r="A8" t="s">
        <v>8</v>
      </c>
      <c r="B8">
        <f t="shared" si="8"/>
        <v>15</v>
      </c>
      <c r="C8">
        <v>3955.7139999999999</v>
      </c>
      <c r="D8" s="54">
        <f t="shared" si="5"/>
        <v>15</v>
      </c>
      <c r="E8">
        <f t="shared" si="6"/>
        <v>-13.527000000000044</v>
      </c>
      <c r="F8" s="59">
        <f t="shared" si="9"/>
        <v>14.685371275159341</v>
      </c>
      <c r="G8" s="55">
        <f t="shared" si="7"/>
        <v>-13.527000000000044</v>
      </c>
      <c r="J8" s="63"/>
      <c r="M8" s="15"/>
      <c r="O8" s="73"/>
      <c r="P8" s="74">
        <f t="shared" si="0"/>
        <v>14.685371275159341</v>
      </c>
      <c r="Q8" s="73">
        <f t="shared" si="1"/>
        <v>-13.527000000000044</v>
      </c>
      <c r="R8" s="73"/>
      <c r="S8" s="73"/>
      <c r="T8" s="73"/>
      <c r="U8" s="73">
        <v>15</v>
      </c>
      <c r="V8" s="116">
        <f t="shared" si="2"/>
        <v>-0.13599999999996726</v>
      </c>
      <c r="W8" s="73"/>
      <c r="X8" s="117">
        <f t="shared" si="3"/>
        <v>14.991604538127362</v>
      </c>
      <c r="Y8" s="117">
        <f t="shared" si="4"/>
        <v>-0.13599999999996726</v>
      </c>
      <c r="Z8" s="80"/>
    </row>
    <row r="9" spans="1:26" x14ac:dyDescent="0.25">
      <c r="A9" t="s">
        <v>9</v>
      </c>
      <c r="B9">
        <f t="shared" si="8"/>
        <v>20</v>
      </c>
      <c r="C9">
        <v>3956.962</v>
      </c>
      <c r="D9" s="54">
        <f t="shared" si="5"/>
        <v>20</v>
      </c>
      <c r="E9">
        <f t="shared" si="6"/>
        <v>-12.278999999999996</v>
      </c>
      <c r="F9" s="59">
        <f t="shared" si="9"/>
        <v>19.527116415085633</v>
      </c>
      <c r="G9" s="55">
        <f t="shared" si="7"/>
        <v>-12.278999999999996</v>
      </c>
      <c r="J9" s="63"/>
      <c r="M9" s="15"/>
      <c r="O9" s="73"/>
      <c r="P9" s="74">
        <f t="shared" si="0"/>
        <v>19.527116415085633</v>
      </c>
      <c r="Q9" s="73">
        <f t="shared" si="1"/>
        <v>-12.278999999999996</v>
      </c>
      <c r="R9" s="73"/>
      <c r="S9" s="73"/>
      <c r="T9" s="73"/>
      <c r="U9" s="73">
        <v>20</v>
      </c>
      <c r="V9" s="116">
        <f t="shared" si="2"/>
        <v>-0.38799999999991996</v>
      </c>
      <c r="W9" s="73"/>
      <c r="X9" s="117">
        <f t="shared" si="3"/>
        <v>19.98525010023927</v>
      </c>
      <c r="Y9" s="117">
        <f t="shared" si="4"/>
        <v>-0.38799999999991996</v>
      </c>
      <c r="Z9" s="80"/>
    </row>
    <row r="10" spans="1:26" x14ac:dyDescent="0.25">
      <c r="A10" t="s">
        <v>10</v>
      </c>
      <c r="B10">
        <f t="shared" si="8"/>
        <v>25</v>
      </c>
      <c r="C10">
        <v>3958.779</v>
      </c>
      <c r="D10" s="54">
        <f t="shared" si="5"/>
        <v>25</v>
      </c>
      <c r="E10">
        <f t="shared" si="6"/>
        <v>-10.461999999999989</v>
      </c>
      <c r="F10" s="59">
        <f t="shared" si="9"/>
        <v>24.185282470519894</v>
      </c>
      <c r="G10" s="55">
        <f t="shared" si="7"/>
        <v>-10.461999999999989</v>
      </c>
      <c r="J10" s="63"/>
      <c r="M10" s="15"/>
      <c r="O10" s="73"/>
      <c r="P10" s="74">
        <f t="shared" si="0"/>
        <v>24.185282470519894</v>
      </c>
      <c r="Q10" s="73">
        <f t="shared" si="1"/>
        <v>-10.461999999999989</v>
      </c>
      <c r="R10" s="73"/>
      <c r="S10" s="73"/>
      <c r="T10" s="73"/>
      <c r="U10" s="73">
        <v>25</v>
      </c>
      <c r="V10" s="116">
        <f t="shared" si="2"/>
        <v>-0.67700000000013461</v>
      </c>
      <c r="W10" s="73"/>
      <c r="X10" s="117">
        <f t="shared" si="3"/>
        <v>24.976891012804984</v>
      </c>
      <c r="Y10" s="117">
        <f t="shared" si="4"/>
        <v>-0.67700000000013461</v>
      </c>
      <c r="Z10" s="80"/>
    </row>
    <row r="11" spans="1:26" x14ac:dyDescent="0.25">
      <c r="A11" t="s">
        <v>11</v>
      </c>
      <c r="B11">
        <f t="shared" si="8"/>
        <v>30</v>
      </c>
      <c r="C11">
        <v>3960.2620000000002</v>
      </c>
      <c r="D11" s="54">
        <f t="shared" si="5"/>
        <v>30</v>
      </c>
      <c r="E11">
        <f t="shared" si="6"/>
        <v>-8.9789999999998145</v>
      </c>
      <c r="F11" s="59">
        <f t="shared" si="9"/>
        <v>28.960291475746949</v>
      </c>
      <c r="G11" s="55">
        <f t="shared" si="7"/>
        <v>-8.9789999999998145</v>
      </c>
      <c r="J11" s="63"/>
      <c r="M11" s="15"/>
      <c r="O11" s="73"/>
      <c r="P11" s="74">
        <f t="shared" si="0"/>
        <v>28.960291475746949</v>
      </c>
      <c r="Q11" s="73">
        <f t="shared" si="1"/>
        <v>-8.9789999999998145</v>
      </c>
      <c r="R11" s="73"/>
      <c r="S11" s="73"/>
      <c r="T11" s="73"/>
      <c r="U11" s="73">
        <v>30</v>
      </c>
      <c r="V11" s="116">
        <f t="shared" si="2"/>
        <v>-0.59499999999979991</v>
      </c>
      <c r="W11" s="73"/>
      <c r="X11" s="117">
        <f t="shared" si="3"/>
        <v>29.976218567586727</v>
      </c>
      <c r="Y11" s="117">
        <f t="shared" si="4"/>
        <v>-0.59499999999979991</v>
      </c>
      <c r="Z11" s="80"/>
    </row>
    <row r="12" spans="1:26" x14ac:dyDescent="0.25">
      <c r="A12" t="s">
        <v>12</v>
      </c>
      <c r="B12">
        <f t="shared" si="8"/>
        <v>35</v>
      </c>
      <c r="C12">
        <v>3961.6410000000001</v>
      </c>
      <c r="D12" s="54">
        <f t="shared" si="5"/>
        <v>35</v>
      </c>
      <c r="E12">
        <f t="shared" si="6"/>
        <v>-7.5999999999999091</v>
      </c>
      <c r="F12" s="59">
        <f t="shared" si="9"/>
        <v>33.76636669363527</v>
      </c>
      <c r="G12" s="55">
        <f t="shared" si="7"/>
        <v>-7.5999999999999091</v>
      </c>
      <c r="J12" s="63"/>
      <c r="M12" s="15"/>
      <c r="O12" s="73"/>
      <c r="P12" s="74">
        <f t="shared" si="0"/>
        <v>33.76636669363527</v>
      </c>
      <c r="Q12" s="73">
        <f t="shared" si="1"/>
        <v>-7.5999999999999091</v>
      </c>
      <c r="R12" s="73"/>
      <c r="S12" s="73"/>
      <c r="T12" s="73"/>
      <c r="U12" s="73">
        <v>35</v>
      </c>
      <c r="V12" s="116">
        <f t="shared" si="2"/>
        <v>-0.55600000000004002</v>
      </c>
      <c r="W12" s="73"/>
      <c r="X12" s="117">
        <f t="shared" si="3"/>
        <v>34.97606646527322</v>
      </c>
      <c r="Y12" s="117">
        <f t="shared" si="4"/>
        <v>-0.55600000000004002</v>
      </c>
      <c r="Z12" s="80"/>
    </row>
    <row r="13" spans="1:26" x14ac:dyDescent="0.25">
      <c r="A13" t="s">
        <v>13</v>
      </c>
      <c r="B13">
        <f t="shared" si="8"/>
        <v>40</v>
      </c>
      <c r="C13">
        <v>3963.739</v>
      </c>
      <c r="D13" s="54">
        <f t="shared" si="5"/>
        <v>40</v>
      </c>
      <c r="E13">
        <f t="shared" si="6"/>
        <v>-5.5019999999999527</v>
      </c>
      <c r="F13" s="59">
        <f t="shared" si="9"/>
        <v>38.304912275647219</v>
      </c>
      <c r="G13" s="55">
        <f t="shared" si="7"/>
        <v>-5.5019999999999527</v>
      </c>
      <c r="J13" s="63"/>
      <c r="M13" s="15"/>
      <c r="O13" s="73"/>
      <c r="P13" s="74">
        <f t="shared" si="0"/>
        <v>38.304912275647219</v>
      </c>
      <c r="Q13" s="73">
        <f t="shared" si="1"/>
        <v>-5.5019999999999527</v>
      </c>
      <c r="R13" s="73"/>
      <c r="S13" s="73"/>
      <c r="T13" s="73"/>
      <c r="U13" s="73">
        <v>40</v>
      </c>
      <c r="V13" s="116">
        <f t="shared" si="2"/>
        <v>-0.62600000000020373</v>
      </c>
      <c r="W13" s="73"/>
      <c r="X13" s="117">
        <f t="shared" si="3"/>
        <v>39.97557644126087</v>
      </c>
      <c r="Y13" s="117">
        <f t="shared" si="4"/>
        <v>-0.62600000000020373</v>
      </c>
      <c r="Z13" s="80"/>
    </row>
    <row r="14" spans="1:26" x14ac:dyDescent="0.25">
      <c r="A14" t="s">
        <v>14</v>
      </c>
      <c r="B14">
        <f t="shared" si="8"/>
        <v>45</v>
      </c>
      <c r="C14">
        <v>3965.348</v>
      </c>
      <c r="D14" s="54">
        <f t="shared" si="5"/>
        <v>45</v>
      </c>
      <c r="E14">
        <f t="shared" si="6"/>
        <v>-3.8930000000000291</v>
      </c>
      <c r="F14" s="59">
        <f t="shared" si="9"/>
        <v>43.038950615162463</v>
      </c>
      <c r="G14" s="55">
        <f t="shared" si="7"/>
        <v>-3.8930000000000291</v>
      </c>
      <c r="J14" s="63"/>
      <c r="M14" s="15"/>
      <c r="O14" s="73"/>
      <c r="P14" s="74">
        <f t="shared" si="0"/>
        <v>43.038950615162463</v>
      </c>
      <c r="Q14" s="73">
        <f t="shared" si="1"/>
        <v>-3.8930000000000291</v>
      </c>
      <c r="R14" s="73"/>
      <c r="S14" s="73"/>
      <c r="T14" s="73"/>
      <c r="U14" s="73">
        <v>45</v>
      </c>
      <c r="V14" s="116">
        <f t="shared" si="2"/>
        <v>-0.47800000000006548</v>
      </c>
      <c r="W14" s="73"/>
      <c r="X14" s="117">
        <f t="shared" si="3"/>
        <v>44.973385561265346</v>
      </c>
      <c r="Y14" s="117">
        <f t="shared" si="4"/>
        <v>-0.47800000000006548</v>
      </c>
      <c r="Z14" s="80"/>
    </row>
    <row r="15" spans="1:26" x14ac:dyDescent="0.25">
      <c r="A15" t="s">
        <v>15</v>
      </c>
      <c r="B15">
        <f t="shared" si="8"/>
        <v>50</v>
      </c>
      <c r="C15">
        <v>3966.9670000000001</v>
      </c>
      <c r="D15" s="54">
        <f t="shared" si="5"/>
        <v>50</v>
      </c>
      <c r="E15">
        <f t="shared" si="6"/>
        <v>-2.2739999999998872</v>
      </c>
      <c r="F15" s="59">
        <f t="shared" si="9"/>
        <v>47.769578374773182</v>
      </c>
      <c r="G15" s="55">
        <f t="shared" si="7"/>
        <v>-2.2739999999998872</v>
      </c>
      <c r="J15" s="63"/>
      <c r="M15" s="15"/>
      <c r="O15" s="73"/>
      <c r="P15" s="74">
        <f t="shared" si="0"/>
        <v>47.769578374773182</v>
      </c>
      <c r="Q15" s="73">
        <f t="shared" si="1"/>
        <v>-2.2739999999998872</v>
      </c>
      <c r="R15" s="73"/>
      <c r="S15" s="73"/>
      <c r="T15" s="73"/>
      <c r="U15" s="73">
        <v>50</v>
      </c>
      <c r="V15" s="116">
        <f t="shared" si="2"/>
        <v>-0.49400000000014188</v>
      </c>
      <c r="W15" s="73"/>
      <c r="X15" s="117">
        <f t="shared" si="3"/>
        <v>49.973359961199805</v>
      </c>
      <c r="Y15" s="117">
        <f t="shared" si="4"/>
        <v>-0.49400000000014188</v>
      </c>
      <c r="Z15" s="80"/>
    </row>
    <row r="16" spans="1:26" x14ac:dyDescent="0.25">
      <c r="A16" t="s">
        <v>16</v>
      </c>
      <c r="B16">
        <f t="shared" si="8"/>
        <v>55</v>
      </c>
      <c r="C16">
        <v>3968.2089999999998</v>
      </c>
      <c r="D16" s="54">
        <f t="shared" si="5"/>
        <v>55</v>
      </c>
      <c r="E16">
        <f t="shared" si="6"/>
        <v>-1.0320000000001528</v>
      </c>
      <c r="F16" s="59">
        <f t="shared" si="9"/>
        <v>52.612866101101304</v>
      </c>
      <c r="G16" s="55">
        <f t="shared" si="7"/>
        <v>-1.0320000000001528</v>
      </c>
      <c r="H16" s="112" t="s">
        <v>175</v>
      </c>
      <c r="I16" s="123">
        <f>I17-B3</f>
        <v>47.5595838007482</v>
      </c>
      <c r="J16" s="113">
        <v>-1.7</v>
      </c>
      <c r="M16" s="115">
        <f>I16</f>
        <v>47.5595838007482</v>
      </c>
      <c r="N16" s="116">
        <f>J16</f>
        <v>-1.7</v>
      </c>
      <c r="O16" s="73"/>
      <c r="P16" s="74">
        <f t="shared" si="0"/>
        <v>52.612866101101304</v>
      </c>
      <c r="Q16" s="73">
        <f t="shared" si="1"/>
        <v>-1.0320000000001528</v>
      </c>
      <c r="R16" s="73"/>
      <c r="S16" s="73"/>
      <c r="T16" s="73"/>
      <c r="U16" s="73">
        <v>55</v>
      </c>
      <c r="V16" s="116">
        <f t="shared" si="2"/>
        <v>-0.73999999999978172</v>
      </c>
      <c r="W16" s="73"/>
      <c r="X16" s="117">
        <f t="shared" si="3"/>
        <v>54.967304694574437</v>
      </c>
      <c r="Y16" s="117">
        <f t="shared" si="4"/>
        <v>-0.73999999999978172</v>
      </c>
      <c r="Z16" s="80"/>
    </row>
    <row r="17" spans="1:26" x14ac:dyDescent="0.25">
      <c r="A17" t="s">
        <v>17</v>
      </c>
      <c r="B17">
        <f t="shared" si="8"/>
        <v>60</v>
      </c>
      <c r="C17">
        <v>3968.9369999999999</v>
      </c>
      <c r="D17" s="54">
        <f t="shared" si="5"/>
        <v>60</v>
      </c>
      <c r="E17">
        <f t="shared" si="6"/>
        <v>-0.30400000000008731</v>
      </c>
      <c r="F17" s="59">
        <f t="shared" si="9"/>
        <v>57.5595838007482</v>
      </c>
      <c r="G17" s="55">
        <f t="shared" si="7"/>
        <v>-0.30400000000008731</v>
      </c>
      <c r="H17" s="54" t="s">
        <v>103</v>
      </c>
      <c r="I17" s="12">
        <f>F17</f>
        <v>57.5595838007482</v>
      </c>
      <c r="J17" s="55">
        <f>G17</f>
        <v>-0.30400000000008731</v>
      </c>
      <c r="M17" s="81">
        <f t="shared" ref="M17:M41" si="10">I17</f>
        <v>57.5595838007482</v>
      </c>
      <c r="N17" s="73">
        <f t="shared" ref="N17:N41" si="11">J17-$S$1</f>
        <v>-0.30400000000008731</v>
      </c>
      <c r="O17" s="73"/>
      <c r="P17" s="74">
        <f t="shared" si="0"/>
        <v>57.5595838007482</v>
      </c>
      <c r="Q17" s="73">
        <f t="shared" si="1"/>
        <v>-0.30400000000008731</v>
      </c>
      <c r="R17" s="73"/>
      <c r="S17" s="73"/>
      <c r="T17" s="73"/>
      <c r="U17" s="73">
        <v>60</v>
      </c>
      <c r="V17" s="116">
        <f t="shared" si="2"/>
        <v>-0.96399999999994179</v>
      </c>
      <c r="W17" s="73"/>
      <c r="X17" s="117">
        <f t="shared" si="3"/>
        <v>59.962284574413786</v>
      </c>
      <c r="Y17" s="117">
        <f t="shared" si="4"/>
        <v>-0.96399999999994179</v>
      </c>
      <c r="Z17" s="80"/>
    </row>
    <row r="18" spans="1:26" x14ac:dyDescent="0.25">
      <c r="A18" t="s">
        <v>18</v>
      </c>
      <c r="B18">
        <f t="shared" si="8"/>
        <v>65</v>
      </c>
      <c r="C18">
        <v>3969.1869999999999</v>
      </c>
      <c r="D18" s="54">
        <f t="shared" si="5"/>
        <v>65</v>
      </c>
      <c r="E18">
        <f t="shared" si="6"/>
        <v>-5.4000000000087311E-2</v>
      </c>
      <c r="F18" s="59">
        <f t="shared" si="9"/>
        <v>62.553329889607745</v>
      </c>
      <c r="G18" s="55">
        <f t="shared" si="7"/>
        <v>-5.4000000000087311E-2</v>
      </c>
      <c r="H18" s="54" t="s">
        <v>104</v>
      </c>
      <c r="I18" s="12">
        <f t="shared" ref="I18:J40" si="12">F18</f>
        <v>62.553329889607745</v>
      </c>
      <c r="J18" s="55">
        <f t="shared" si="12"/>
        <v>-5.4000000000087311E-2</v>
      </c>
      <c r="M18" s="81">
        <f t="shared" si="10"/>
        <v>62.553329889607745</v>
      </c>
      <c r="N18" s="73">
        <f t="shared" si="11"/>
        <v>-5.4000000000087311E-2</v>
      </c>
      <c r="O18" s="73"/>
      <c r="P18" s="74">
        <f t="shared" si="0"/>
        <v>62.553329889607745</v>
      </c>
      <c r="Q18" s="73">
        <f t="shared" si="1"/>
        <v>-5.4000000000087311E-2</v>
      </c>
      <c r="R18" s="73"/>
      <c r="S18" s="73"/>
      <c r="T18" s="73"/>
      <c r="U18" s="73">
        <v>65</v>
      </c>
      <c r="V18" s="116">
        <f t="shared" si="2"/>
        <v>-1.3220000000001164</v>
      </c>
      <c r="W18" s="73"/>
      <c r="X18" s="117">
        <f t="shared" si="3"/>
        <v>64.949451706163018</v>
      </c>
      <c r="Y18" s="117">
        <f t="shared" si="4"/>
        <v>-1.3220000000001164</v>
      </c>
      <c r="Z18" s="80"/>
    </row>
    <row r="19" spans="1:26" x14ac:dyDescent="0.25">
      <c r="A19" t="s">
        <v>19</v>
      </c>
      <c r="B19">
        <f t="shared" si="8"/>
        <v>70</v>
      </c>
      <c r="C19">
        <v>3969.241</v>
      </c>
      <c r="D19" s="54">
        <f t="shared" si="5"/>
        <v>70</v>
      </c>
      <c r="E19">
        <f t="shared" si="6"/>
        <v>0</v>
      </c>
      <c r="F19" s="59">
        <f t="shared" si="9"/>
        <v>67.553038281104193</v>
      </c>
      <c r="G19" s="55">
        <f t="shared" si="7"/>
        <v>0</v>
      </c>
      <c r="H19" s="54" t="s">
        <v>105</v>
      </c>
      <c r="I19" s="12">
        <f t="shared" si="12"/>
        <v>67.553038281104193</v>
      </c>
      <c r="J19" s="55">
        <f t="shared" si="12"/>
        <v>0</v>
      </c>
      <c r="M19" s="81">
        <f t="shared" si="10"/>
        <v>67.553038281104193</v>
      </c>
      <c r="N19" s="73">
        <f t="shared" si="11"/>
        <v>0</v>
      </c>
      <c r="O19" s="73"/>
      <c r="P19" s="74">
        <f t="shared" si="0"/>
        <v>67.553038281104193</v>
      </c>
      <c r="Q19" s="73">
        <f t="shared" si="1"/>
        <v>0</v>
      </c>
      <c r="R19" s="73"/>
      <c r="S19" s="73"/>
      <c r="T19" s="73"/>
      <c r="U19" s="73">
        <v>70</v>
      </c>
      <c r="V19" s="116">
        <f t="shared" si="2"/>
        <v>-2.0970000000002074</v>
      </c>
      <c r="W19" s="73"/>
      <c r="X19" s="117">
        <f t="shared" si="3"/>
        <v>69.889024056073467</v>
      </c>
      <c r="Y19" s="117">
        <f t="shared" si="4"/>
        <v>-2.0970000000002074</v>
      </c>
      <c r="Z19" s="80"/>
    </row>
    <row r="20" spans="1:26" x14ac:dyDescent="0.25">
      <c r="A20" t="s">
        <v>20</v>
      </c>
      <c r="B20">
        <f t="shared" si="8"/>
        <v>75</v>
      </c>
      <c r="C20">
        <v>3969.105</v>
      </c>
      <c r="D20" s="54">
        <f t="shared" si="5"/>
        <v>75</v>
      </c>
      <c r="E20">
        <f t="shared" si="6"/>
        <v>-0.13599999999996726</v>
      </c>
      <c r="F20" s="59">
        <f t="shared" si="9"/>
        <v>72.551188338875562</v>
      </c>
      <c r="G20" s="55">
        <f t="shared" si="7"/>
        <v>-0.13599999999996726</v>
      </c>
      <c r="H20" s="54" t="s">
        <v>106</v>
      </c>
      <c r="I20" s="12">
        <f t="shared" si="12"/>
        <v>72.551188338875562</v>
      </c>
      <c r="J20" s="55">
        <f t="shared" si="12"/>
        <v>-0.13599999999996726</v>
      </c>
      <c r="M20" s="81">
        <f t="shared" si="10"/>
        <v>72.551188338875562</v>
      </c>
      <c r="N20" s="73">
        <f t="shared" si="11"/>
        <v>-0.13599999999996726</v>
      </c>
      <c r="O20" s="73"/>
      <c r="P20" s="74">
        <f t="shared" si="0"/>
        <v>72.551188338875562</v>
      </c>
      <c r="Q20" s="73">
        <f t="shared" si="1"/>
        <v>-0.13599999999996726</v>
      </c>
      <c r="R20" s="73"/>
      <c r="S20" s="73"/>
      <c r="T20" s="73"/>
      <c r="U20" s="73">
        <v>75</v>
      </c>
      <c r="V20" s="116">
        <f t="shared" si="2"/>
        <v>-2.6190000000001419</v>
      </c>
      <c r="W20" s="73"/>
      <c r="X20" s="117">
        <f t="shared" si="3"/>
        <v>74.861701001140389</v>
      </c>
      <c r="Y20" s="117">
        <f t="shared" si="4"/>
        <v>-2.6190000000001419</v>
      </c>
      <c r="Z20" s="80"/>
    </row>
    <row r="21" spans="1:26" x14ac:dyDescent="0.25">
      <c r="A21" t="s">
        <v>21</v>
      </c>
      <c r="B21">
        <f t="shared" si="8"/>
        <v>80</v>
      </c>
      <c r="C21">
        <v>3968.8530000000001</v>
      </c>
      <c r="D21" s="54">
        <f t="shared" si="5"/>
        <v>80</v>
      </c>
      <c r="E21">
        <f t="shared" si="6"/>
        <v>-0.38799999999991996</v>
      </c>
      <c r="F21" s="59">
        <f t="shared" si="9"/>
        <v>77.54483390098747</v>
      </c>
      <c r="G21" s="55">
        <f t="shared" si="7"/>
        <v>-0.38799999999991996</v>
      </c>
      <c r="H21" s="54" t="s">
        <v>107</v>
      </c>
      <c r="I21" s="12">
        <f t="shared" si="12"/>
        <v>77.54483390098747</v>
      </c>
      <c r="J21" s="55">
        <f t="shared" si="12"/>
        <v>-0.38799999999991996</v>
      </c>
      <c r="M21" s="81">
        <f t="shared" si="10"/>
        <v>77.54483390098747</v>
      </c>
      <c r="N21" s="73">
        <f t="shared" si="11"/>
        <v>-0.38799999999991996</v>
      </c>
      <c r="O21" s="73"/>
      <c r="P21" s="74">
        <f t="shared" si="0"/>
        <v>77.54483390098747</v>
      </c>
      <c r="Q21" s="73">
        <f t="shared" si="1"/>
        <v>-0.38799999999991996</v>
      </c>
      <c r="R21" s="73"/>
      <c r="S21" s="73"/>
      <c r="T21" s="73"/>
      <c r="U21" s="73">
        <v>80</v>
      </c>
      <c r="V21" s="116">
        <f t="shared" si="2"/>
        <v>-3.7159999999998945</v>
      </c>
      <c r="W21" s="73"/>
      <c r="X21" s="117">
        <f t="shared" si="3"/>
        <v>79.739875967252246</v>
      </c>
      <c r="Y21" s="117">
        <f t="shared" si="4"/>
        <v>-3.7159999999998945</v>
      </c>
      <c r="Z21" s="80"/>
    </row>
    <row r="22" spans="1:26" x14ac:dyDescent="0.25">
      <c r="A22" t="s">
        <v>22</v>
      </c>
      <c r="B22">
        <f t="shared" si="8"/>
        <v>85</v>
      </c>
      <c r="C22">
        <v>3968.5639999999999</v>
      </c>
      <c r="D22" s="54">
        <f t="shared" si="5"/>
        <v>85</v>
      </c>
      <c r="E22">
        <f t="shared" si="6"/>
        <v>-0.67700000000013461</v>
      </c>
      <c r="F22" s="59">
        <f t="shared" si="9"/>
        <v>82.536474813553184</v>
      </c>
      <c r="G22" s="55">
        <f t="shared" si="7"/>
        <v>-0.67700000000013461</v>
      </c>
      <c r="H22" s="54" t="s">
        <v>108</v>
      </c>
      <c r="I22" s="12">
        <f t="shared" si="12"/>
        <v>82.536474813553184</v>
      </c>
      <c r="J22" s="55">
        <f t="shared" si="12"/>
        <v>-0.67700000000013461</v>
      </c>
      <c r="M22" s="81">
        <f t="shared" si="10"/>
        <v>82.536474813553184</v>
      </c>
      <c r="N22" s="73">
        <f t="shared" si="11"/>
        <v>-0.67700000000013461</v>
      </c>
      <c r="O22" s="73"/>
      <c r="P22" s="74">
        <f t="shared" si="0"/>
        <v>82.536474813553184</v>
      </c>
      <c r="Q22" s="73">
        <f t="shared" si="1"/>
        <v>-0.67700000000013461</v>
      </c>
      <c r="R22" s="73"/>
      <c r="S22" s="73"/>
      <c r="T22" s="73"/>
      <c r="U22" s="73">
        <v>85</v>
      </c>
      <c r="V22" s="116">
        <f t="shared" si="2"/>
        <v>-4.9229999999997744</v>
      </c>
      <c r="W22" s="73"/>
      <c r="X22" s="117">
        <f t="shared" si="3"/>
        <v>84.592004469260431</v>
      </c>
      <c r="Y22" s="117">
        <f t="shared" si="4"/>
        <v>-4.9229999999997744</v>
      </c>
      <c r="Z22" s="80"/>
    </row>
    <row r="23" spans="1:26" x14ac:dyDescent="0.25">
      <c r="A23" t="s">
        <v>23</v>
      </c>
      <c r="B23">
        <f t="shared" si="8"/>
        <v>90</v>
      </c>
      <c r="C23">
        <v>3968.6460000000002</v>
      </c>
      <c r="D23" s="54">
        <f t="shared" si="5"/>
        <v>90</v>
      </c>
      <c r="E23">
        <f t="shared" si="6"/>
        <v>-0.59499999999979991</v>
      </c>
      <c r="F23" s="59">
        <f t="shared" si="9"/>
        <v>87.535802368334927</v>
      </c>
      <c r="G23" s="55">
        <f t="shared" si="7"/>
        <v>-0.59499999999979991</v>
      </c>
      <c r="H23" s="54" t="s">
        <v>109</v>
      </c>
      <c r="I23" s="12">
        <f t="shared" si="12"/>
        <v>87.535802368334927</v>
      </c>
      <c r="J23" s="55">
        <f t="shared" si="12"/>
        <v>-0.59499999999979991</v>
      </c>
      <c r="M23" s="81">
        <f t="shared" si="10"/>
        <v>87.535802368334927</v>
      </c>
      <c r="N23" s="73">
        <f t="shared" si="11"/>
        <v>-0.59499999999979991</v>
      </c>
      <c r="O23" s="73"/>
      <c r="P23" s="74">
        <f t="shared" si="0"/>
        <v>87.535802368334927</v>
      </c>
      <c r="Q23" s="73">
        <f t="shared" si="1"/>
        <v>-0.59499999999979991</v>
      </c>
      <c r="R23" s="73"/>
      <c r="S23" s="73"/>
      <c r="T23" s="73"/>
      <c r="U23" s="73">
        <v>90</v>
      </c>
      <c r="V23" s="116">
        <f t="shared" si="2"/>
        <v>-6.0949999999997999</v>
      </c>
      <c r="W23" s="73"/>
      <c r="X23" s="117">
        <f t="shared" si="3"/>
        <v>89.452705653246127</v>
      </c>
      <c r="Y23" s="117">
        <f t="shared" si="4"/>
        <v>-6.0949999999997999</v>
      </c>
      <c r="Z23" s="80"/>
    </row>
    <row r="24" spans="1:26" x14ac:dyDescent="0.25">
      <c r="A24" t="s">
        <v>24</v>
      </c>
      <c r="B24">
        <f t="shared" si="8"/>
        <v>95</v>
      </c>
      <c r="C24">
        <v>3968.6849999999999</v>
      </c>
      <c r="D24" s="54">
        <f t="shared" si="5"/>
        <v>95</v>
      </c>
      <c r="E24">
        <f t="shared" si="6"/>
        <v>-0.55600000000004002</v>
      </c>
      <c r="F24" s="59">
        <f t="shared" si="9"/>
        <v>92.53565026602142</v>
      </c>
      <c r="G24" s="55">
        <f t="shared" si="7"/>
        <v>-0.55600000000004002</v>
      </c>
      <c r="H24" s="54" t="s">
        <v>110</v>
      </c>
      <c r="I24" s="12">
        <f t="shared" si="12"/>
        <v>92.53565026602142</v>
      </c>
      <c r="J24" s="55">
        <f t="shared" si="12"/>
        <v>-0.55600000000004002</v>
      </c>
      <c r="M24" s="81">
        <f t="shared" si="10"/>
        <v>92.53565026602142</v>
      </c>
      <c r="N24" s="73">
        <f t="shared" si="11"/>
        <v>-0.55600000000004002</v>
      </c>
      <c r="O24" s="73"/>
      <c r="P24" s="74">
        <f t="shared" si="0"/>
        <v>92.53565026602142</v>
      </c>
      <c r="Q24" s="73">
        <f t="shared" si="1"/>
        <v>-0.55600000000004002</v>
      </c>
      <c r="R24" s="73"/>
      <c r="S24" s="73"/>
      <c r="T24" s="73"/>
      <c r="U24" s="73">
        <v>95</v>
      </c>
      <c r="V24" s="116">
        <f t="shared" si="2"/>
        <v>-7.01299999999992</v>
      </c>
      <c r="W24" s="73"/>
      <c r="X24" s="117">
        <f t="shared" si="3"/>
        <v>94.367710841442758</v>
      </c>
      <c r="Y24" s="117">
        <f t="shared" si="4"/>
        <v>-7.01299999999992</v>
      </c>
      <c r="Z24" s="80"/>
    </row>
    <row r="25" spans="1:26" x14ac:dyDescent="0.25">
      <c r="A25" t="s">
        <v>25</v>
      </c>
      <c r="B25">
        <f t="shared" si="8"/>
        <v>100</v>
      </c>
      <c r="C25">
        <v>3968.6149999999998</v>
      </c>
      <c r="D25" s="54">
        <f t="shared" si="5"/>
        <v>100</v>
      </c>
      <c r="E25">
        <f t="shared" si="6"/>
        <v>-0.62600000000020373</v>
      </c>
      <c r="F25" s="59">
        <f t="shared" si="9"/>
        <v>97.53516024200907</v>
      </c>
      <c r="G25" s="55">
        <f t="shared" si="7"/>
        <v>-0.62600000000020373</v>
      </c>
      <c r="H25" s="54" t="s">
        <v>111</v>
      </c>
      <c r="I25" s="12">
        <f t="shared" si="12"/>
        <v>97.53516024200907</v>
      </c>
      <c r="J25" s="55">
        <f t="shared" si="12"/>
        <v>-0.62600000000020373</v>
      </c>
      <c r="M25" s="81">
        <f t="shared" si="10"/>
        <v>97.53516024200907</v>
      </c>
      <c r="N25" s="73">
        <f t="shared" si="11"/>
        <v>-0.62600000000020373</v>
      </c>
      <c r="O25" s="73"/>
      <c r="P25" s="74">
        <f t="shared" si="0"/>
        <v>97.53516024200907</v>
      </c>
      <c r="Q25" s="73">
        <f t="shared" si="1"/>
        <v>-0.62600000000020373</v>
      </c>
      <c r="R25" s="73"/>
      <c r="S25" s="73"/>
      <c r="T25" s="73"/>
      <c r="U25" s="73">
        <v>100</v>
      </c>
      <c r="V25" s="116">
        <f t="shared" si="2"/>
        <v>-7.456000000000131</v>
      </c>
      <c r="W25" s="73"/>
      <c r="X25" s="117">
        <f t="shared" si="3"/>
        <v>99.348047275861589</v>
      </c>
      <c r="Y25" s="117">
        <f t="shared" si="4"/>
        <v>-7.456000000000131</v>
      </c>
      <c r="Z25" s="80"/>
    </row>
    <row r="26" spans="1:26" x14ac:dyDescent="0.25">
      <c r="A26" t="s">
        <v>26</v>
      </c>
      <c r="B26">
        <f t="shared" si="8"/>
        <v>105</v>
      </c>
      <c r="C26">
        <v>3968.7629999999999</v>
      </c>
      <c r="D26" s="54">
        <f t="shared" si="5"/>
        <v>105</v>
      </c>
      <c r="E26">
        <f t="shared" si="6"/>
        <v>-0.47800000000006548</v>
      </c>
      <c r="F26" s="59">
        <f t="shared" si="9"/>
        <v>102.53296936201355</v>
      </c>
      <c r="G26" s="55">
        <f t="shared" si="7"/>
        <v>-0.47800000000006548</v>
      </c>
      <c r="H26" s="54" t="s">
        <v>112</v>
      </c>
      <c r="I26" s="12">
        <f t="shared" si="12"/>
        <v>102.53296936201355</v>
      </c>
      <c r="J26" s="55">
        <f t="shared" si="12"/>
        <v>-0.47800000000006548</v>
      </c>
      <c r="M26" s="81">
        <f t="shared" si="10"/>
        <v>102.53296936201355</v>
      </c>
      <c r="N26" s="73">
        <f t="shared" si="11"/>
        <v>-0.47800000000006548</v>
      </c>
      <c r="O26" s="73"/>
      <c r="P26" s="74">
        <f t="shared" si="0"/>
        <v>102.53296936201355</v>
      </c>
      <c r="Q26" s="73">
        <f t="shared" si="1"/>
        <v>-0.47800000000006548</v>
      </c>
      <c r="R26" s="73"/>
      <c r="S26" s="73"/>
      <c r="T26" s="73"/>
      <c r="U26" s="73">
        <v>105</v>
      </c>
      <c r="V26" s="116">
        <f t="shared" si="2"/>
        <v>-7.4989999999997963</v>
      </c>
      <c r="W26" s="73"/>
      <c r="X26" s="117">
        <f t="shared" si="3"/>
        <v>104.34786237244266</v>
      </c>
      <c r="Y26" s="117">
        <f t="shared" si="4"/>
        <v>-7.4989999999997963</v>
      </c>
      <c r="Z26" s="80"/>
    </row>
    <row r="27" spans="1:26" x14ac:dyDescent="0.25">
      <c r="A27" t="s">
        <v>27</v>
      </c>
      <c r="B27">
        <f t="shared" si="8"/>
        <v>110</v>
      </c>
      <c r="C27">
        <v>3968.7469999999998</v>
      </c>
      <c r="D27" s="54">
        <f t="shared" si="5"/>
        <v>110</v>
      </c>
      <c r="E27">
        <f t="shared" si="6"/>
        <v>-0.49400000000014188</v>
      </c>
      <c r="F27" s="59">
        <f t="shared" si="9"/>
        <v>107.532943761948</v>
      </c>
      <c r="G27" s="55">
        <f t="shared" si="7"/>
        <v>-0.49400000000014188</v>
      </c>
      <c r="H27" s="54" t="s">
        <v>113</v>
      </c>
      <c r="I27" s="12">
        <f t="shared" si="12"/>
        <v>107.532943761948</v>
      </c>
      <c r="J27" s="55">
        <f t="shared" si="12"/>
        <v>-0.49400000000014188</v>
      </c>
      <c r="M27" s="81">
        <f t="shared" si="10"/>
        <v>107.532943761948</v>
      </c>
      <c r="N27" s="73">
        <f t="shared" si="11"/>
        <v>-0.49400000000014188</v>
      </c>
      <c r="O27" s="73"/>
      <c r="P27" s="74">
        <f t="shared" si="0"/>
        <v>107.532943761948</v>
      </c>
      <c r="Q27" s="73">
        <f t="shared" si="1"/>
        <v>-0.49400000000014188</v>
      </c>
      <c r="R27" s="73"/>
      <c r="S27" s="73"/>
      <c r="T27" s="73"/>
      <c r="U27" s="73">
        <v>110</v>
      </c>
      <c r="V27" s="116">
        <f t="shared" si="2"/>
        <v>-7.2089999999998327</v>
      </c>
      <c r="W27" s="73"/>
      <c r="X27" s="117">
        <f t="shared" si="3"/>
        <v>109.33944528771111</v>
      </c>
      <c r="Y27" s="117">
        <f t="shared" si="4"/>
        <v>-7.2089999999998327</v>
      </c>
      <c r="Z27" s="80"/>
    </row>
    <row r="28" spans="1:26" x14ac:dyDescent="0.25">
      <c r="A28" t="s">
        <v>28</v>
      </c>
      <c r="B28">
        <f t="shared" si="8"/>
        <v>115</v>
      </c>
      <c r="C28">
        <v>3968.5010000000002</v>
      </c>
      <c r="D28" s="54">
        <f t="shared" si="5"/>
        <v>115</v>
      </c>
      <c r="E28">
        <f t="shared" si="6"/>
        <v>-0.73999999999978172</v>
      </c>
      <c r="F28" s="59">
        <f t="shared" si="9"/>
        <v>112.52688849532264</v>
      </c>
      <c r="G28" s="55">
        <f t="shared" si="7"/>
        <v>-0.73999999999978172</v>
      </c>
      <c r="H28" s="54" t="s">
        <v>114</v>
      </c>
      <c r="I28" s="12">
        <f t="shared" si="12"/>
        <v>112.52688849532264</v>
      </c>
      <c r="J28" s="55">
        <f t="shared" si="12"/>
        <v>-0.73999999999978172</v>
      </c>
      <c r="M28" s="81">
        <f t="shared" si="10"/>
        <v>112.52688849532264</v>
      </c>
      <c r="N28" s="73">
        <f t="shared" si="11"/>
        <v>-0.73999999999978172</v>
      </c>
      <c r="O28" s="73"/>
      <c r="P28" s="74">
        <f t="shared" si="0"/>
        <v>112.52688849532264</v>
      </c>
      <c r="Q28" s="73">
        <f t="shared" si="1"/>
        <v>-0.73999999999978172</v>
      </c>
      <c r="R28" s="73"/>
      <c r="S28" s="73"/>
      <c r="T28" s="73"/>
      <c r="U28" s="73">
        <v>115</v>
      </c>
      <c r="V28" s="116">
        <f t="shared" si="2"/>
        <v>-6.9650000000001455</v>
      </c>
      <c r="W28" s="73"/>
      <c r="X28" s="117">
        <f t="shared" si="3"/>
        <v>114.33348813894899</v>
      </c>
      <c r="Y28" s="117">
        <f t="shared" si="4"/>
        <v>-6.9650000000001455</v>
      </c>
      <c r="Z28" s="80"/>
    </row>
    <row r="29" spans="1:26" x14ac:dyDescent="0.25">
      <c r="A29" t="s">
        <v>29</v>
      </c>
      <c r="B29">
        <f t="shared" si="8"/>
        <v>120</v>
      </c>
      <c r="C29">
        <v>3968.277</v>
      </c>
      <c r="D29" s="54">
        <f t="shared" si="5"/>
        <v>120</v>
      </c>
      <c r="E29">
        <f t="shared" si="6"/>
        <v>-0.96399999999994179</v>
      </c>
      <c r="F29" s="59">
        <f t="shared" si="9"/>
        <v>117.52186837516199</v>
      </c>
      <c r="G29" s="55">
        <f t="shared" si="7"/>
        <v>-0.96399999999994179</v>
      </c>
      <c r="H29" s="54" t="s">
        <v>115</v>
      </c>
      <c r="I29" s="12">
        <f t="shared" si="12"/>
        <v>117.52186837516199</v>
      </c>
      <c r="J29" s="55">
        <f t="shared" si="12"/>
        <v>-0.96399999999994179</v>
      </c>
      <c r="M29" s="81">
        <f t="shared" si="10"/>
        <v>117.52186837516199</v>
      </c>
      <c r="N29" s="73">
        <f t="shared" si="11"/>
        <v>-0.96399999999994179</v>
      </c>
      <c r="O29" s="73"/>
      <c r="P29" s="74">
        <f t="shared" si="0"/>
        <v>117.52186837516199</v>
      </c>
      <c r="Q29" s="73">
        <f t="shared" si="1"/>
        <v>-0.96399999999994179</v>
      </c>
      <c r="R29" s="73"/>
      <c r="S29" s="73"/>
      <c r="T29" s="73"/>
      <c r="U29" s="73">
        <f>U28+B3</f>
        <v>125</v>
      </c>
      <c r="V29" s="116">
        <f t="shared" si="2"/>
        <v>-6.9949999999998909</v>
      </c>
      <c r="W29" s="126"/>
      <c r="X29" s="117">
        <f t="shared" si="3"/>
        <v>124.33348813894899</v>
      </c>
      <c r="Y29" s="130">
        <f t="shared" si="4"/>
        <v>-6.9949999999998909</v>
      </c>
      <c r="Z29" s="127"/>
    </row>
    <row r="30" spans="1:26" x14ac:dyDescent="0.25">
      <c r="A30" t="s">
        <v>30</v>
      </c>
      <c r="B30">
        <f t="shared" si="8"/>
        <v>125</v>
      </c>
      <c r="C30">
        <v>3967.9189999999999</v>
      </c>
      <c r="D30" s="54">
        <f t="shared" si="5"/>
        <v>125</v>
      </c>
      <c r="E30">
        <f t="shared" si="6"/>
        <v>-1.3220000000001164</v>
      </c>
      <c r="F30" s="59">
        <f t="shared" si="9"/>
        <v>122.50903550691122</v>
      </c>
      <c r="G30" s="55">
        <f t="shared" si="7"/>
        <v>-1.3220000000001164</v>
      </c>
      <c r="H30" s="54" t="s">
        <v>116</v>
      </c>
      <c r="I30" s="12">
        <f t="shared" si="12"/>
        <v>122.50903550691122</v>
      </c>
      <c r="J30" s="55">
        <f t="shared" si="12"/>
        <v>-1.3220000000001164</v>
      </c>
      <c r="M30" s="81">
        <f t="shared" si="10"/>
        <v>122.50903550691122</v>
      </c>
      <c r="N30" s="73">
        <f t="shared" si="11"/>
        <v>-1.3220000000001164</v>
      </c>
      <c r="O30" s="73"/>
      <c r="P30" s="74">
        <f t="shared" si="0"/>
        <v>122.50903550691122</v>
      </c>
      <c r="Q30" s="73">
        <f t="shared" si="1"/>
        <v>-1.3220000000001164</v>
      </c>
      <c r="R30" s="73"/>
      <c r="S30" s="73"/>
      <c r="T30" s="73"/>
      <c r="V30" s="126"/>
      <c r="W30" s="126"/>
      <c r="Z30" s="127"/>
    </row>
    <row r="31" spans="1:26" x14ac:dyDescent="0.25">
      <c r="A31" t="s">
        <v>31</v>
      </c>
      <c r="B31">
        <f t="shared" si="8"/>
        <v>130</v>
      </c>
      <c r="C31">
        <v>3967.1439999999998</v>
      </c>
      <c r="D31" s="54">
        <f t="shared" si="5"/>
        <v>130</v>
      </c>
      <c r="E31">
        <f t="shared" si="6"/>
        <v>-2.0970000000002074</v>
      </c>
      <c r="F31" s="59">
        <f t="shared" si="9"/>
        <v>127.44860785682167</v>
      </c>
      <c r="G31" s="55">
        <f t="shared" si="7"/>
        <v>-2.0970000000002074</v>
      </c>
      <c r="H31" s="54" t="s">
        <v>117</v>
      </c>
      <c r="I31" s="12">
        <f t="shared" si="12"/>
        <v>127.44860785682167</v>
      </c>
      <c r="J31" s="55">
        <f t="shared" si="12"/>
        <v>-2.0970000000002074</v>
      </c>
      <c r="M31" s="81">
        <f t="shared" si="10"/>
        <v>127.44860785682167</v>
      </c>
      <c r="N31" s="73">
        <f t="shared" si="11"/>
        <v>-2.0970000000002074</v>
      </c>
      <c r="O31" s="73"/>
      <c r="P31" s="74">
        <f t="shared" si="0"/>
        <v>127.44860785682167</v>
      </c>
      <c r="Q31" s="73">
        <f t="shared" si="1"/>
        <v>-2.0970000000002074</v>
      </c>
      <c r="R31" s="73"/>
      <c r="S31" s="73"/>
      <c r="T31" s="73"/>
      <c r="W31" s="126"/>
      <c r="Z31" s="127"/>
    </row>
    <row r="32" spans="1:26" x14ac:dyDescent="0.25">
      <c r="A32" t="s">
        <v>32</v>
      </c>
      <c r="B32">
        <f t="shared" si="8"/>
        <v>135</v>
      </c>
      <c r="C32">
        <v>3966.6219999999998</v>
      </c>
      <c r="D32" s="54">
        <f t="shared" si="5"/>
        <v>135</v>
      </c>
      <c r="E32">
        <f t="shared" si="6"/>
        <v>-2.6190000000001419</v>
      </c>
      <c r="F32" s="59">
        <f t="shared" si="9"/>
        <v>132.42128480188859</v>
      </c>
      <c r="G32" s="55">
        <f t="shared" si="7"/>
        <v>-2.6190000000001419</v>
      </c>
      <c r="H32" s="54" t="s">
        <v>118</v>
      </c>
      <c r="I32" s="12">
        <f t="shared" si="12"/>
        <v>132.42128480188859</v>
      </c>
      <c r="J32" s="55">
        <f t="shared" si="12"/>
        <v>-2.6190000000001419</v>
      </c>
      <c r="M32" s="81">
        <f t="shared" si="10"/>
        <v>132.42128480188859</v>
      </c>
      <c r="N32" s="73">
        <f t="shared" si="11"/>
        <v>-2.6190000000001419</v>
      </c>
      <c r="O32" s="73"/>
      <c r="P32" s="74">
        <f t="shared" si="0"/>
        <v>132.42128480188859</v>
      </c>
      <c r="Q32" s="73">
        <f t="shared" si="1"/>
        <v>-2.6190000000001419</v>
      </c>
      <c r="R32" s="73"/>
      <c r="S32" s="73"/>
      <c r="T32" s="73"/>
      <c r="W32" s="126"/>
      <c r="Z32" s="127"/>
    </row>
    <row r="33" spans="1:26" x14ac:dyDescent="0.25">
      <c r="A33" t="s">
        <v>33</v>
      </c>
      <c r="B33">
        <f t="shared" si="8"/>
        <v>140</v>
      </c>
      <c r="C33">
        <v>3965.5250000000001</v>
      </c>
      <c r="D33" s="54">
        <f t="shared" si="5"/>
        <v>140</v>
      </c>
      <c r="E33">
        <f t="shared" si="6"/>
        <v>-3.7159999999998945</v>
      </c>
      <c r="F33" s="59">
        <f t="shared" si="9"/>
        <v>137.29945976800045</v>
      </c>
      <c r="G33" s="55">
        <f t="shared" si="7"/>
        <v>-3.7159999999998945</v>
      </c>
      <c r="H33" s="54" t="s">
        <v>119</v>
      </c>
      <c r="I33" s="12">
        <f t="shared" si="12"/>
        <v>137.29945976800045</v>
      </c>
      <c r="J33" s="55">
        <f t="shared" si="12"/>
        <v>-3.7159999999998945</v>
      </c>
      <c r="M33" s="81">
        <f t="shared" si="10"/>
        <v>137.29945976800045</v>
      </c>
      <c r="N33" s="73">
        <f t="shared" si="11"/>
        <v>-3.7159999999998945</v>
      </c>
      <c r="O33" s="73"/>
      <c r="P33" s="74">
        <f t="shared" si="0"/>
        <v>137.29945976800045</v>
      </c>
      <c r="Q33" s="73">
        <f t="shared" si="1"/>
        <v>-3.7159999999998945</v>
      </c>
      <c r="R33" s="73"/>
      <c r="S33" s="73"/>
      <c r="T33" s="73"/>
      <c r="W33" s="126"/>
      <c r="Z33" s="127"/>
    </row>
    <row r="34" spans="1:26" x14ac:dyDescent="0.25">
      <c r="A34" t="s">
        <v>34</v>
      </c>
      <c r="B34">
        <f t="shared" si="8"/>
        <v>145</v>
      </c>
      <c r="C34">
        <v>3964.3180000000002</v>
      </c>
      <c r="D34" s="54">
        <f t="shared" si="5"/>
        <v>145</v>
      </c>
      <c r="E34">
        <f t="shared" si="6"/>
        <v>-4.9229999999997744</v>
      </c>
      <c r="F34" s="59">
        <f t="shared" si="9"/>
        <v>142.15158827000863</v>
      </c>
      <c r="G34" s="55">
        <f t="shared" si="7"/>
        <v>-4.9229999999997744</v>
      </c>
      <c r="H34" s="54" t="s">
        <v>120</v>
      </c>
      <c r="I34" s="12">
        <f t="shared" si="12"/>
        <v>142.15158827000863</v>
      </c>
      <c r="J34" s="55">
        <f t="shared" si="12"/>
        <v>-4.9229999999997744</v>
      </c>
      <c r="M34" s="81">
        <f t="shared" si="10"/>
        <v>142.15158827000863</v>
      </c>
      <c r="N34" s="73">
        <f t="shared" si="11"/>
        <v>-4.9229999999997744</v>
      </c>
      <c r="O34" s="73"/>
      <c r="P34" s="74">
        <f t="shared" si="0"/>
        <v>142.15158827000863</v>
      </c>
      <c r="Q34" s="73">
        <f t="shared" si="1"/>
        <v>-4.9229999999997744</v>
      </c>
      <c r="R34" s="73"/>
      <c r="S34" s="73"/>
      <c r="T34" s="73"/>
      <c r="W34" s="126"/>
      <c r="Z34" s="127"/>
    </row>
    <row r="35" spans="1:26" x14ac:dyDescent="0.25">
      <c r="A35" t="s">
        <v>35</v>
      </c>
      <c r="B35">
        <f t="shared" si="8"/>
        <v>150</v>
      </c>
      <c r="C35">
        <v>3963.1460000000002</v>
      </c>
      <c r="D35" s="54">
        <f t="shared" si="5"/>
        <v>150</v>
      </c>
      <c r="E35">
        <f t="shared" si="6"/>
        <v>-6.0949999999997999</v>
      </c>
      <c r="F35" s="59">
        <f t="shared" si="9"/>
        <v>147.01228945399433</v>
      </c>
      <c r="G35" s="55">
        <f t="shared" si="7"/>
        <v>-6.0949999999997999</v>
      </c>
      <c r="H35" s="54" t="s">
        <v>121</v>
      </c>
      <c r="I35" s="12">
        <f t="shared" si="12"/>
        <v>147.01228945399433</v>
      </c>
      <c r="J35" s="55">
        <f t="shared" si="12"/>
        <v>-6.0949999999997999</v>
      </c>
      <c r="M35" s="81">
        <f t="shared" si="10"/>
        <v>147.01228945399433</v>
      </c>
      <c r="N35" s="73">
        <f t="shared" si="11"/>
        <v>-6.0949999999997999</v>
      </c>
      <c r="O35" s="73"/>
      <c r="P35" s="74">
        <f t="shared" si="0"/>
        <v>147.01228945399433</v>
      </c>
      <c r="Q35" s="73">
        <f t="shared" si="1"/>
        <v>-6.0949999999997999</v>
      </c>
      <c r="R35" s="73"/>
      <c r="S35" s="73"/>
      <c r="T35" s="73"/>
      <c r="W35" s="126"/>
      <c r="Z35" s="127"/>
    </row>
    <row r="36" spans="1:26" x14ac:dyDescent="0.25">
      <c r="A36" t="s">
        <v>36</v>
      </c>
      <c r="B36">
        <f t="shared" si="8"/>
        <v>155</v>
      </c>
      <c r="C36">
        <v>3962.2280000000001</v>
      </c>
      <c r="D36" s="54">
        <f t="shared" si="5"/>
        <v>155</v>
      </c>
      <c r="E36">
        <f t="shared" si="6"/>
        <v>-7.01299999999992</v>
      </c>
      <c r="F36" s="59">
        <f t="shared" si="9"/>
        <v>151.92729464219096</v>
      </c>
      <c r="G36" s="55">
        <f t="shared" si="7"/>
        <v>-7.01299999999992</v>
      </c>
      <c r="H36" s="54" t="s">
        <v>122</v>
      </c>
      <c r="I36" s="12">
        <f t="shared" si="12"/>
        <v>151.92729464219096</v>
      </c>
      <c r="J36" s="55">
        <f t="shared" si="12"/>
        <v>-7.01299999999992</v>
      </c>
      <c r="M36" s="81">
        <f t="shared" si="10"/>
        <v>151.92729464219096</v>
      </c>
      <c r="N36" s="73">
        <f t="shared" si="11"/>
        <v>-7.01299999999992</v>
      </c>
      <c r="O36" s="73"/>
      <c r="P36" s="74">
        <f t="shared" si="0"/>
        <v>151.92729464219096</v>
      </c>
      <c r="Q36" s="73">
        <f t="shared" si="1"/>
        <v>-7.01299999999992</v>
      </c>
      <c r="R36" s="73"/>
      <c r="S36" s="73"/>
      <c r="T36" s="73"/>
      <c r="W36" s="126"/>
      <c r="Z36" s="127"/>
    </row>
    <row r="37" spans="1:26" x14ac:dyDescent="0.25">
      <c r="A37" t="s">
        <v>37</v>
      </c>
      <c r="B37">
        <f t="shared" si="8"/>
        <v>160</v>
      </c>
      <c r="C37">
        <v>3961.7849999999999</v>
      </c>
      <c r="D37" s="54">
        <f t="shared" si="5"/>
        <v>160</v>
      </c>
      <c r="E37">
        <f t="shared" si="6"/>
        <v>-7.456000000000131</v>
      </c>
      <c r="F37" s="59">
        <f t="shared" si="9"/>
        <v>156.90763107660979</v>
      </c>
      <c r="G37" s="55">
        <f t="shared" si="7"/>
        <v>-7.456000000000131</v>
      </c>
      <c r="H37" s="54" t="s">
        <v>123</v>
      </c>
      <c r="I37" s="12">
        <f t="shared" si="12"/>
        <v>156.90763107660979</v>
      </c>
      <c r="J37" s="55">
        <f t="shared" si="12"/>
        <v>-7.456000000000131</v>
      </c>
      <c r="M37" s="81">
        <f t="shared" si="10"/>
        <v>156.90763107660979</v>
      </c>
      <c r="N37" s="73">
        <f t="shared" si="11"/>
        <v>-7.456000000000131</v>
      </c>
      <c r="O37" s="73"/>
      <c r="P37" s="74">
        <f t="shared" si="0"/>
        <v>156.90763107660979</v>
      </c>
      <c r="Q37" s="73">
        <f t="shared" si="1"/>
        <v>-7.456000000000131</v>
      </c>
      <c r="R37" s="73"/>
      <c r="S37" s="73"/>
      <c r="T37" s="73"/>
      <c r="W37" s="126"/>
      <c r="Z37" s="127"/>
    </row>
    <row r="38" spans="1:26" x14ac:dyDescent="0.25">
      <c r="A38" t="s">
        <v>38</v>
      </c>
      <c r="B38">
        <f t="shared" si="8"/>
        <v>165</v>
      </c>
      <c r="C38">
        <v>3961.7420000000002</v>
      </c>
      <c r="D38" s="54">
        <f t="shared" si="5"/>
        <v>165</v>
      </c>
      <c r="E38">
        <f t="shared" si="6"/>
        <v>-7.4989999999997963</v>
      </c>
      <c r="F38" s="59">
        <f t="shared" si="9"/>
        <v>161.90744617319086</v>
      </c>
      <c r="G38" s="55">
        <f t="shared" si="7"/>
        <v>-7.4989999999997963</v>
      </c>
      <c r="H38" s="54" t="s">
        <v>124</v>
      </c>
      <c r="I38" s="12">
        <f t="shared" si="12"/>
        <v>161.90744617319086</v>
      </c>
      <c r="J38" s="55">
        <f t="shared" si="12"/>
        <v>-7.4989999999997963</v>
      </c>
      <c r="M38" s="81">
        <f t="shared" si="10"/>
        <v>161.90744617319086</v>
      </c>
      <c r="N38" s="73">
        <f t="shared" si="11"/>
        <v>-7.4989999999997963</v>
      </c>
      <c r="O38" s="73"/>
      <c r="P38" s="74">
        <f t="shared" si="0"/>
        <v>161.90744617319086</v>
      </c>
      <c r="Q38" s="73">
        <f t="shared" si="1"/>
        <v>-7.4989999999997963</v>
      </c>
      <c r="R38" s="73"/>
      <c r="S38" s="73"/>
      <c r="T38" s="73"/>
      <c r="W38" s="126"/>
      <c r="Z38" s="127"/>
    </row>
    <row r="39" spans="1:26" x14ac:dyDescent="0.25">
      <c r="A39" t="s">
        <v>39</v>
      </c>
      <c r="B39">
        <f t="shared" si="8"/>
        <v>170</v>
      </c>
      <c r="C39">
        <v>3962.0320000000002</v>
      </c>
      <c r="D39" s="54">
        <f t="shared" si="5"/>
        <v>170</v>
      </c>
      <c r="E39">
        <f t="shared" si="6"/>
        <v>-7.2089999999998327</v>
      </c>
      <c r="F39" s="59">
        <f t="shared" si="9"/>
        <v>166.89902908845932</v>
      </c>
      <c r="G39" s="55">
        <f t="shared" si="7"/>
        <v>-7.2089999999998327</v>
      </c>
      <c r="H39" s="54" t="s">
        <v>125</v>
      </c>
      <c r="I39" s="12">
        <f t="shared" si="12"/>
        <v>166.89902908845932</v>
      </c>
      <c r="J39" s="55">
        <f t="shared" si="12"/>
        <v>-7.2089999999998327</v>
      </c>
      <c r="M39" s="81">
        <f t="shared" si="10"/>
        <v>166.89902908845932</v>
      </c>
      <c r="N39" s="73">
        <f t="shared" si="11"/>
        <v>-7.2089999999998327</v>
      </c>
      <c r="O39" s="73"/>
      <c r="P39" s="74">
        <f t="shared" si="0"/>
        <v>166.89902908845932</v>
      </c>
      <c r="Q39" s="73">
        <f t="shared" si="1"/>
        <v>-7.2089999999998327</v>
      </c>
      <c r="R39" s="73"/>
      <c r="S39" s="73"/>
      <c r="T39" s="73"/>
      <c r="W39" s="126"/>
      <c r="Z39" s="127"/>
    </row>
    <row r="40" spans="1:26" x14ac:dyDescent="0.25">
      <c r="A40" t="s">
        <v>40</v>
      </c>
      <c r="B40">
        <f t="shared" si="8"/>
        <v>175</v>
      </c>
      <c r="C40">
        <v>3962.2759999999998</v>
      </c>
      <c r="D40" s="54">
        <f t="shared" si="5"/>
        <v>175</v>
      </c>
      <c r="E40">
        <f t="shared" si="6"/>
        <v>-6.9650000000001455</v>
      </c>
      <c r="F40" s="59">
        <f t="shared" si="9"/>
        <v>171.89307193969719</v>
      </c>
      <c r="G40" s="55">
        <f t="shared" si="7"/>
        <v>-6.9650000000001455</v>
      </c>
      <c r="H40" s="54" t="s">
        <v>126</v>
      </c>
      <c r="I40" s="12">
        <f t="shared" si="12"/>
        <v>171.89307193969719</v>
      </c>
      <c r="J40" s="55">
        <f>G40</f>
        <v>-6.9650000000001455</v>
      </c>
      <c r="M40" s="81">
        <f t="shared" si="10"/>
        <v>171.89307193969719</v>
      </c>
      <c r="N40" s="73">
        <f t="shared" si="11"/>
        <v>-6.9650000000001455</v>
      </c>
      <c r="O40" s="73"/>
      <c r="P40" s="74">
        <f t="shared" si="0"/>
        <v>171.89307193969719</v>
      </c>
      <c r="Q40" s="73">
        <f t="shared" si="1"/>
        <v>-6.9650000000001455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41</v>
      </c>
      <c r="B41">
        <f t="shared" si="8"/>
        <v>180</v>
      </c>
      <c r="C41">
        <v>3962.2460000000001</v>
      </c>
      <c r="D41" s="54">
        <f t="shared" si="5"/>
        <v>180</v>
      </c>
      <c r="E41">
        <f t="shared" si="6"/>
        <v>-6.9949999999998909</v>
      </c>
      <c r="F41" s="59">
        <f t="shared" si="9"/>
        <v>176.89298193888717</v>
      </c>
      <c r="G41" s="55">
        <f t="shared" si="7"/>
        <v>-6.9949999999998909</v>
      </c>
      <c r="H41" s="137" t="s">
        <v>175</v>
      </c>
      <c r="I41" s="138">
        <f>I40+B3</f>
        <v>181.89307193969719</v>
      </c>
      <c r="J41" s="139">
        <f>G41</f>
        <v>-6.9949999999998909</v>
      </c>
      <c r="M41" s="81">
        <f t="shared" si="10"/>
        <v>181.89307193969719</v>
      </c>
      <c r="N41" s="73">
        <f t="shared" si="11"/>
        <v>-6.9949999999998909</v>
      </c>
      <c r="O41" s="73"/>
      <c r="P41" s="74">
        <f t="shared" si="0"/>
        <v>176.89298193888717</v>
      </c>
      <c r="Q41" s="73">
        <f t="shared" si="1"/>
        <v>-6.9949999999998909</v>
      </c>
      <c r="R41" s="73"/>
      <c r="S41" s="73"/>
      <c r="T41" s="73"/>
      <c r="U41" s="126"/>
      <c r="V41" s="126"/>
      <c r="W41" s="126"/>
      <c r="X41" s="128"/>
      <c r="Y41" s="128"/>
      <c r="Z41" s="127"/>
    </row>
    <row r="42" spans="1:26" x14ac:dyDescent="0.25">
      <c r="A42" t="s">
        <v>42</v>
      </c>
      <c r="B42">
        <f t="shared" si="8"/>
        <v>185</v>
      </c>
      <c r="C42">
        <v>3962.174</v>
      </c>
      <c r="D42" s="54">
        <f t="shared" si="5"/>
        <v>185</v>
      </c>
      <c r="E42">
        <f t="shared" si="6"/>
        <v>-7.0670000000000073</v>
      </c>
      <c r="F42" s="59">
        <f t="shared" si="9"/>
        <v>181.89246351201052</v>
      </c>
      <c r="G42" s="55">
        <f t="shared" si="7"/>
        <v>-7.0670000000000073</v>
      </c>
      <c r="H42" s="54"/>
      <c r="I42" s="12"/>
      <c r="J42" s="55"/>
      <c r="M42" s="81"/>
      <c r="N42" s="73"/>
      <c r="O42" s="73"/>
      <c r="P42" s="74">
        <f t="shared" si="0"/>
        <v>181.89246351201052</v>
      </c>
      <c r="Q42" s="73">
        <f t="shared" si="1"/>
        <v>-7.0670000000000073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43</v>
      </c>
      <c r="B43">
        <f t="shared" si="8"/>
        <v>190</v>
      </c>
      <c r="C43">
        <v>3961.68</v>
      </c>
      <c r="D43" s="54">
        <f t="shared" si="5"/>
        <v>190</v>
      </c>
      <c r="E43">
        <f t="shared" si="6"/>
        <v>-7.5610000000001492</v>
      </c>
      <c r="F43" s="59">
        <f t="shared" si="9"/>
        <v>186.8680000659914</v>
      </c>
      <c r="G43" s="55">
        <f t="shared" si="7"/>
        <v>-7.5610000000001492</v>
      </c>
      <c r="H43" s="54"/>
      <c r="I43" s="12"/>
      <c r="J43" s="55"/>
      <c r="M43" s="81"/>
      <c r="N43" s="73"/>
      <c r="O43" s="73"/>
      <c r="P43" s="74">
        <f t="shared" si="0"/>
        <v>186.8680000659914</v>
      </c>
      <c r="Q43" s="73">
        <f t="shared" si="1"/>
        <v>-7.5610000000001492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44</v>
      </c>
      <c r="B44">
        <f t="shared" si="8"/>
        <v>195</v>
      </c>
      <c r="C44">
        <v>3960.8710000000001</v>
      </c>
      <c r="D44" s="54">
        <f t="shared" si="5"/>
        <v>195</v>
      </c>
      <c r="E44">
        <f t="shared" si="6"/>
        <v>-8.3699999999998909</v>
      </c>
      <c r="F44" s="59">
        <f t="shared" si="9"/>
        <v>191.80211792027907</v>
      </c>
      <c r="G44" s="55">
        <f t="shared" si="7"/>
        <v>-8.3699999999998909</v>
      </c>
      <c r="H44" s="54"/>
      <c r="I44" s="12"/>
      <c r="J44" s="55"/>
      <c r="M44" s="81"/>
      <c r="N44" s="73"/>
      <c r="O44" s="73"/>
      <c r="P44" s="74">
        <f t="shared" si="0"/>
        <v>191.80211792027907</v>
      </c>
      <c r="Q44" s="73">
        <f t="shared" si="1"/>
        <v>-8.3699999999998909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45</v>
      </c>
      <c r="B45">
        <f t="shared" si="8"/>
        <v>200</v>
      </c>
      <c r="C45">
        <v>3960.0610000000001</v>
      </c>
      <c r="D45" s="54">
        <f t="shared" si="5"/>
        <v>200</v>
      </c>
      <c r="E45">
        <f t="shared" si="6"/>
        <v>-9.1799999999998363</v>
      </c>
      <c r="F45" s="59">
        <f t="shared" si="9"/>
        <v>196.73607171009107</v>
      </c>
      <c r="G45" s="55">
        <f t="shared" si="7"/>
        <v>-9.1799999999998363</v>
      </c>
      <c r="H45" s="54"/>
      <c r="I45" s="12"/>
      <c r="J45" s="55"/>
      <c r="M45" s="81"/>
      <c r="N45" s="73"/>
      <c r="O45" s="73"/>
      <c r="P45" s="74">
        <f t="shared" si="0"/>
        <v>196.73607171009107</v>
      </c>
      <c r="Q45" s="73">
        <f t="shared" si="1"/>
        <v>-9.1799999999998363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46</v>
      </c>
      <c r="B46">
        <f t="shared" si="8"/>
        <v>205</v>
      </c>
      <c r="C46">
        <v>3959.136</v>
      </c>
      <c r="D46" s="54">
        <f t="shared" si="5"/>
        <v>205</v>
      </c>
      <c r="E46">
        <f t="shared" si="6"/>
        <v>-10.105000000000018</v>
      </c>
      <c r="F46" s="59">
        <f t="shared" si="9"/>
        <v>201.64976431341901</v>
      </c>
      <c r="G46" s="55">
        <f t="shared" si="7"/>
        <v>-10.105000000000018</v>
      </c>
      <c r="H46" s="54"/>
      <c r="I46" s="12"/>
      <c r="J46" s="55"/>
      <c r="M46" s="81"/>
      <c r="N46" s="73"/>
      <c r="O46" s="73"/>
      <c r="P46" s="74">
        <f t="shared" si="0"/>
        <v>201.64976431341901</v>
      </c>
      <c r="Q46" s="73">
        <f t="shared" si="1"/>
        <v>-10.105000000000018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47</v>
      </c>
      <c r="B47">
        <f t="shared" si="8"/>
        <v>210</v>
      </c>
      <c r="C47">
        <v>3958.2640000000001</v>
      </c>
      <c r="D47" s="54">
        <f t="shared" si="5"/>
        <v>210</v>
      </c>
      <c r="E47">
        <f t="shared" si="6"/>
        <v>-10.976999999999862</v>
      </c>
      <c r="F47" s="59">
        <f t="shared" si="9"/>
        <v>206.5731387659668</v>
      </c>
      <c r="G47" s="55">
        <f t="shared" si="7"/>
        <v>-10.976999999999862</v>
      </c>
      <c r="H47" s="54"/>
      <c r="I47" s="12"/>
      <c r="J47" s="55"/>
      <c r="M47" s="81"/>
      <c r="N47" s="73"/>
      <c r="O47" s="73"/>
      <c r="P47" s="74">
        <f t="shared" si="0"/>
        <v>206.5731387659668</v>
      </c>
      <c r="Q47" s="73">
        <f t="shared" si="1"/>
        <v>-10.976999999999862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48</v>
      </c>
      <c r="B48">
        <f t="shared" si="8"/>
        <v>215</v>
      </c>
      <c r="C48">
        <v>3957.2049999999999</v>
      </c>
      <c r="D48" s="54">
        <f t="shared" si="5"/>
        <v>215</v>
      </c>
      <c r="E48">
        <f t="shared" si="6"/>
        <v>-12.036000000000058</v>
      </c>
      <c r="F48" s="59">
        <f t="shared" si="9"/>
        <v>211.4597039195281</v>
      </c>
      <c r="G48" s="55">
        <f t="shared" si="7"/>
        <v>-12.036000000000058</v>
      </c>
      <c r="H48" s="54"/>
      <c r="I48" s="12"/>
      <c r="J48" s="55"/>
      <c r="M48" s="81"/>
      <c r="N48" s="73"/>
      <c r="O48" s="73"/>
      <c r="P48" s="74">
        <f t="shared" si="0"/>
        <v>211.4597039195281</v>
      </c>
      <c r="Q48" s="73">
        <f t="shared" si="1"/>
        <v>-12.036000000000058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49</v>
      </c>
      <c r="B49">
        <f t="shared" si="8"/>
        <v>220</v>
      </c>
      <c r="C49">
        <v>3955.81</v>
      </c>
      <c r="D49" s="54">
        <f t="shared" si="5"/>
        <v>220</v>
      </c>
      <c r="E49">
        <f t="shared" si="6"/>
        <v>-13.43100000000004</v>
      </c>
      <c r="F49" s="59">
        <f t="shared" si="9"/>
        <v>216.26115942801718</v>
      </c>
      <c r="G49" s="55">
        <f t="shared" si="7"/>
        <v>-13.43100000000004</v>
      </c>
      <c r="H49" s="54"/>
      <c r="I49" s="12"/>
      <c r="J49" s="55"/>
      <c r="M49" s="81"/>
      <c r="N49" s="73"/>
      <c r="O49" s="73"/>
      <c r="P49" s="74">
        <f t="shared" si="0"/>
        <v>216.26115942801718</v>
      </c>
      <c r="Q49" s="73">
        <f t="shared" si="1"/>
        <v>-13.43100000000004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50</v>
      </c>
      <c r="B50">
        <f t="shared" si="8"/>
        <v>225</v>
      </c>
      <c r="C50">
        <v>3954.1860000000001</v>
      </c>
      <c r="D50" s="54">
        <f t="shared" si="5"/>
        <v>225</v>
      </c>
      <c r="E50">
        <f t="shared" si="6"/>
        <v>-15.054999999999836</v>
      </c>
      <c r="F50" s="59">
        <f t="shared" si="9"/>
        <v>220.99007304532938</v>
      </c>
      <c r="G50" s="55">
        <f t="shared" si="7"/>
        <v>-15.054999999999836</v>
      </c>
      <c r="H50" s="54"/>
      <c r="I50" s="12"/>
      <c r="J50" s="55"/>
      <c r="M50" s="81"/>
      <c r="N50" s="73"/>
      <c r="O50" s="73"/>
      <c r="P50" s="74">
        <f t="shared" si="0"/>
        <v>220.99007304532938</v>
      </c>
      <c r="Q50" s="73">
        <f t="shared" si="1"/>
        <v>-15.054999999999836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51</v>
      </c>
      <c r="B51">
        <f t="shared" si="8"/>
        <v>230</v>
      </c>
      <c r="C51">
        <v>3952.6959999999999</v>
      </c>
      <c r="D51" s="54">
        <f t="shared" si="5"/>
        <v>230</v>
      </c>
      <c r="E51">
        <f t="shared" si="6"/>
        <v>-16.545000000000073</v>
      </c>
      <c r="F51" s="59">
        <f t="shared" si="9"/>
        <v>225.76290239488708</v>
      </c>
      <c r="G51" s="55">
        <f t="shared" si="7"/>
        <v>-16.545000000000073</v>
      </c>
      <c r="H51" s="54"/>
      <c r="I51" s="12"/>
      <c r="J51" s="55"/>
      <c r="M51" s="81"/>
      <c r="N51" s="73"/>
      <c r="O51" s="73"/>
      <c r="P51" s="74">
        <f t="shared" si="0"/>
        <v>225.76290239488708</v>
      </c>
      <c r="Q51" s="73">
        <f t="shared" si="1"/>
        <v>-16.545000000000073</v>
      </c>
      <c r="R51" s="73"/>
      <c r="S51" s="73"/>
      <c r="T51" s="73"/>
      <c r="U51" s="73"/>
      <c r="V51" s="73"/>
      <c r="W51" s="73"/>
      <c r="X51" s="74"/>
      <c r="Y51" s="74"/>
      <c r="Z51" s="80"/>
    </row>
    <row r="52" spans="1:26" ht="15.75" thickBot="1" x14ac:dyDescent="0.3">
      <c r="A52" t="s">
        <v>52</v>
      </c>
      <c r="B52">
        <f t="shared" si="8"/>
        <v>235</v>
      </c>
      <c r="C52">
        <v>3951.2829999999999</v>
      </c>
      <c r="D52" s="54">
        <f t="shared" si="5"/>
        <v>235</v>
      </c>
      <c r="E52">
        <f t="shared" si="6"/>
        <v>-17.958000000000084</v>
      </c>
      <c r="F52" s="59">
        <f t="shared" si="9"/>
        <v>230.55909161133798</v>
      </c>
      <c r="G52" s="55">
        <f t="shared" si="7"/>
        <v>-17.958000000000084</v>
      </c>
      <c r="H52" s="54"/>
      <c r="I52" s="12"/>
      <c r="J52" s="55"/>
      <c r="M52" s="82"/>
      <c r="N52" s="83"/>
      <c r="O52" s="83"/>
      <c r="P52" s="84">
        <f t="shared" si="0"/>
        <v>230.55909161133798</v>
      </c>
      <c r="Q52" s="83">
        <f t="shared" si="1"/>
        <v>-17.958000000000084</v>
      </c>
      <c r="R52" s="83"/>
      <c r="S52" s="83"/>
      <c r="T52" s="83"/>
      <c r="U52" s="83"/>
      <c r="V52" s="83"/>
      <c r="W52" s="83"/>
      <c r="X52" s="84"/>
      <c r="Y52" s="84"/>
      <c r="Z52" s="85"/>
    </row>
    <row r="53" spans="1:26" x14ac:dyDescent="0.25">
      <c r="D53" s="54"/>
      <c r="E53" s="55"/>
      <c r="F53" s="107"/>
      <c r="G53" s="55"/>
      <c r="H53" s="54"/>
      <c r="I53" s="12"/>
      <c r="J53" s="55"/>
      <c r="M53" s="70"/>
      <c r="N53" s="68"/>
      <c r="O53" s="68"/>
      <c r="P53" s="70"/>
      <c r="Q53" s="68"/>
      <c r="R53" s="68"/>
      <c r="S53" s="68"/>
      <c r="T53" s="68"/>
      <c r="U53" s="68"/>
      <c r="V53" s="68"/>
      <c r="W53" s="68"/>
      <c r="X53" s="70"/>
      <c r="Y53" s="70"/>
      <c r="Z53" s="68"/>
    </row>
    <row r="54" spans="1:26" x14ac:dyDescent="0.25">
      <c r="D54" s="54"/>
      <c r="E54" s="55"/>
      <c r="F54" s="107"/>
      <c r="G54" s="55"/>
      <c r="H54" s="54"/>
      <c r="I54" s="12"/>
      <c r="J54" s="55"/>
      <c r="X54" s="12"/>
      <c r="Y54" s="12"/>
    </row>
    <row r="55" spans="1:26" x14ac:dyDescent="0.25">
      <c r="D55" s="54"/>
      <c r="E55" s="55"/>
      <c r="F55" s="107"/>
      <c r="G55" s="55"/>
      <c r="H55" s="54"/>
      <c r="I55" s="12"/>
      <c r="J55" s="55"/>
      <c r="X55" s="12"/>
      <c r="Y55" s="12"/>
    </row>
    <row r="56" spans="1:26" x14ac:dyDescent="0.25">
      <c r="D56" s="54"/>
      <c r="E56" s="55"/>
      <c r="F56" s="107"/>
      <c r="G56" s="55"/>
      <c r="H56" s="54"/>
      <c r="I56" s="12"/>
      <c r="J56" s="55"/>
      <c r="X56" s="12"/>
      <c r="Y56" s="12"/>
    </row>
    <row r="57" spans="1:26" x14ac:dyDescent="0.25">
      <c r="D57" s="54"/>
      <c r="E57" s="55"/>
      <c r="F57" s="107"/>
      <c r="G57" s="55"/>
      <c r="H57" s="54"/>
      <c r="I57" s="12"/>
      <c r="J57" s="55"/>
      <c r="X57" s="12"/>
      <c r="Y57" s="12"/>
    </row>
    <row r="58" spans="1:26" x14ac:dyDescent="0.25">
      <c r="D58" s="54"/>
      <c r="E58" s="55"/>
      <c r="F58" s="107"/>
      <c r="G58" s="55"/>
      <c r="H58" s="54"/>
      <c r="I58" s="12"/>
      <c r="J58" s="55"/>
    </row>
    <row r="59" spans="1:26" x14ac:dyDescent="0.25">
      <c r="D59" s="54"/>
      <c r="E59" s="55"/>
      <c r="F59" s="107"/>
      <c r="G59" s="55"/>
      <c r="H59" s="65"/>
      <c r="I59" s="64"/>
      <c r="J59" s="66"/>
    </row>
    <row r="60" spans="1:26" x14ac:dyDescent="0.25">
      <c r="D60" s="54"/>
      <c r="E60" s="55"/>
      <c r="F60" s="107"/>
      <c r="I60" s="12"/>
    </row>
    <row r="61" spans="1:26" x14ac:dyDescent="0.25">
      <c r="D61" s="54"/>
      <c r="E61" s="55"/>
      <c r="F61" s="107"/>
      <c r="I61" s="12"/>
    </row>
    <row r="62" spans="1:26" x14ac:dyDescent="0.25">
      <c r="D62" s="54"/>
      <c r="E62" s="55"/>
      <c r="F62" s="107"/>
      <c r="I62" s="12"/>
    </row>
    <row r="63" spans="1:26" x14ac:dyDescent="0.25">
      <c r="D63" s="54"/>
      <c r="E63" s="55"/>
      <c r="F63" s="107"/>
      <c r="I63" s="12"/>
    </row>
    <row r="64" spans="1:26" x14ac:dyDescent="0.25">
      <c r="D64" s="54"/>
      <c r="E64" s="55"/>
      <c r="F64" s="107"/>
      <c r="I64" s="12"/>
    </row>
    <row r="65" spans="4:9" x14ac:dyDescent="0.25">
      <c r="D65" s="54"/>
      <c r="E65" s="55"/>
      <c r="F65" s="107"/>
      <c r="I65" s="12"/>
    </row>
    <row r="66" spans="4:9" x14ac:dyDescent="0.25">
      <c r="D66" s="54"/>
      <c r="E66" s="55"/>
      <c r="F66" s="107"/>
      <c r="I66" s="12"/>
    </row>
    <row r="67" spans="4:9" x14ac:dyDescent="0.25">
      <c r="D67" s="54"/>
      <c r="E67" s="55"/>
      <c r="F67" s="107"/>
      <c r="I67" s="12"/>
    </row>
    <row r="68" spans="4:9" x14ac:dyDescent="0.25">
      <c r="D68" s="54"/>
      <c r="E68" s="55"/>
      <c r="F68" s="107"/>
      <c r="I68" s="12"/>
    </row>
    <row r="69" spans="4:9" x14ac:dyDescent="0.25">
      <c r="D69" s="54"/>
      <c r="E69" s="55"/>
      <c r="F69" s="107"/>
      <c r="I69" s="12"/>
    </row>
    <row r="70" spans="4:9" x14ac:dyDescent="0.25">
      <c r="D70" s="54"/>
      <c r="E70" s="55"/>
      <c r="F70" s="107"/>
      <c r="I70" s="12"/>
    </row>
    <row r="71" spans="4:9" x14ac:dyDescent="0.25">
      <c r="D71" s="54"/>
      <c r="E71" s="55"/>
      <c r="F71" s="107"/>
      <c r="I71" s="12"/>
    </row>
    <row r="72" spans="4:9" x14ac:dyDescent="0.25">
      <c r="D72" s="54"/>
      <c r="E72" s="55"/>
      <c r="F72" s="107"/>
      <c r="I72" s="12"/>
    </row>
    <row r="73" spans="4:9" x14ac:dyDescent="0.25">
      <c r="D73" s="54"/>
      <c r="E73" s="55"/>
      <c r="F73" s="107"/>
      <c r="I73" s="12"/>
    </row>
    <row r="74" spans="4:9" x14ac:dyDescent="0.25">
      <c r="D74" s="54"/>
      <c r="E74" s="55"/>
      <c r="F74" s="107"/>
      <c r="I74" s="12"/>
    </row>
    <row r="75" spans="4:9" x14ac:dyDescent="0.25">
      <c r="D75" s="54"/>
      <c r="E75" s="55"/>
      <c r="F75" s="107"/>
      <c r="I75" s="12"/>
    </row>
    <row r="76" spans="4:9" x14ac:dyDescent="0.25">
      <c r="D76" s="54"/>
      <c r="E76" s="55"/>
      <c r="F76" s="107"/>
      <c r="I76" s="12"/>
    </row>
    <row r="77" spans="4:9" x14ac:dyDescent="0.25">
      <c r="D77" s="56"/>
      <c r="E77" s="57"/>
      <c r="F77" s="108"/>
      <c r="I77" s="12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20B9-FBCA-402B-87C2-AD44C5707A79}">
  <dimension ref="A1:Z77"/>
  <sheetViews>
    <sheetView topLeftCell="A3" workbookViewId="0">
      <selection activeCell="A40" sqref="A40:XFD40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322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MAX(J17:J40)</f>
        <v>-0.57300000000032014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s="1" customFormat="1" ht="15.75" x14ac:dyDescent="0.25">
      <c r="A2" s="135" t="s">
        <v>332</v>
      </c>
      <c r="B2" s="136">
        <v>2</v>
      </c>
      <c r="D2" s="62"/>
      <c r="F2" s="62"/>
      <c r="G2" s="58"/>
      <c r="H2" s="62"/>
      <c r="M2" s="131"/>
      <c r="N2" s="132"/>
      <c r="O2" s="132"/>
      <c r="P2" s="133"/>
      <c r="Q2" s="132"/>
      <c r="R2" s="132"/>
      <c r="S2" s="132"/>
      <c r="T2" s="132"/>
      <c r="U2" s="67"/>
      <c r="V2" s="67"/>
      <c r="W2" s="67"/>
      <c r="X2" s="67"/>
      <c r="Y2" s="67"/>
      <c r="Z2" s="134"/>
    </row>
    <row r="3" spans="1:26" x14ac:dyDescent="0.25">
      <c r="A3" s="1" t="s">
        <v>175</v>
      </c>
      <c r="B3">
        <v>4</v>
      </c>
      <c r="C3" s="1"/>
      <c r="D3" s="62"/>
      <c r="E3" s="1"/>
      <c r="F3" s="62"/>
      <c r="G3" s="58"/>
      <c r="H3" s="62"/>
      <c r="I3" s="1"/>
      <c r="J3" s="119"/>
      <c r="K3" s="1"/>
      <c r="L3" s="1"/>
      <c r="M3" s="79" t="s">
        <v>328</v>
      </c>
      <c r="N3" s="72"/>
      <c r="O3" s="73"/>
      <c r="P3" s="71" t="s">
        <v>325</v>
      </c>
      <c r="Q3" s="73"/>
      <c r="R3" s="73"/>
      <c r="S3" s="73"/>
      <c r="T3" s="73"/>
      <c r="Z3" s="80"/>
    </row>
    <row r="4" spans="1:26" x14ac:dyDescent="0.25">
      <c r="A4" s="1" t="s">
        <v>175</v>
      </c>
      <c r="B4" s="109"/>
      <c r="C4" s="109"/>
      <c r="D4" s="110"/>
      <c r="E4" s="109"/>
      <c r="F4" s="110"/>
      <c r="G4" s="111"/>
      <c r="H4" s="120"/>
      <c r="I4" s="120"/>
      <c r="J4" s="121"/>
      <c r="K4" s="114"/>
      <c r="L4" s="114" t="s">
        <v>175</v>
      </c>
      <c r="M4" s="122"/>
      <c r="N4" s="120"/>
      <c r="O4" s="116"/>
      <c r="P4" s="71"/>
      <c r="Q4" s="116"/>
      <c r="R4" s="73"/>
      <c r="S4" s="73"/>
      <c r="T4" s="116"/>
      <c r="U4" s="116">
        <f>-B3</f>
        <v>-4</v>
      </c>
      <c r="V4" s="116">
        <f>J16</f>
        <v>-5.4729999999999563</v>
      </c>
      <c r="W4" s="116"/>
      <c r="X4" s="117">
        <f>M16-(MIN($M$17:$M$41))</f>
        <v>-4</v>
      </c>
      <c r="Y4" s="117">
        <f>V4</f>
        <v>-5.4729999999999563</v>
      </c>
      <c r="Z4" s="118"/>
    </row>
    <row r="5" spans="1:26" x14ac:dyDescent="0.25">
      <c r="A5" t="s">
        <v>5</v>
      </c>
      <c r="B5">
        <v>0</v>
      </c>
      <c r="C5">
        <v>3717.4850000000001</v>
      </c>
      <c r="D5" s="54">
        <f>B5</f>
        <v>0</v>
      </c>
      <c r="E5">
        <f>C5-(MAX($C$5:$C$52))</f>
        <v>-5.4510000000000218</v>
      </c>
      <c r="F5" s="54">
        <v>0</v>
      </c>
      <c r="G5" s="55">
        <f>E5</f>
        <v>-5.4510000000000218</v>
      </c>
      <c r="J5" s="63"/>
      <c r="M5" s="15"/>
      <c r="O5" s="73"/>
      <c r="P5" s="117">
        <f t="shared" ref="P5:P52" si="0">F5</f>
        <v>0</v>
      </c>
      <c r="Q5" s="116">
        <f t="shared" ref="Q5:Q52" si="1">G5-$S$1</f>
        <v>-4.8779999999997017</v>
      </c>
      <c r="R5" s="116"/>
      <c r="S5" s="116"/>
      <c r="T5" s="73"/>
      <c r="U5" s="73">
        <v>0</v>
      </c>
      <c r="V5" s="116">
        <f t="shared" ref="V5:V29" si="2">J17</f>
        <v>-4.9729999999999563</v>
      </c>
      <c r="W5" s="73"/>
      <c r="X5" s="117">
        <f t="shared" ref="X5:X29" si="3">M17-(MIN($M$17:$M$41))</f>
        <v>0</v>
      </c>
      <c r="Y5" s="117">
        <f t="shared" ref="Y5:Y29" si="4">V5</f>
        <v>-4.9729999999999563</v>
      </c>
      <c r="Z5" s="80"/>
    </row>
    <row r="6" spans="1:26" x14ac:dyDescent="0.25">
      <c r="A6" t="s">
        <v>6</v>
      </c>
      <c r="B6">
        <f>B5+$B$2</f>
        <v>2</v>
      </c>
      <c r="C6">
        <v>3717.1610000000001</v>
      </c>
      <c r="D6" s="54">
        <f t="shared" ref="D6:D52" si="5">B6</f>
        <v>2</v>
      </c>
      <c r="E6">
        <f t="shared" ref="E6:E52" si="6">C6-(MAX($C$5:$C$52))</f>
        <v>-5.7750000000000909</v>
      </c>
      <c r="F6" s="59">
        <f>F5+(SQRT((D6-D5)^2-(E6-E5)^2))</f>
        <v>1.9735815159247807</v>
      </c>
      <c r="G6" s="55">
        <f t="shared" ref="G6:G52" si="7">E6</f>
        <v>-5.7750000000000909</v>
      </c>
      <c r="J6" s="63"/>
      <c r="M6" s="15"/>
      <c r="O6" s="73"/>
      <c r="P6" s="74">
        <f t="shared" si="0"/>
        <v>1.9735815159247807</v>
      </c>
      <c r="Q6" s="73">
        <f t="shared" si="1"/>
        <v>-5.2019999999997708</v>
      </c>
      <c r="R6" s="73"/>
      <c r="S6" s="73"/>
      <c r="T6" s="73"/>
      <c r="U6" s="73">
        <f>U5+$B$2</f>
        <v>2</v>
      </c>
      <c r="V6" s="116">
        <f t="shared" si="2"/>
        <v>-5.2420000000001892</v>
      </c>
      <c r="W6" s="73"/>
      <c r="X6" s="117">
        <f t="shared" si="3"/>
        <v>1.9818271872188724</v>
      </c>
      <c r="Y6" s="117">
        <f t="shared" si="4"/>
        <v>-5.2420000000001892</v>
      </c>
      <c r="Z6" s="80"/>
    </row>
    <row r="7" spans="1:26" x14ac:dyDescent="0.25">
      <c r="A7" t="s">
        <v>7</v>
      </c>
      <c r="B7">
        <f t="shared" ref="B7:B52" si="8">B6+$B$2</f>
        <v>4</v>
      </c>
      <c r="C7">
        <v>3717.8980000000001</v>
      </c>
      <c r="D7" s="54">
        <f t="shared" si="5"/>
        <v>4</v>
      </c>
      <c r="E7">
        <f t="shared" si="6"/>
        <v>-5.0380000000000109</v>
      </c>
      <c r="F7" s="59">
        <f t="shared" ref="F7:F52" si="9">F6+(SQRT((D7-D6)^2-(E7-E6)^2))</f>
        <v>3.8328370120844353</v>
      </c>
      <c r="G7" s="55">
        <f t="shared" si="7"/>
        <v>-5.0380000000000109</v>
      </c>
      <c r="J7" s="63"/>
      <c r="M7" s="15"/>
      <c r="O7" s="73"/>
      <c r="P7" s="74">
        <f t="shared" si="0"/>
        <v>3.8328370120844353</v>
      </c>
      <c r="Q7" s="73">
        <f t="shared" si="1"/>
        <v>-4.4649999999996908</v>
      </c>
      <c r="R7" s="73"/>
      <c r="S7" s="73"/>
      <c r="T7" s="73"/>
      <c r="U7" s="73">
        <f t="shared" ref="U7:U28" si="10">U6+$B$2</f>
        <v>4</v>
      </c>
      <c r="V7" s="116">
        <f t="shared" si="2"/>
        <v>-5.3769999999999527</v>
      </c>
      <c r="W7" s="73"/>
      <c r="X7" s="117">
        <f t="shared" si="3"/>
        <v>3.9772657355084604</v>
      </c>
      <c r="Y7" s="117">
        <f t="shared" si="4"/>
        <v>-5.3769999999999527</v>
      </c>
      <c r="Z7" s="80"/>
    </row>
    <row r="8" spans="1:26" x14ac:dyDescent="0.25">
      <c r="A8" t="s">
        <v>8</v>
      </c>
      <c r="B8">
        <f t="shared" si="8"/>
        <v>6</v>
      </c>
      <c r="C8">
        <v>3717.9830000000002</v>
      </c>
      <c r="D8" s="54">
        <f t="shared" si="5"/>
        <v>6</v>
      </c>
      <c r="E8">
        <f t="shared" si="6"/>
        <v>-4.9529999999999745</v>
      </c>
      <c r="F8" s="59">
        <f t="shared" si="9"/>
        <v>5.8310299457122152</v>
      </c>
      <c r="G8" s="55">
        <f t="shared" si="7"/>
        <v>-4.9529999999999745</v>
      </c>
      <c r="J8" s="63"/>
      <c r="M8" s="15"/>
      <c r="O8" s="73"/>
      <c r="P8" s="74">
        <f t="shared" si="0"/>
        <v>5.8310299457122152</v>
      </c>
      <c r="Q8" s="73">
        <f t="shared" si="1"/>
        <v>-4.3799999999996544</v>
      </c>
      <c r="R8" s="73"/>
      <c r="S8" s="73"/>
      <c r="T8" s="73"/>
      <c r="U8" s="73">
        <f t="shared" si="10"/>
        <v>6</v>
      </c>
      <c r="V8" s="116">
        <f t="shared" si="2"/>
        <v>-5.8969999999999345</v>
      </c>
      <c r="W8" s="73"/>
      <c r="X8" s="117">
        <f t="shared" si="3"/>
        <v>5.9084829682401967</v>
      </c>
      <c r="Y8" s="117">
        <f t="shared" si="4"/>
        <v>-5.8969999999999345</v>
      </c>
      <c r="Z8" s="80"/>
    </row>
    <row r="9" spans="1:26" x14ac:dyDescent="0.25">
      <c r="A9" t="s">
        <v>9</v>
      </c>
      <c r="B9">
        <f t="shared" si="8"/>
        <v>8</v>
      </c>
      <c r="C9">
        <v>3718.2350000000001</v>
      </c>
      <c r="D9" s="54">
        <f t="shared" si="5"/>
        <v>8</v>
      </c>
      <c r="E9">
        <f t="shared" si="6"/>
        <v>-4.7010000000000218</v>
      </c>
      <c r="F9" s="59">
        <f t="shared" si="9"/>
        <v>7.815090428661267</v>
      </c>
      <c r="G9" s="55">
        <f t="shared" si="7"/>
        <v>-4.7010000000000218</v>
      </c>
      <c r="J9" s="63"/>
      <c r="M9" s="15"/>
      <c r="O9" s="73"/>
      <c r="P9" s="74">
        <f t="shared" si="0"/>
        <v>7.815090428661267</v>
      </c>
      <c r="Q9" s="73">
        <f t="shared" si="1"/>
        <v>-4.1279999999997017</v>
      </c>
      <c r="R9" s="73"/>
      <c r="S9" s="73"/>
      <c r="T9" s="73"/>
      <c r="U9" s="73">
        <f t="shared" si="10"/>
        <v>8</v>
      </c>
      <c r="V9" s="116">
        <f t="shared" si="2"/>
        <v>-5.5260000000002947</v>
      </c>
      <c r="W9" s="73"/>
      <c r="X9" s="117">
        <f t="shared" si="3"/>
        <v>7.8737714966757189</v>
      </c>
      <c r="Y9" s="117">
        <f t="shared" si="4"/>
        <v>-5.5260000000002947</v>
      </c>
      <c r="Z9" s="80"/>
    </row>
    <row r="10" spans="1:26" x14ac:dyDescent="0.25">
      <c r="A10" t="s">
        <v>10</v>
      </c>
      <c r="B10">
        <f t="shared" si="8"/>
        <v>10</v>
      </c>
      <c r="C10">
        <v>3718.3870000000002</v>
      </c>
      <c r="D10" s="54">
        <f t="shared" si="5"/>
        <v>10</v>
      </c>
      <c r="E10">
        <f t="shared" si="6"/>
        <v>-4.5489999999999782</v>
      </c>
      <c r="F10" s="59">
        <f t="shared" si="9"/>
        <v>9.8093060639424632</v>
      </c>
      <c r="G10" s="55">
        <f t="shared" si="7"/>
        <v>-4.5489999999999782</v>
      </c>
      <c r="J10" s="63"/>
      <c r="M10" s="15"/>
      <c r="O10" s="73"/>
      <c r="P10" s="74">
        <f t="shared" si="0"/>
        <v>9.8093060639424632</v>
      </c>
      <c r="Q10" s="73">
        <f t="shared" si="1"/>
        <v>-3.975999999999658</v>
      </c>
      <c r="R10" s="73"/>
      <c r="S10" s="73"/>
      <c r="T10" s="73"/>
      <c r="U10" s="73">
        <f t="shared" si="10"/>
        <v>10</v>
      </c>
      <c r="V10" s="116">
        <f t="shared" si="2"/>
        <v>-4.0140000000001237</v>
      </c>
      <c r="W10" s="73"/>
      <c r="X10" s="117">
        <f t="shared" si="3"/>
        <v>9.1829147279531362</v>
      </c>
      <c r="Y10" s="117">
        <f t="shared" si="4"/>
        <v>-4.0140000000001237</v>
      </c>
      <c r="Z10" s="80"/>
    </row>
    <row r="11" spans="1:26" x14ac:dyDescent="0.25">
      <c r="A11" t="s">
        <v>11</v>
      </c>
      <c r="B11">
        <f t="shared" si="8"/>
        <v>12</v>
      </c>
      <c r="C11">
        <v>3718.4810000000002</v>
      </c>
      <c r="D11" s="54">
        <f t="shared" si="5"/>
        <v>12</v>
      </c>
      <c r="E11">
        <f t="shared" si="6"/>
        <v>-4.4549999999999272</v>
      </c>
      <c r="F11" s="59">
        <f t="shared" si="9"/>
        <v>11.807095842672945</v>
      </c>
      <c r="G11" s="55">
        <f t="shared" si="7"/>
        <v>-4.4549999999999272</v>
      </c>
      <c r="J11" s="63"/>
      <c r="M11" s="15"/>
      <c r="O11" s="73"/>
      <c r="P11" s="74">
        <f t="shared" si="0"/>
        <v>11.807095842672945</v>
      </c>
      <c r="Q11" s="73">
        <f t="shared" si="1"/>
        <v>-3.8819999999996071</v>
      </c>
      <c r="R11" s="73"/>
      <c r="S11" s="73"/>
      <c r="T11" s="73"/>
      <c r="U11" s="73">
        <f t="shared" si="10"/>
        <v>12</v>
      </c>
      <c r="V11" s="116">
        <f t="shared" si="2"/>
        <v>-3.5080000000002656</v>
      </c>
      <c r="W11" s="73"/>
      <c r="X11" s="117">
        <f t="shared" si="3"/>
        <v>11.117847284917371</v>
      </c>
      <c r="Y11" s="117">
        <f t="shared" si="4"/>
        <v>-3.5080000000002656</v>
      </c>
      <c r="Z11" s="80"/>
    </row>
    <row r="12" spans="1:26" x14ac:dyDescent="0.25">
      <c r="A12" t="s">
        <v>12</v>
      </c>
      <c r="B12">
        <f t="shared" si="8"/>
        <v>14</v>
      </c>
      <c r="C12">
        <v>3718.422</v>
      </c>
      <c r="D12" s="54">
        <f t="shared" si="5"/>
        <v>14</v>
      </c>
      <c r="E12">
        <f t="shared" si="6"/>
        <v>-4.5140000000001237</v>
      </c>
      <c r="F12" s="59">
        <f t="shared" si="9"/>
        <v>13.806225403256745</v>
      </c>
      <c r="G12" s="55">
        <f t="shared" si="7"/>
        <v>-4.5140000000001237</v>
      </c>
      <c r="J12" s="63"/>
      <c r="M12" s="15"/>
      <c r="O12" s="73"/>
      <c r="P12" s="74">
        <f t="shared" si="0"/>
        <v>13.806225403256745</v>
      </c>
      <c r="Q12" s="73">
        <f t="shared" si="1"/>
        <v>-3.9409999999998035</v>
      </c>
      <c r="R12" s="73"/>
      <c r="S12" s="73"/>
      <c r="T12" s="73"/>
      <c r="U12" s="73">
        <f t="shared" si="10"/>
        <v>14</v>
      </c>
      <c r="V12" s="116">
        <f t="shared" si="2"/>
        <v>-4.2690000000002328</v>
      </c>
      <c r="W12" s="73"/>
      <c r="X12" s="117">
        <f t="shared" si="3"/>
        <v>12.967409124921662</v>
      </c>
      <c r="Y12" s="117">
        <f t="shared" si="4"/>
        <v>-4.2690000000002328</v>
      </c>
      <c r="Z12" s="80"/>
    </row>
    <row r="13" spans="1:26" x14ac:dyDescent="0.25">
      <c r="A13" t="s">
        <v>13</v>
      </c>
      <c r="B13">
        <f t="shared" si="8"/>
        <v>16</v>
      </c>
      <c r="C13">
        <v>3718.7510000000002</v>
      </c>
      <c r="D13" s="54">
        <f t="shared" si="5"/>
        <v>16</v>
      </c>
      <c r="E13">
        <f t="shared" si="6"/>
        <v>-4.1849999999999454</v>
      </c>
      <c r="F13" s="59">
        <f t="shared" si="9"/>
        <v>15.778979569390955</v>
      </c>
      <c r="G13" s="55">
        <f t="shared" si="7"/>
        <v>-4.1849999999999454</v>
      </c>
      <c r="J13" s="63"/>
      <c r="M13" s="15"/>
      <c r="O13" s="73"/>
      <c r="P13" s="74">
        <f t="shared" si="0"/>
        <v>15.778979569390955</v>
      </c>
      <c r="Q13" s="73">
        <f t="shared" si="1"/>
        <v>-3.6119999999996253</v>
      </c>
      <c r="R13" s="73"/>
      <c r="S13" s="73"/>
      <c r="T13" s="73"/>
      <c r="U13" s="73">
        <f t="shared" si="10"/>
        <v>16</v>
      </c>
      <c r="V13" s="116">
        <f t="shared" si="2"/>
        <v>-4.0720000000001164</v>
      </c>
      <c r="W13" s="73"/>
      <c r="X13" s="117">
        <f t="shared" si="3"/>
        <v>14.957683226647344</v>
      </c>
      <c r="Y13" s="117">
        <f t="shared" si="4"/>
        <v>-4.0720000000001164</v>
      </c>
      <c r="Z13" s="80"/>
    </row>
    <row r="14" spans="1:26" x14ac:dyDescent="0.25">
      <c r="A14" t="s">
        <v>14</v>
      </c>
      <c r="B14">
        <f t="shared" si="8"/>
        <v>18</v>
      </c>
      <c r="C14">
        <v>3718.6869999999999</v>
      </c>
      <c r="D14" s="54">
        <f t="shared" si="5"/>
        <v>18</v>
      </c>
      <c r="E14">
        <f t="shared" si="6"/>
        <v>-4.249000000000251</v>
      </c>
      <c r="F14" s="59">
        <f t="shared" si="9"/>
        <v>17.777955307112641</v>
      </c>
      <c r="G14" s="55">
        <f t="shared" si="7"/>
        <v>-4.249000000000251</v>
      </c>
      <c r="J14" s="63"/>
      <c r="M14" s="15"/>
      <c r="O14" s="73"/>
      <c r="P14" s="74">
        <f t="shared" si="0"/>
        <v>17.777955307112641</v>
      </c>
      <c r="Q14" s="73">
        <f t="shared" si="1"/>
        <v>-3.6759999999999309</v>
      </c>
      <c r="R14" s="73"/>
      <c r="S14" s="73"/>
      <c r="T14" s="73"/>
      <c r="U14" s="73">
        <f t="shared" si="10"/>
        <v>18</v>
      </c>
      <c r="V14" s="116">
        <f t="shared" si="2"/>
        <v>-2.8880000000003747</v>
      </c>
      <c r="W14" s="73"/>
      <c r="X14" s="117">
        <f t="shared" si="3"/>
        <v>16.569559152393683</v>
      </c>
      <c r="Y14" s="117">
        <f t="shared" si="4"/>
        <v>-2.8880000000003747</v>
      </c>
      <c r="Z14" s="80"/>
    </row>
    <row r="15" spans="1:26" x14ac:dyDescent="0.25">
      <c r="A15" t="s">
        <v>15</v>
      </c>
      <c r="B15">
        <f t="shared" si="8"/>
        <v>20</v>
      </c>
      <c r="C15">
        <v>3718.4720000000002</v>
      </c>
      <c r="D15" s="54">
        <f t="shared" si="5"/>
        <v>20</v>
      </c>
      <c r="E15">
        <f t="shared" si="6"/>
        <v>-4.4639999999999418</v>
      </c>
      <c r="F15" s="59">
        <f t="shared" si="9"/>
        <v>19.766365476066756</v>
      </c>
      <c r="G15" s="55">
        <f t="shared" si="7"/>
        <v>-4.4639999999999418</v>
      </c>
      <c r="J15" s="63"/>
      <c r="M15" s="15"/>
      <c r="O15" s="73"/>
      <c r="P15" s="74">
        <f t="shared" si="0"/>
        <v>19.766365476066756</v>
      </c>
      <c r="Q15" s="73">
        <f t="shared" si="1"/>
        <v>-3.8909999999996217</v>
      </c>
      <c r="R15" s="73"/>
      <c r="S15" s="73"/>
      <c r="T15" s="73"/>
      <c r="U15" s="73">
        <f t="shared" si="10"/>
        <v>20</v>
      </c>
      <c r="V15" s="116">
        <f t="shared" si="2"/>
        <v>-1.9370000000003529</v>
      </c>
      <c r="W15" s="73"/>
      <c r="X15" s="117">
        <f t="shared" si="3"/>
        <v>18.328990594649948</v>
      </c>
      <c r="Y15" s="117">
        <f t="shared" si="4"/>
        <v>-1.9370000000003529</v>
      </c>
      <c r="Z15" s="80"/>
    </row>
    <row r="16" spans="1:26" x14ac:dyDescent="0.25">
      <c r="A16" t="s">
        <v>16</v>
      </c>
      <c r="B16">
        <f t="shared" si="8"/>
        <v>22</v>
      </c>
      <c r="C16">
        <v>3718.23</v>
      </c>
      <c r="D16" s="54">
        <f t="shared" si="5"/>
        <v>22</v>
      </c>
      <c r="E16">
        <f t="shared" si="6"/>
        <v>-4.706000000000131</v>
      </c>
      <c r="F16" s="59">
        <f t="shared" si="9"/>
        <v>21.751670490415915</v>
      </c>
      <c r="G16" s="55">
        <f t="shared" si="7"/>
        <v>-4.706000000000131</v>
      </c>
      <c r="H16" s="112" t="s">
        <v>175</v>
      </c>
      <c r="I16" s="123">
        <f>I17-B3</f>
        <v>19.733768116669498</v>
      </c>
      <c r="J16" s="113">
        <f>J17-0.5</f>
        <v>-5.4729999999999563</v>
      </c>
      <c r="M16" s="115">
        <f>I16</f>
        <v>19.733768116669498</v>
      </c>
      <c r="N16" s="116">
        <f>J16</f>
        <v>-5.4729999999999563</v>
      </c>
      <c r="O16" s="73"/>
      <c r="P16" s="74">
        <f t="shared" si="0"/>
        <v>21.751670490415915</v>
      </c>
      <c r="Q16" s="73">
        <f t="shared" si="1"/>
        <v>-4.1329999999998108</v>
      </c>
      <c r="R16" s="73"/>
      <c r="S16" s="73"/>
      <c r="T16" s="73"/>
      <c r="U16" s="73">
        <f t="shared" si="10"/>
        <v>22</v>
      </c>
      <c r="V16" s="116">
        <f t="shared" si="2"/>
        <v>-1.2470000000002983</v>
      </c>
      <c r="W16" s="73"/>
      <c r="X16" s="117">
        <f t="shared" si="3"/>
        <v>20.206195964341799</v>
      </c>
      <c r="Y16" s="117">
        <f t="shared" si="4"/>
        <v>-1.2470000000002983</v>
      </c>
      <c r="Z16" s="80"/>
    </row>
    <row r="17" spans="1:26" x14ac:dyDescent="0.25">
      <c r="A17" t="s">
        <v>17</v>
      </c>
      <c r="B17">
        <f t="shared" si="8"/>
        <v>24</v>
      </c>
      <c r="C17">
        <v>3717.9630000000002</v>
      </c>
      <c r="D17" s="54">
        <f t="shared" si="5"/>
        <v>24</v>
      </c>
      <c r="E17">
        <f t="shared" si="6"/>
        <v>-4.9729999999999563</v>
      </c>
      <c r="F17" s="59">
        <f t="shared" si="9"/>
        <v>23.733768116669498</v>
      </c>
      <c r="G17" s="55">
        <f t="shared" si="7"/>
        <v>-4.9729999999999563</v>
      </c>
      <c r="H17" s="54" t="s">
        <v>103</v>
      </c>
      <c r="I17" s="12">
        <f>F17</f>
        <v>23.733768116669498</v>
      </c>
      <c r="J17" s="55">
        <f>G17</f>
        <v>-4.9729999999999563</v>
      </c>
      <c r="M17" s="81">
        <f t="shared" ref="M17:M41" si="11">I17</f>
        <v>23.733768116669498</v>
      </c>
      <c r="N17" s="73">
        <f t="shared" ref="N17:N41" si="12">J17-$S$1</f>
        <v>-4.3999999999996362</v>
      </c>
      <c r="O17" s="73"/>
      <c r="P17" s="74">
        <f t="shared" si="0"/>
        <v>23.733768116669498</v>
      </c>
      <c r="Q17" s="73">
        <f t="shared" si="1"/>
        <v>-4.3999999999996362</v>
      </c>
      <c r="R17" s="73"/>
      <c r="S17" s="73"/>
      <c r="T17" s="73"/>
      <c r="U17" s="73">
        <f t="shared" si="10"/>
        <v>24</v>
      </c>
      <c r="V17" s="116">
        <f t="shared" si="2"/>
        <v>-0.78600000000005821</v>
      </c>
      <c r="W17" s="73"/>
      <c r="X17" s="117">
        <f t="shared" si="3"/>
        <v>22.152340614669665</v>
      </c>
      <c r="Y17" s="117">
        <f t="shared" si="4"/>
        <v>-0.78600000000005821</v>
      </c>
      <c r="Z17" s="80"/>
    </row>
    <row r="18" spans="1:26" x14ac:dyDescent="0.25">
      <c r="A18" t="s">
        <v>18</v>
      </c>
      <c r="B18">
        <f t="shared" si="8"/>
        <v>26</v>
      </c>
      <c r="C18">
        <v>3717.694</v>
      </c>
      <c r="D18" s="54">
        <f t="shared" si="5"/>
        <v>26</v>
      </c>
      <c r="E18">
        <f t="shared" si="6"/>
        <v>-5.2420000000001892</v>
      </c>
      <c r="F18" s="59">
        <f t="shared" si="9"/>
        <v>25.715595303888371</v>
      </c>
      <c r="G18" s="55">
        <f t="shared" si="7"/>
        <v>-5.2420000000001892</v>
      </c>
      <c r="H18" s="54" t="s">
        <v>104</v>
      </c>
      <c r="I18" s="12">
        <f t="shared" ref="I18:J40" si="13">F18</f>
        <v>25.715595303888371</v>
      </c>
      <c r="J18" s="55">
        <f t="shared" si="13"/>
        <v>-5.2420000000001892</v>
      </c>
      <c r="M18" s="81">
        <f t="shared" si="11"/>
        <v>25.715595303888371</v>
      </c>
      <c r="N18" s="73">
        <f t="shared" si="12"/>
        <v>-4.668999999999869</v>
      </c>
      <c r="O18" s="73"/>
      <c r="P18" s="74">
        <f t="shared" si="0"/>
        <v>25.715595303888371</v>
      </c>
      <c r="Q18" s="73">
        <f t="shared" si="1"/>
        <v>-4.668999999999869</v>
      </c>
      <c r="R18" s="73"/>
      <c r="S18" s="73"/>
      <c r="T18" s="73"/>
      <c r="U18" s="73">
        <f t="shared" si="10"/>
        <v>26</v>
      </c>
      <c r="V18" s="116">
        <f t="shared" si="2"/>
        <v>-0.82799999999997453</v>
      </c>
      <c r="W18" s="73"/>
      <c r="X18" s="117">
        <f t="shared" si="3"/>
        <v>24.15189956603869</v>
      </c>
      <c r="Y18" s="117">
        <f t="shared" si="4"/>
        <v>-0.82799999999997453</v>
      </c>
      <c r="Z18" s="80"/>
    </row>
    <row r="19" spans="1:26" x14ac:dyDescent="0.25">
      <c r="A19" t="s">
        <v>19</v>
      </c>
      <c r="B19">
        <f t="shared" si="8"/>
        <v>28</v>
      </c>
      <c r="C19">
        <v>3717.5590000000002</v>
      </c>
      <c r="D19" s="54">
        <f t="shared" si="5"/>
        <v>28</v>
      </c>
      <c r="E19">
        <f t="shared" si="6"/>
        <v>-5.3769999999999527</v>
      </c>
      <c r="F19" s="59">
        <f t="shared" si="9"/>
        <v>27.711033852177959</v>
      </c>
      <c r="G19" s="55">
        <f t="shared" si="7"/>
        <v>-5.3769999999999527</v>
      </c>
      <c r="H19" s="54" t="s">
        <v>105</v>
      </c>
      <c r="I19" s="12">
        <f t="shared" si="13"/>
        <v>27.711033852177959</v>
      </c>
      <c r="J19" s="55">
        <f t="shared" si="13"/>
        <v>-5.3769999999999527</v>
      </c>
      <c r="M19" s="81">
        <f t="shared" si="11"/>
        <v>27.711033852177959</v>
      </c>
      <c r="N19" s="73">
        <f t="shared" si="12"/>
        <v>-4.8039999999996326</v>
      </c>
      <c r="O19" s="73"/>
      <c r="P19" s="74">
        <f t="shared" si="0"/>
        <v>27.711033852177959</v>
      </c>
      <c r="Q19" s="73">
        <f t="shared" si="1"/>
        <v>-4.8039999999996326</v>
      </c>
      <c r="R19" s="73"/>
      <c r="S19" s="73"/>
      <c r="T19" s="73"/>
      <c r="U19" s="73">
        <f t="shared" si="10"/>
        <v>28</v>
      </c>
      <c r="V19" s="116">
        <f t="shared" si="2"/>
        <v>-0.74400000000014188</v>
      </c>
      <c r="W19" s="73"/>
      <c r="X19" s="117">
        <f t="shared" si="3"/>
        <v>26.150134787427813</v>
      </c>
      <c r="Y19" s="117">
        <f t="shared" si="4"/>
        <v>-0.74400000000014188</v>
      </c>
      <c r="Z19" s="80"/>
    </row>
    <row r="20" spans="1:26" x14ac:dyDescent="0.25">
      <c r="A20" t="s">
        <v>20</v>
      </c>
      <c r="B20">
        <f t="shared" si="8"/>
        <v>30</v>
      </c>
      <c r="C20">
        <v>3717.0390000000002</v>
      </c>
      <c r="D20" s="54">
        <f t="shared" si="5"/>
        <v>30</v>
      </c>
      <c r="E20">
        <f t="shared" si="6"/>
        <v>-5.8969999999999345</v>
      </c>
      <c r="F20" s="59">
        <f t="shared" si="9"/>
        <v>29.642251084909695</v>
      </c>
      <c r="G20" s="55">
        <f t="shared" si="7"/>
        <v>-5.8969999999999345</v>
      </c>
      <c r="H20" s="54" t="s">
        <v>106</v>
      </c>
      <c r="I20" s="12">
        <f t="shared" si="13"/>
        <v>29.642251084909695</v>
      </c>
      <c r="J20" s="55">
        <f t="shared" si="13"/>
        <v>-5.8969999999999345</v>
      </c>
      <c r="M20" s="81">
        <f t="shared" si="11"/>
        <v>29.642251084909695</v>
      </c>
      <c r="N20" s="73">
        <f t="shared" si="12"/>
        <v>-5.3239999999996144</v>
      </c>
      <c r="O20" s="73"/>
      <c r="P20" s="74">
        <f t="shared" si="0"/>
        <v>29.642251084909695</v>
      </c>
      <c r="Q20" s="73">
        <f t="shared" si="1"/>
        <v>-5.3239999999996144</v>
      </c>
      <c r="R20" s="73"/>
      <c r="S20" s="73"/>
      <c r="T20" s="73"/>
      <c r="U20" s="73">
        <f t="shared" si="10"/>
        <v>30</v>
      </c>
      <c r="V20" s="116">
        <f t="shared" si="2"/>
        <v>-0.70499999999992724</v>
      </c>
      <c r="W20" s="73"/>
      <c r="X20" s="117">
        <f t="shared" si="3"/>
        <v>28.149754501273417</v>
      </c>
      <c r="Y20" s="117">
        <f t="shared" si="4"/>
        <v>-0.70499999999992724</v>
      </c>
      <c r="Z20" s="80"/>
    </row>
    <row r="21" spans="1:26" x14ac:dyDescent="0.25">
      <c r="A21" t="s">
        <v>21</v>
      </c>
      <c r="B21">
        <f t="shared" si="8"/>
        <v>32</v>
      </c>
      <c r="C21">
        <v>3717.41</v>
      </c>
      <c r="D21" s="54">
        <f t="shared" si="5"/>
        <v>32</v>
      </c>
      <c r="E21">
        <f t="shared" si="6"/>
        <v>-5.5260000000002947</v>
      </c>
      <c r="F21" s="59">
        <f t="shared" si="9"/>
        <v>31.607539613345217</v>
      </c>
      <c r="G21" s="55">
        <f t="shared" si="7"/>
        <v>-5.5260000000002947</v>
      </c>
      <c r="H21" s="54" t="s">
        <v>107</v>
      </c>
      <c r="I21" s="12">
        <f t="shared" si="13"/>
        <v>31.607539613345217</v>
      </c>
      <c r="J21" s="55">
        <f t="shared" si="13"/>
        <v>-5.5260000000002947</v>
      </c>
      <c r="M21" s="81">
        <f t="shared" si="11"/>
        <v>31.607539613345217</v>
      </c>
      <c r="N21" s="73">
        <f t="shared" si="12"/>
        <v>-4.9529999999999745</v>
      </c>
      <c r="O21" s="73"/>
      <c r="P21" s="74">
        <f t="shared" si="0"/>
        <v>31.607539613345217</v>
      </c>
      <c r="Q21" s="73">
        <f t="shared" si="1"/>
        <v>-4.9529999999999745</v>
      </c>
      <c r="R21" s="73"/>
      <c r="S21" s="73"/>
      <c r="T21" s="73"/>
      <c r="U21" s="73">
        <f t="shared" si="10"/>
        <v>32</v>
      </c>
      <c r="V21" s="116">
        <f t="shared" si="2"/>
        <v>-0.63500000000021828</v>
      </c>
      <c r="W21" s="73"/>
      <c r="X21" s="117">
        <f t="shared" si="3"/>
        <v>30.148529125887219</v>
      </c>
      <c r="Y21" s="117">
        <f t="shared" si="4"/>
        <v>-0.63500000000021828</v>
      </c>
      <c r="Z21" s="80"/>
    </row>
    <row r="22" spans="1:26" x14ac:dyDescent="0.25">
      <c r="A22" t="s">
        <v>22</v>
      </c>
      <c r="B22">
        <f t="shared" si="8"/>
        <v>34</v>
      </c>
      <c r="C22">
        <v>3718.922</v>
      </c>
      <c r="D22" s="54">
        <f t="shared" si="5"/>
        <v>34</v>
      </c>
      <c r="E22">
        <f t="shared" si="6"/>
        <v>-4.0140000000001237</v>
      </c>
      <c r="F22" s="59">
        <f t="shared" si="9"/>
        <v>32.916682844622635</v>
      </c>
      <c r="G22" s="55">
        <f t="shared" si="7"/>
        <v>-4.0140000000001237</v>
      </c>
      <c r="H22" s="54" t="s">
        <v>108</v>
      </c>
      <c r="I22" s="12">
        <f t="shared" si="13"/>
        <v>32.916682844622635</v>
      </c>
      <c r="J22" s="55">
        <f t="shared" si="13"/>
        <v>-4.0140000000001237</v>
      </c>
      <c r="M22" s="81">
        <f t="shared" si="11"/>
        <v>32.916682844622635</v>
      </c>
      <c r="N22" s="73">
        <f t="shared" si="12"/>
        <v>-3.4409999999998035</v>
      </c>
      <c r="O22" s="73"/>
      <c r="P22" s="74">
        <f t="shared" si="0"/>
        <v>32.916682844622635</v>
      </c>
      <c r="Q22" s="73">
        <f t="shared" si="1"/>
        <v>-3.4409999999998035</v>
      </c>
      <c r="R22" s="73"/>
      <c r="S22" s="73"/>
      <c r="T22" s="73"/>
      <c r="U22" s="73">
        <f t="shared" si="10"/>
        <v>34</v>
      </c>
      <c r="V22" s="116">
        <f t="shared" si="2"/>
        <v>-0.62600000000020373</v>
      </c>
      <c r="W22" s="73"/>
      <c r="X22" s="117">
        <f t="shared" si="3"/>
        <v>32.1485088757847</v>
      </c>
      <c r="Y22" s="117">
        <f t="shared" si="4"/>
        <v>-0.62600000000020373</v>
      </c>
      <c r="Z22" s="80"/>
    </row>
    <row r="23" spans="1:26" x14ac:dyDescent="0.25">
      <c r="A23" t="s">
        <v>23</v>
      </c>
      <c r="B23">
        <f t="shared" si="8"/>
        <v>36</v>
      </c>
      <c r="C23">
        <v>3719.4279999999999</v>
      </c>
      <c r="D23" s="54">
        <f t="shared" si="5"/>
        <v>36</v>
      </c>
      <c r="E23">
        <f t="shared" si="6"/>
        <v>-3.5080000000002656</v>
      </c>
      <c r="F23" s="59">
        <f t="shared" si="9"/>
        <v>34.851615401586869</v>
      </c>
      <c r="G23" s="55">
        <f t="shared" si="7"/>
        <v>-3.5080000000002656</v>
      </c>
      <c r="H23" s="54" t="s">
        <v>109</v>
      </c>
      <c r="I23" s="12">
        <f t="shared" si="13"/>
        <v>34.851615401586869</v>
      </c>
      <c r="J23" s="55">
        <f t="shared" si="13"/>
        <v>-3.5080000000002656</v>
      </c>
      <c r="M23" s="81">
        <f t="shared" si="11"/>
        <v>34.851615401586869</v>
      </c>
      <c r="N23" s="73">
        <f t="shared" si="12"/>
        <v>-2.9349999999999454</v>
      </c>
      <c r="O23" s="73"/>
      <c r="P23" s="74">
        <f t="shared" si="0"/>
        <v>34.851615401586869</v>
      </c>
      <c r="Q23" s="73">
        <f t="shared" si="1"/>
        <v>-2.9349999999999454</v>
      </c>
      <c r="R23" s="73"/>
      <c r="S23" s="73"/>
      <c r="T23" s="73"/>
      <c r="U23" s="73">
        <f t="shared" si="10"/>
        <v>36</v>
      </c>
      <c r="V23" s="116">
        <f t="shared" si="2"/>
        <v>-0.58699999999998909</v>
      </c>
      <c r="W23" s="73"/>
      <c r="X23" s="117">
        <f t="shared" si="3"/>
        <v>34.148128589630304</v>
      </c>
      <c r="Y23" s="117">
        <f t="shared" si="4"/>
        <v>-0.58699999999998909</v>
      </c>
      <c r="Z23" s="80"/>
    </row>
    <row r="24" spans="1:26" x14ac:dyDescent="0.25">
      <c r="A24" t="s">
        <v>24</v>
      </c>
      <c r="B24">
        <f t="shared" si="8"/>
        <v>38</v>
      </c>
      <c r="C24">
        <v>3718.6669999999999</v>
      </c>
      <c r="D24" s="54">
        <f t="shared" si="5"/>
        <v>38</v>
      </c>
      <c r="E24">
        <f t="shared" si="6"/>
        <v>-4.2690000000002328</v>
      </c>
      <c r="F24" s="59">
        <f t="shared" si="9"/>
        <v>36.701177241591161</v>
      </c>
      <c r="G24" s="55">
        <f t="shared" si="7"/>
        <v>-4.2690000000002328</v>
      </c>
      <c r="H24" s="54" t="s">
        <v>110</v>
      </c>
      <c r="I24" s="12">
        <f t="shared" si="13"/>
        <v>36.701177241591161</v>
      </c>
      <c r="J24" s="55">
        <f t="shared" si="13"/>
        <v>-4.2690000000002328</v>
      </c>
      <c r="M24" s="81">
        <f t="shared" si="11"/>
        <v>36.701177241591161</v>
      </c>
      <c r="N24" s="73">
        <f t="shared" si="12"/>
        <v>-3.6959999999999127</v>
      </c>
      <c r="O24" s="73"/>
      <c r="P24" s="74">
        <f t="shared" si="0"/>
        <v>36.701177241591161</v>
      </c>
      <c r="Q24" s="73">
        <f t="shared" si="1"/>
        <v>-3.6959999999999127</v>
      </c>
      <c r="R24" s="73"/>
      <c r="S24" s="73"/>
      <c r="T24" s="73"/>
      <c r="U24" s="73">
        <f t="shared" si="10"/>
        <v>38</v>
      </c>
      <c r="V24" s="116">
        <f t="shared" si="2"/>
        <v>-0.57300000000032014</v>
      </c>
      <c r="W24" s="73"/>
      <c r="X24" s="117">
        <f t="shared" si="3"/>
        <v>36.148079589030047</v>
      </c>
      <c r="Y24" s="117">
        <f t="shared" si="4"/>
        <v>-0.57300000000032014</v>
      </c>
      <c r="Z24" s="80"/>
    </row>
    <row r="25" spans="1:26" x14ac:dyDescent="0.25">
      <c r="A25" t="s">
        <v>25</v>
      </c>
      <c r="B25">
        <f t="shared" si="8"/>
        <v>40</v>
      </c>
      <c r="C25">
        <v>3718.864</v>
      </c>
      <c r="D25" s="54">
        <f t="shared" si="5"/>
        <v>40</v>
      </c>
      <c r="E25">
        <f t="shared" si="6"/>
        <v>-4.0720000000001164</v>
      </c>
      <c r="F25" s="59">
        <f t="shared" si="9"/>
        <v>38.691451343316842</v>
      </c>
      <c r="G25" s="55">
        <f t="shared" si="7"/>
        <v>-4.0720000000001164</v>
      </c>
      <c r="H25" s="54" t="s">
        <v>111</v>
      </c>
      <c r="I25" s="12">
        <f t="shared" si="13"/>
        <v>38.691451343316842</v>
      </c>
      <c r="J25" s="55">
        <f t="shared" si="13"/>
        <v>-4.0720000000001164</v>
      </c>
      <c r="M25" s="81">
        <f t="shared" si="11"/>
        <v>38.691451343316842</v>
      </c>
      <c r="N25" s="73">
        <f t="shared" si="12"/>
        <v>-3.4989999999997963</v>
      </c>
      <c r="O25" s="73"/>
      <c r="P25" s="74">
        <f t="shared" si="0"/>
        <v>38.691451343316842</v>
      </c>
      <c r="Q25" s="73">
        <f t="shared" si="1"/>
        <v>-3.4989999999997963</v>
      </c>
      <c r="R25" s="73"/>
      <c r="S25" s="73"/>
      <c r="T25" s="73"/>
      <c r="U25" s="73">
        <f t="shared" si="10"/>
        <v>40</v>
      </c>
      <c r="V25" s="116">
        <f t="shared" si="2"/>
        <v>-0.63400000000001455</v>
      </c>
      <c r="W25" s="73"/>
      <c r="X25" s="117">
        <f t="shared" si="3"/>
        <v>38.147149122588104</v>
      </c>
      <c r="Y25" s="117">
        <f t="shared" si="4"/>
        <v>-0.63400000000001455</v>
      </c>
      <c r="Z25" s="80"/>
    </row>
    <row r="26" spans="1:26" x14ac:dyDescent="0.25">
      <c r="A26" t="s">
        <v>26</v>
      </c>
      <c r="B26">
        <f t="shared" si="8"/>
        <v>42</v>
      </c>
      <c r="C26">
        <v>3720.0479999999998</v>
      </c>
      <c r="D26" s="54">
        <f t="shared" si="5"/>
        <v>42</v>
      </c>
      <c r="E26">
        <f t="shared" si="6"/>
        <v>-2.8880000000003747</v>
      </c>
      <c r="F26" s="59">
        <f t="shared" si="9"/>
        <v>40.303327269063182</v>
      </c>
      <c r="G26" s="55">
        <f t="shared" si="7"/>
        <v>-2.8880000000003747</v>
      </c>
      <c r="H26" s="54" t="s">
        <v>112</v>
      </c>
      <c r="I26" s="12">
        <f t="shared" si="13"/>
        <v>40.303327269063182</v>
      </c>
      <c r="J26" s="55">
        <f t="shared" si="13"/>
        <v>-2.8880000000003747</v>
      </c>
      <c r="M26" s="81">
        <f t="shared" si="11"/>
        <v>40.303327269063182</v>
      </c>
      <c r="N26" s="73">
        <f t="shared" si="12"/>
        <v>-2.3150000000000546</v>
      </c>
      <c r="O26" s="73"/>
      <c r="P26" s="74">
        <f t="shared" si="0"/>
        <v>40.303327269063182</v>
      </c>
      <c r="Q26" s="73">
        <f t="shared" si="1"/>
        <v>-2.3150000000000546</v>
      </c>
      <c r="R26" s="73"/>
      <c r="S26" s="73"/>
      <c r="T26" s="73"/>
      <c r="U26" s="73">
        <f t="shared" si="10"/>
        <v>42</v>
      </c>
      <c r="V26" s="116">
        <f t="shared" si="2"/>
        <v>-0.85800000000017462</v>
      </c>
      <c r="W26" s="73"/>
      <c r="X26" s="117">
        <f t="shared" si="3"/>
        <v>40.13456553592475</v>
      </c>
      <c r="Y26" s="117">
        <f t="shared" si="4"/>
        <v>-0.85800000000017462</v>
      </c>
      <c r="Z26" s="80"/>
    </row>
    <row r="27" spans="1:26" x14ac:dyDescent="0.25">
      <c r="A27" t="s">
        <v>27</v>
      </c>
      <c r="B27">
        <f t="shared" si="8"/>
        <v>44</v>
      </c>
      <c r="C27">
        <v>3720.9989999999998</v>
      </c>
      <c r="D27" s="54">
        <f t="shared" si="5"/>
        <v>44</v>
      </c>
      <c r="E27">
        <f t="shared" si="6"/>
        <v>-1.9370000000003529</v>
      </c>
      <c r="F27" s="59">
        <f t="shared" si="9"/>
        <v>42.062758711319447</v>
      </c>
      <c r="G27" s="55">
        <f t="shared" si="7"/>
        <v>-1.9370000000003529</v>
      </c>
      <c r="H27" s="54" t="s">
        <v>113</v>
      </c>
      <c r="I27" s="12">
        <f t="shared" si="13"/>
        <v>42.062758711319447</v>
      </c>
      <c r="J27" s="55">
        <f t="shared" si="13"/>
        <v>-1.9370000000003529</v>
      </c>
      <c r="M27" s="81">
        <f t="shared" si="11"/>
        <v>42.062758711319447</v>
      </c>
      <c r="N27" s="73">
        <f t="shared" si="12"/>
        <v>-1.3640000000000327</v>
      </c>
      <c r="O27" s="73"/>
      <c r="P27" s="74">
        <f t="shared" si="0"/>
        <v>42.062758711319447</v>
      </c>
      <c r="Q27" s="73">
        <f t="shared" si="1"/>
        <v>-1.3640000000000327</v>
      </c>
      <c r="R27" s="73"/>
      <c r="S27" s="73"/>
      <c r="T27" s="73"/>
      <c r="U27" s="73">
        <f t="shared" si="10"/>
        <v>44</v>
      </c>
      <c r="V27" s="116">
        <f t="shared" si="2"/>
        <v>-1.0520000000001346</v>
      </c>
      <c r="W27" s="73"/>
      <c r="X27" s="117">
        <f t="shared" si="3"/>
        <v>42.125134298866655</v>
      </c>
      <c r="Y27" s="117">
        <f t="shared" si="4"/>
        <v>-1.0520000000001346</v>
      </c>
      <c r="Z27" s="80"/>
    </row>
    <row r="28" spans="1:26" x14ac:dyDescent="0.25">
      <c r="A28" t="s">
        <v>28</v>
      </c>
      <c r="B28">
        <f t="shared" si="8"/>
        <v>46</v>
      </c>
      <c r="C28">
        <v>3721.6889999999999</v>
      </c>
      <c r="D28" s="54">
        <f t="shared" si="5"/>
        <v>46</v>
      </c>
      <c r="E28">
        <f t="shared" si="6"/>
        <v>-1.2470000000002983</v>
      </c>
      <c r="F28" s="59">
        <f t="shared" si="9"/>
        <v>43.939964081011297</v>
      </c>
      <c r="G28" s="55">
        <f t="shared" si="7"/>
        <v>-1.2470000000002983</v>
      </c>
      <c r="H28" s="54" t="s">
        <v>114</v>
      </c>
      <c r="I28" s="12">
        <f t="shared" si="13"/>
        <v>43.939964081011297</v>
      </c>
      <c r="J28" s="55">
        <f t="shared" si="13"/>
        <v>-1.2470000000002983</v>
      </c>
      <c r="M28" s="81">
        <f t="shared" si="11"/>
        <v>43.939964081011297</v>
      </c>
      <c r="N28" s="73">
        <f t="shared" si="12"/>
        <v>-0.67399999999997817</v>
      </c>
      <c r="O28" s="73"/>
      <c r="P28" s="74">
        <f t="shared" si="0"/>
        <v>43.939964081011297</v>
      </c>
      <c r="Q28" s="73">
        <f t="shared" si="1"/>
        <v>-0.67399999999997817</v>
      </c>
      <c r="R28" s="73"/>
      <c r="S28" s="73"/>
      <c r="T28" s="73"/>
      <c r="U28" s="73">
        <f t="shared" si="10"/>
        <v>46</v>
      </c>
      <c r="V28" s="116">
        <f t="shared" si="2"/>
        <v>-0.82100000000036744</v>
      </c>
      <c r="W28" s="73"/>
      <c r="X28" s="117">
        <f t="shared" si="3"/>
        <v>44.111749259043918</v>
      </c>
      <c r="Y28" s="117">
        <f t="shared" si="4"/>
        <v>-0.82100000000036744</v>
      </c>
      <c r="Z28" s="80"/>
    </row>
    <row r="29" spans="1:26" x14ac:dyDescent="0.25">
      <c r="A29" t="s">
        <v>29</v>
      </c>
      <c r="B29">
        <f t="shared" si="8"/>
        <v>48</v>
      </c>
      <c r="C29">
        <v>3722.15</v>
      </c>
      <c r="D29" s="54">
        <f t="shared" si="5"/>
        <v>48</v>
      </c>
      <c r="E29">
        <f t="shared" si="6"/>
        <v>-0.78600000000005821</v>
      </c>
      <c r="F29" s="59">
        <f t="shared" si="9"/>
        <v>45.886108731339164</v>
      </c>
      <c r="G29" s="55">
        <f t="shared" si="7"/>
        <v>-0.78600000000005821</v>
      </c>
      <c r="H29" s="54" t="s">
        <v>115</v>
      </c>
      <c r="I29" s="12">
        <f t="shared" si="13"/>
        <v>45.886108731339164</v>
      </c>
      <c r="J29" s="55">
        <f t="shared" si="13"/>
        <v>-0.78600000000005821</v>
      </c>
      <c r="M29" s="81">
        <f t="shared" si="11"/>
        <v>45.886108731339164</v>
      </c>
      <c r="N29" s="73">
        <f t="shared" si="12"/>
        <v>-0.21299999999973807</v>
      </c>
      <c r="O29" s="73"/>
      <c r="P29" s="74">
        <f t="shared" si="0"/>
        <v>45.886108731339164</v>
      </c>
      <c r="Q29" s="73">
        <f t="shared" si="1"/>
        <v>-0.21299999999973807</v>
      </c>
      <c r="R29" s="73"/>
      <c r="S29" s="73"/>
      <c r="T29" s="73"/>
      <c r="U29" s="126">
        <f>U28+B3</f>
        <v>50</v>
      </c>
      <c r="V29" s="116">
        <f t="shared" si="2"/>
        <v>-0.68400000000019645</v>
      </c>
      <c r="W29" s="126"/>
      <c r="X29" s="117">
        <f t="shared" si="3"/>
        <v>48.111749259043918</v>
      </c>
      <c r="Y29" s="117">
        <f t="shared" si="4"/>
        <v>-0.68400000000019645</v>
      </c>
      <c r="Z29" s="127"/>
    </row>
    <row r="30" spans="1:26" x14ac:dyDescent="0.25">
      <c r="A30" t="s">
        <v>30</v>
      </c>
      <c r="B30">
        <f t="shared" si="8"/>
        <v>50</v>
      </c>
      <c r="C30">
        <v>3722.1080000000002</v>
      </c>
      <c r="D30" s="54">
        <f t="shared" si="5"/>
        <v>50</v>
      </c>
      <c r="E30">
        <f t="shared" si="6"/>
        <v>-0.82799999999997453</v>
      </c>
      <c r="F30" s="59">
        <f t="shared" si="9"/>
        <v>47.885667682708188</v>
      </c>
      <c r="G30" s="55">
        <f t="shared" si="7"/>
        <v>-0.82799999999997453</v>
      </c>
      <c r="H30" s="54" t="s">
        <v>116</v>
      </c>
      <c r="I30" s="12">
        <f t="shared" si="13"/>
        <v>47.885667682708188</v>
      </c>
      <c r="J30" s="55">
        <f t="shared" si="13"/>
        <v>-0.82799999999997453</v>
      </c>
      <c r="M30" s="81">
        <f t="shared" si="11"/>
        <v>47.885667682708188</v>
      </c>
      <c r="N30" s="73">
        <f t="shared" si="12"/>
        <v>-0.25499999999965439</v>
      </c>
      <c r="O30" s="73"/>
      <c r="P30" s="74">
        <f t="shared" si="0"/>
        <v>47.885667682708188</v>
      </c>
      <c r="Q30" s="73">
        <f t="shared" si="1"/>
        <v>-0.25499999999965439</v>
      </c>
      <c r="R30" s="73"/>
      <c r="S30" s="73"/>
      <c r="T30" s="73"/>
      <c r="V30" s="126"/>
      <c r="W30" s="126"/>
      <c r="Z30" s="127"/>
    </row>
    <row r="31" spans="1:26" x14ac:dyDescent="0.25">
      <c r="A31" t="s">
        <v>31</v>
      </c>
      <c r="B31">
        <f t="shared" si="8"/>
        <v>52</v>
      </c>
      <c r="C31">
        <v>3722.192</v>
      </c>
      <c r="D31" s="54">
        <f t="shared" si="5"/>
        <v>52</v>
      </c>
      <c r="E31">
        <f t="shared" si="6"/>
        <v>-0.74400000000014188</v>
      </c>
      <c r="F31" s="59">
        <f t="shared" si="9"/>
        <v>49.883902904097312</v>
      </c>
      <c r="G31" s="55">
        <f t="shared" si="7"/>
        <v>-0.74400000000014188</v>
      </c>
      <c r="H31" s="54" t="s">
        <v>117</v>
      </c>
      <c r="I31" s="12">
        <f t="shared" si="13"/>
        <v>49.883902904097312</v>
      </c>
      <c r="J31" s="55">
        <f t="shared" si="13"/>
        <v>-0.74400000000014188</v>
      </c>
      <c r="M31" s="81">
        <f t="shared" si="11"/>
        <v>49.883902904097312</v>
      </c>
      <c r="N31" s="73">
        <f t="shared" si="12"/>
        <v>-0.17099999999982174</v>
      </c>
      <c r="O31" s="73"/>
      <c r="P31" s="74">
        <f t="shared" si="0"/>
        <v>49.883902904097312</v>
      </c>
      <c r="Q31" s="73">
        <f t="shared" si="1"/>
        <v>-0.17099999999982174</v>
      </c>
      <c r="R31" s="73"/>
      <c r="S31" s="73"/>
      <c r="T31" s="73"/>
      <c r="W31" s="126"/>
      <c r="Z31" s="127"/>
    </row>
    <row r="32" spans="1:26" x14ac:dyDescent="0.25">
      <c r="A32" t="s">
        <v>32</v>
      </c>
      <c r="B32">
        <f t="shared" si="8"/>
        <v>54</v>
      </c>
      <c r="C32">
        <v>3722.2310000000002</v>
      </c>
      <c r="D32" s="54">
        <f t="shared" si="5"/>
        <v>54</v>
      </c>
      <c r="E32">
        <f t="shared" si="6"/>
        <v>-0.70499999999992724</v>
      </c>
      <c r="F32" s="59">
        <f t="shared" si="9"/>
        <v>51.883522617942916</v>
      </c>
      <c r="G32" s="55">
        <f t="shared" si="7"/>
        <v>-0.70499999999992724</v>
      </c>
      <c r="H32" s="54" t="s">
        <v>118</v>
      </c>
      <c r="I32" s="12">
        <f t="shared" si="13"/>
        <v>51.883522617942916</v>
      </c>
      <c r="J32" s="55">
        <f t="shared" si="13"/>
        <v>-0.70499999999992724</v>
      </c>
      <c r="M32" s="81">
        <f t="shared" si="11"/>
        <v>51.883522617942916</v>
      </c>
      <c r="N32" s="73">
        <f t="shared" si="12"/>
        <v>-0.1319999999996071</v>
      </c>
      <c r="O32" s="73"/>
      <c r="P32" s="74">
        <f t="shared" si="0"/>
        <v>51.883522617942916</v>
      </c>
      <c r="Q32" s="73">
        <f t="shared" si="1"/>
        <v>-0.1319999999996071</v>
      </c>
      <c r="R32" s="73"/>
      <c r="S32" s="73"/>
      <c r="T32" s="73"/>
      <c r="W32" s="126"/>
      <c r="Z32" s="127"/>
    </row>
    <row r="33" spans="1:26" x14ac:dyDescent="0.25">
      <c r="A33" t="s">
        <v>33</v>
      </c>
      <c r="B33">
        <f t="shared" si="8"/>
        <v>56</v>
      </c>
      <c r="C33">
        <v>3722.3009999999999</v>
      </c>
      <c r="D33" s="54">
        <f t="shared" si="5"/>
        <v>56</v>
      </c>
      <c r="E33">
        <f t="shared" si="6"/>
        <v>-0.63500000000021828</v>
      </c>
      <c r="F33" s="59">
        <f t="shared" si="9"/>
        <v>53.882297242556717</v>
      </c>
      <c r="G33" s="55">
        <f t="shared" si="7"/>
        <v>-0.63500000000021828</v>
      </c>
      <c r="H33" s="54" t="s">
        <v>119</v>
      </c>
      <c r="I33" s="12">
        <f t="shared" si="13"/>
        <v>53.882297242556717</v>
      </c>
      <c r="J33" s="55">
        <f t="shared" si="13"/>
        <v>-0.63500000000021828</v>
      </c>
      <c r="M33" s="81">
        <f t="shared" si="11"/>
        <v>53.882297242556717</v>
      </c>
      <c r="N33" s="73">
        <f t="shared" si="12"/>
        <v>-6.1999999999898137E-2</v>
      </c>
      <c r="O33" s="73"/>
      <c r="P33" s="74">
        <f t="shared" si="0"/>
        <v>53.882297242556717</v>
      </c>
      <c r="Q33" s="73">
        <f t="shared" si="1"/>
        <v>-6.1999999999898137E-2</v>
      </c>
      <c r="R33" s="73"/>
      <c r="S33" s="73"/>
      <c r="T33" s="73"/>
      <c r="W33" s="126"/>
      <c r="Z33" s="127"/>
    </row>
    <row r="34" spans="1:26" x14ac:dyDescent="0.25">
      <c r="A34" t="s">
        <v>34</v>
      </c>
      <c r="B34">
        <f t="shared" si="8"/>
        <v>58</v>
      </c>
      <c r="C34">
        <v>3722.31</v>
      </c>
      <c r="D34" s="54">
        <f t="shared" si="5"/>
        <v>58</v>
      </c>
      <c r="E34">
        <f t="shared" si="6"/>
        <v>-0.62600000000020373</v>
      </c>
      <c r="F34" s="59">
        <f t="shared" si="9"/>
        <v>55.882276992454202</v>
      </c>
      <c r="G34" s="55">
        <f t="shared" si="7"/>
        <v>-0.62600000000020373</v>
      </c>
      <c r="H34" s="54" t="s">
        <v>120</v>
      </c>
      <c r="I34" s="12">
        <f t="shared" si="13"/>
        <v>55.882276992454202</v>
      </c>
      <c r="J34" s="55">
        <f t="shared" si="13"/>
        <v>-0.62600000000020373</v>
      </c>
      <c r="M34" s="81">
        <f t="shared" si="11"/>
        <v>55.882276992454202</v>
      </c>
      <c r="N34" s="73">
        <f t="shared" si="12"/>
        <v>-5.2999999999883585E-2</v>
      </c>
      <c r="O34" s="73"/>
      <c r="P34" s="74">
        <f t="shared" si="0"/>
        <v>55.882276992454202</v>
      </c>
      <c r="Q34" s="73">
        <f t="shared" si="1"/>
        <v>-5.2999999999883585E-2</v>
      </c>
      <c r="R34" s="73"/>
      <c r="S34" s="73"/>
      <c r="T34" s="73"/>
      <c r="W34" s="126"/>
      <c r="Z34" s="127"/>
    </row>
    <row r="35" spans="1:26" x14ac:dyDescent="0.25">
      <c r="A35" t="s">
        <v>35</v>
      </c>
      <c r="B35">
        <f t="shared" si="8"/>
        <v>60</v>
      </c>
      <c r="C35">
        <v>3722.3490000000002</v>
      </c>
      <c r="D35" s="54">
        <f t="shared" si="5"/>
        <v>60</v>
      </c>
      <c r="E35">
        <f t="shared" si="6"/>
        <v>-0.58699999999998909</v>
      </c>
      <c r="F35" s="59">
        <f t="shared" si="9"/>
        <v>57.881896706299806</v>
      </c>
      <c r="G35" s="55">
        <f t="shared" si="7"/>
        <v>-0.58699999999998909</v>
      </c>
      <c r="H35" s="54" t="s">
        <v>121</v>
      </c>
      <c r="I35" s="12">
        <f t="shared" si="13"/>
        <v>57.881896706299806</v>
      </c>
      <c r="J35" s="55">
        <f t="shared" si="13"/>
        <v>-0.58699999999998909</v>
      </c>
      <c r="M35" s="81">
        <f t="shared" si="11"/>
        <v>57.881896706299806</v>
      </c>
      <c r="N35" s="73">
        <f t="shared" si="12"/>
        <v>-1.3999999999668944E-2</v>
      </c>
      <c r="O35" s="73"/>
      <c r="P35" s="74">
        <f t="shared" si="0"/>
        <v>57.881896706299806</v>
      </c>
      <c r="Q35" s="73">
        <f t="shared" si="1"/>
        <v>-1.3999999999668944E-2</v>
      </c>
      <c r="R35" s="73"/>
      <c r="S35" s="73"/>
      <c r="T35" s="73"/>
      <c r="W35" s="126"/>
      <c r="Z35" s="127"/>
    </row>
    <row r="36" spans="1:26" x14ac:dyDescent="0.25">
      <c r="A36" t="s">
        <v>36</v>
      </c>
      <c r="B36">
        <f t="shared" si="8"/>
        <v>62</v>
      </c>
      <c r="C36">
        <v>3722.3629999999998</v>
      </c>
      <c r="D36" s="54">
        <f t="shared" si="5"/>
        <v>62</v>
      </c>
      <c r="E36">
        <f t="shared" si="6"/>
        <v>-0.57300000000032014</v>
      </c>
      <c r="F36" s="59">
        <f t="shared" si="9"/>
        <v>59.881847705699542</v>
      </c>
      <c r="G36" s="55">
        <f t="shared" si="7"/>
        <v>-0.57300000000032014</v>
      </c>
      <c r="H36" s="54" t="s">
        <v>122</v>
      </c>
      <c r="I36" s="12">
        <f t="shared" si="13"/>
        <v>59.881847705699542</v>
      </c>
      <c r="J36" s="55">
        <f t="shared" si="13"/>
        <v>-0.57300000000032014</v>
      </c>
      <c r="M36" s="81">
        <f t="shared" si="11"/>
        <v>59.881847705699542</v>
      </c>
      <c r="N36" s="73">
        <f t="shared" si="12"/>
        <v>0</v>
      </c>
      <c r="O36" s="73"/>
      <c r="P36" s="74">
        <f t="shared" si="0"/>
        <v>59.881847705699542</v>
      </c>
      <c r="Q36" s="73">
        <f t="shared" si="1"/>
        <v>0</v>
      </c>
      <c r="R36" s="73"/>
      <c r="S36" s="73"/>
      <c r="T36" s="73"/>
      <c r="W36" s="126"/>
      <c r="Z36" s="127"/>
    </row>
    <row r="37" spans="1:26" x14ac:dyDescent="0.25">
      <c r="A37" t="s">
        <v>37</v>
      </c>
      <c r="B37">
        <f t="shared" si="8"/>
        <v>64</v>
      </c>
      <c r="C37">
        <v>3722.3020000000001</v>
      </c>
      <c r="D37" s="54">
        <f t="shared" si="5"/>
        <v>64</v>
      </c>
      <c r="E37">
        <f t="shared" si="6"/>
        <v>-0.63400000000001455</v>
      </c>
      <c r="F37" s="59">
        <f t="shared" si="9"/>
        <v>61.880917239257599</v>
      </c>
      <c r="G37" s="55">
        <f t="shared" si="7"/>
        <v>-0.63400000000001455</v>
      </c>
      <c r="H37" s="54" t="s">
        <v>123</v>
      </c>
      <c r="I37" s="12">
        <f t="shared" si="13"/>
        <v>61.880917239257599</v>
      </c>
      <c r="J37" s="55">
        <f t="shared" si="13"/>
        <v>-0.63400000000001455</v>
      </c>
      <c r="M37" s="81">
        <f t="shared" si="11"/>
        <v>61.880917239257599</v>
      </c>
      <c r="N37" s="73">
        <f t="shared" si="12"/>
        <v>-6.099999999969441E-2</v>
      </c>
      <c r="O37" s="73"/>
      <c r="P37" s="74">
        <f t="shared" si="0"/>
        <v>61.880917239257599</v>
      </c>
      <c r="Q37" s="73">
        <f t="shared" si="1"/>
        <v>-6.099999999969441E-2</v>
      </c>
      <c r="R37" s="73"/>
      <c r="S37" s="73"/>
      <c r="T37" s="73"/>
      <c r="W37" s="126"/>
      <c r="Z37" s="127"/>
    </row>
    <row r="38" spans="1:26" x14ac:dyDescent="0.25">
      <c r="A38" t="s">
        <v>38</v>
      </c>
      <c r="B38">
        <f t="shared" si="8"/>
        <v>66</v>
      </c>
      <c r="C38">
        <v>3722.078</v>
      </c>
      <c r="D38" s="54">
        <f t="shared" si="5"/>
        <v>66</v>
      </c>
      <c r="E38">
        <f t="shared" si="6"/>
        <v>-0.85800000000017462</v>
      </c>
      <c r="F38" s="59">
        <f t="shared" si="9"/>
        <v>63.868333652594252</v>
      </c>
      <c r="G38" s="55">
        <f t="shared" si="7"/>
        <v>-0.85800000000017462</v>
      </c>
      <c r="H38" s="54" t="s">
        <v>124</v>
      </c>
      <c r="I38" s="12">
        <f t="shared" si="13"/>
        <v>63.868333652594252</v>
      </c>
      <c r="J38" s="55">
        <f t="shared" si="13"/>
        <v>-0.85800000000017462</v>
      </c>
      <c r="M38" s="81">
        <f t="shared" si="11"/>
        <v>63.868333652594252</v>
      </c>
      <c r="N38" s="73">
        <f t="shared" si="12"/>
        <v>-0.28499999999985448</v>
      </c>
      <c r="O38" s="73"/>
      <c r="P38" s="74">
        <f t="shared" si="0"/>
        <v>63.868333652594252</v>
      </c>
      <c r="Q38" s="73">
        <f t="shared" si="1"/>
        <v>-0.28499999999985448</v>
      </c>
      <c r="R38" s="73"/>
      <c r="S38" s="73"/>
      <c r="T38" s="73"/>
      <c r="W38" s="126"/>
      <c r="Z38" s="127"/>
    </row>
    <row r="39" spans="1:26" x14ac:dyDescent="0.25">
      <c r="A39" t="s">
        <v>39</v>
      </c>
      <c r="B39">
        <f t="shared" si="8"/>
        <v>68</v>
      </c>
      <c r="C39">
        <v>3721.884</v>
      </c>
      <c r="D39" s="54">
        <f t="shared" si="5"/>
        <v>68</v>
      </c>
      <c r="E39">
        <f t="shared" si="6"/>
        <v>-1.0520000000001346</v>
      </c>
      <c r="F39" s="59">
        <f t="shared" si="9"/>
        <v>65.85890241553615</v>
      </c>
      <c r="G39" s="55">
        <f t="shared" si="7"/>
        <v>-1.0520000000001346</v>
      </c>
      <c r="H39" s="54" t="s">
        <v>125</v>
      </c>
      <c r="I39" s="12">
        <f t="shared" si="13"/>
        <v>65.85890241553615</v>
      </c>
      <c r="J39" s="55">
        <f t="shared" si="13"/>
        <v>-1.0520000000001346</v>
      </c>
      <c r="M39" s="81">
        <f t="shared" si="11"/>
        <v>65.85890241553615</v>
      </c>
      <c r="N39" s="73">
        <f t="shared" si="12"/>
        <v>-0.47899999999981446</v>
      </c>
      <c r="O39" s="73"/>
      <c r="P39" s="74">
        <f t="shared" si="0"/>
        <v>65.85890241553615</v>
      </c>
      <c r="Q39" s="73">
        <f t="shared" si="1"/>
        <v>-0.47899999999981446</v>
      </c>
      <c r="R39" s="73"/>
      <c r="S39" s="73"/>
      <c r="T39" s="73"/>
      <c r="W39" s="126"/>
      <c r="Z39" s="127"/>
    </row>
    <row r="40" spans="1:26" x14ac:dyDescent="0.25">
      <c r="A40" t="s">
        <v>40</v>
      </c>
      <c r="B40">
        <f t="shared" si="8"/>
        <v>70</v>
      </c>
      <c r="C40">
        <v>3722.1149999999998</v>
      </c>
      <c r="D40" s="54">
        <f t="shared" si="5"/>
        <v>70</v>
      </c>
      <c r="E40">
        <f t="shared" si="6"/>
        <v>-0.82100000000036744</v>
      </c>
      <c r="F40" s="59">
        <f t="shared" si="9"/>
        <v>67.845517375713413</v>
      </c>
      <c r="G40" s="55">
        <f t="shared" si="7"/>
        <v>-0.82100000000036744</v>
      </c>
      <c r="H40" s="54" t="s">
        <v>126</v>
      </c>
      <c r="I40" s="12">
        <f t="shared" si="13"/>
        <v>67.845517375713413</v>
      </c>
      <c r="J40" s="55">
        <f>G40</f>
        <v>-0.82100000000036744</v>
      </c>
      <c r="M40" s="81">
        <f t="shared" si="11"/>
        <v>67.845517375713413</v>
      </c>
      <c r="N40" s="73">
        <f t="shared" si="12"/>
        <v>-0.24800000000004729</v>
      </c>
      <c r="O40" s="73"/>
      <c r="P40" s="74">
        <f t="shared" si="0"/>
        <v>67.845517375713413</v>
      </c>
      <c r="Q40" s="73">
        <f t="shared" si="1"/>
        <v>-0.24800000000004729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41</v>
      </c>
      <c r="B41">
        <f t="shared" si="8"/>
        <v>72</v>
      </c>
      <c r="C41">
        <v>3722.252</v>
      </c>
      <c r="D41" s="54">
        <f t="shared" si="5"/>
        <v>72</v>
      </c>
      <c r="E41">
        <f t="shared" si="6"/>
        <v>-0.68400000000019645</v>
      </c>
      <c r="F41" s="59">
        <f t="shared" si="9"/>
        <v>69.840819608459114</v>
      </c>
      <c r="G41" s="55">
        <f t="shared" si="7"/>
        <v>-0.68400000000019645</v>
      </c>
      <c r="H41" s="62" t="s">
        <v>333</v>
      </c>
      <c r="I41" s="12">
        <f>I40+B3</f>
        <v>71.845517375713413</v>
      </c>
      <c r="J41" s="55">
        <f>G41</f>
        <v>-0.68400000000019645</v>
      </c>
      <c r="M41" s="81">
        <f t="shared" si="11"/>
        <v>71.845517375713413</v>
      </c>
      <c r="N41" s="73">
        <f t="shared" si="12"/>
        <v>-0.11099999999987631</v>
      </c>
      <c r="O41" s="73"/>
      <c r="P41" s="74">
        <f t="shared" si="0"/>
        <v>69.840819608459114</v>
      </c>
      <c r="Q41" s="73">
        <f t="shared" si="1"/>
        <v>-0.11099999999987631</v>
      </c>
      <c r="R41" s="73"/>
      <c r="S41" s="73"/>
      <c r="T41" s="73"/>
      <c r="U41" s="126"/>
      <c r="V41" s="126"/>
      <c r="W41" s="126"/>
      <c r="X41" s="128"/>
      <c r="Y41" s="128"/>
      <c r="Z41" s="127"/>
    </row>
    <row r="42" spans="1:26" x14ac:dyDescent="0.25">
      <c r="A42" t="s">
        <v>42</v>
      </c>
      <c r="B42">
        <f t="shared" si="8"/>
        <v>74</v>
      </c>
      <c r="C42">
        <v>3722.547</v>
      </c>
      <c r="D42" s="54">
        <f t="shared" si="5"/>
        <v>74</v>
      </c>
      <c r="E42">
        <f t="shared" si="6"/>
        <v>-0.38900000000012369</v>
      </c>
      <c r="F42" s="59">
        <f t="shared" si="9"/>
        <v>71.818943719833314</v>
      </c>
      <c r="G42" s="55">
        <f t="shared" si="7"/>
        <v>-0.38900000000012369</v>
      </c>
      <c r="H42" s="54"/>
      <c r="I42" s="12"/>
      <c r="J42" s="55"/>
      <c r="M42" s="81"/>
      <c r="N42" s="73"/>
      <c r="O42" s="73"/>
      <c r="P42" s="74">
        <f t="shared" si="0"/>
        <v>71.818943719833314</v>
      </c>
      <c r="Q42" s="73">
        <f t="shared" si="1"/>
        <v>0.18400000000019645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43</v>
      </c>
      <c r="B43">
        <f t="shared" si="8"/>
        <v>76</v>
      </c>
      <c r="C43">
        <v>3722.62</v>
      </c>
      <c r="D43" s="54">
        <f t="shared" si="5"/>
        <v>76</v>
      </c>
      <c r="E43">
        <f t="shared" si="6"/>
        <v>-0.3160000000002583</v>
      </c>
      <c r="F43" s="59">
        <f t="shared" si="9"/>
        <v>73.817611025814983</v>
      </c>
      <c r="G43" s="55">
        <f t="shared" si="7"/>
        <v>-0.3160000000002583</v>
      </c>
      <c r="H43" s="54"/>
      <c r="I43" s="12"/>
      <c r="J43" s="55"/>
      <c r="M43" s="81"/>
      <c r="N43" s="73"/>
      <c r="O43" s="73"/>
      <c r="P43" s="74">
        <f t="shared" si="0"/>
        <v>73.817611025814983</v>
      </c>
      <c r="Q43" s="73">
        <f t="shared" si="1"/>
        <v>0.25700000000006185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44</v>
      </c>
      <c r="B44">
        <f t="shared" si="8"/>
        <v>78</v>
      </c>
      <c r="C44">
        <v>3722.2669999999998</v>
      </c>
      <c r="D44" s="54">
        <f t="shared" si="5"/>
        <v>78</v>
      </c>
      <c r="E44">
        <f t="shared" si="6"/>
        <v>-0.66900000000032378</v>
      </c>
      <c r="F44" s="59">
        <f t="shared" si="9"/>
        <v>75.786212305912088</v>
      </c>
      <c r="G44" s="55">
        <f t="shared" si="7"/>
        <v>-0.66900000000032378</v>
      </c>
      <c r="H44" s="54"/>
      <c r="I44" s="12"/>
      <c r="J44" s="55"/>
      <c r="M44" s="81"/>
      <c r="N44" s="73"/>
      <c r="O44" s="73"/>
      <c r="P44" s="74">
        <f t="shared" si="0"/>
        <v>75.786212305912088</v>
      </c>
      <c r="Q44" s="73">
        <f t="shared" si="1"/>
        <v>-9.6000000000003638E-2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45</v>
      </c>
      <c r="B45">
        <f t="shared" si="8"/>
        <v>80</v>
      </c>
      <c r="C45">
        <v>3722.2049999999999</v>
      </c>
      <c r="D45" s="54">
        <f t="shared" si="5"/>
        <v>80</v>
      </c>
      <c r="E45">
        <f t="shared" si="6"/>
        <v>-0.73100000000022192</v>
      </c>
      <c r="F45" s="59">
        <f t="shared" si="9"/>
        <v>77.785251074920836</v>
      </c>
      <c r="G45" s="55">
        <f t="shared" si="7"/>
        <v>-0.73100000000022192</v>
      </c>
      <c r="H45" s="54"/>
      <c r="I45" s="12"/>
      <c r="J45" s="55"/>
      <c r="M45" s="81"/>
      <c r="N45" s="73"/>
      <c r="O45" s="73"/>
      <c r="P45" s="74">
        <f t="shared" si="0"/>
        <v>77.785251074920836</v>
      </c>
      <c r="Q45" s="73">
        <f t="shared" si="1"/>
        <v>-0.15799999999990177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46</v>
      </c>
      <c r="B46">
        <f t="shared" si="8"/>
        <v>82</v>
      </c>
      <c r="C46">
        <v>3722.1970000000001</v>
      </c>
      <c r="D46" s="54">
        <f t="shared" si="5"/>
        <v>82</v>
      </c>
      <c r="E46">
        <f t="shared" si="6"/>
        <v>-0.73900000000003274</v>
      </c>
      <c r="F46" s="59">
        <f t="shared" si="9"/>
        <v>79.785235074856843</v>
      </c>
      <c r="G46" s="55">
        <f t="shared" si="7"/>
        <v>-0.73900000000003274</v>
      </c>
      <c r="H46" s="54"/>
      <c r="I46" s="12"/>
      <c r="J46" s="55"/>
      <c r="M46" s="81"/>
      <c r="N46" s="73"/>
      <c r="O46" s="73"/>
      <c r="P46" s="74">
        <f t="shared" si="0"/>
        <v>79.785235074856843</v>
      </c>
      <c r="Q46" s="73">
        <f t="shared" si="1"/>
        <v>-0.1659999999997126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47</v>
      </c>
      <c r="B47">
        <f t="shared" si="8"/>
        <v>84</v>
      </c>
      <c r="C47">
        <v>3722.1219999999998</v>
      </c>
      <c r="D47" s="54">
        <f t="shared" si="5"/>
        <v>84</v>
      </c>
      <c r="E47">
        <f t="shared" si="6"/>
        <v>-0.81400000000030559</v>
      </c>
      <c r="F47" s="59">
        <f t="shared" si="9"/>
        <v>81.783828330124152</v>
      </c>
      <c r="G47" s="55">
        <f t="shared" si="7"/>
        <v>-0.81400000000030559</v>
      </c>
      <c r="H47" s="54"/>
      <c r="I47" s="12"/>
      <c r="J47" s="55"/>
      <c r="M47" s="81"/>
      <c r="N47" s="73"/>
      <c r="O47" s="73"/>
      <c r="P47" s="74">
        <f t="shared" si="0"/>
        <v>81.783828330124152</v>
      </c>
      <c r="Q47" s="73">
        <f t="shared" si="1"/>
        <v>-0.24099999999998545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48</v>
      </c>
      <c r="B48">
        <f t="shared" si="8"/>
        <v>86</v>
      </c>
      <c r="C48">
        <v>3722.1950000000002</v>
      </c>
      <c r="D48" s="54">
        <f t="shared" si="5"/>
        <v>86</v>
      </c>
      <c r="E48">
        <f t="shared" si="6"/>
        <v>-0.74099999999998545</v>
      </c>
      <c r="F48" s="59">
        <f t="shared" si="9"/>
        <v>83.782495636105807</v>
      </c>
      <c r="G48" s="55">
        <f t="shared" si="7"/>
        <v>-0.74099999999998545</v>
      </c>
      <c r="H48" s="54"/>
      <c r="I48" s="12"/>
      <c r="J48" s="55"/>
      <c r="M48" s="81"/>
      <c r="N48" s="73"/>
      <c r="O48" s="73"/>
      <c r="P48" s="74">
        <f t="shared" si="0"/>
        <v>83.782495636105807</v>
      </c>
      <c r="Q48" s="73">
        <f t="shared" si="1"/>
        <v>-0.16799999999966531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49</v>
      </c>
      <c r="B49">
        <f t="shared" si="8"/>
        <v>88</v>
      </c>
      <c r="C49">
        <v>3722.5050000000001</v>
      </c>
      <c r="D49" s="54">
        <f t="shared" si="5"/>
        <v>88</v>
      </c>
      <c r="E49">
        <f t="shared" si="6"/>
        <v>-0.43100000000004002</v>
      </c>
      <c r="F49" s="59">
        <f t="shared" si="9"/>
        <v>85.758324576069995</v>
      </c>
      <c r="G49" s="55">
        <f t="shared" si="7"/>
        <v>-0.43100000000004002</v>
      </c>
      <c r="H49" s="54"/>
      <c r="I49" s="12"/>
      <c r="J49" s="55"/>
      <c r="M49" s="81"/>
      <c r="N49" s="73"/>
      <c r="O49" s="73"/>
      <c r="P49" s="74">
        <f t="shared" si="0"/>
        <v>85.758324576069995</v>
      </c>
      <c r="Q49" s="73">
        <f t="shared" si="1"/>
        <v>0.14200000000028012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50</v>
      </c>
      <c r="B50">
        <f t="shared" si="8"/>
        <v>90</v>
      </c>
      <c r="C50">
        <v>3722.4029999999998</v>
      </c>
      <c r="D50" s="54">
        <f t="shared" si="5"/>
        <v>90</v>
      </c>
      <c r="E50">
        <f t="shared" si="6"/>
        <v>-0.53300000000035652</v>
      </c>
      <c r="F50" s="59">
        <f t="shared" si="9"/>
        <v>87.755721882566604</v>
      </c>
      <c r="G50" s="55">
        <f t="shared" si="7"/>
        <v>-0.53300000000035652</v>
      </c>
      <c r="H50" s="54"/>
      <c r="I50" s="12"/>
      <c r="J50" s="55"/>
      <c r="M50" s="81"/>
      <c r="N50" s="73"/>
      <c r="O50" s="73"/>
      <c r="P50" s="74">
        <f t="shared" si="0"/>
        <v>87.755721882566604</v>
      </c>
      <c r="Q50" s="73">
        <f t="shared" si="1"/>
        <v>3.999999999996362E-2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51</v>
      </c>
      <c r="B51">
        <f t="shared" si="8"/>
        <v>92</v>
      </c>
      <c r="C51">
        <v>3722.9360000000001</v>
      </c>
      <c r="D51" s="54">
        <f t="shared" si="5"/>
        <v>92</v>
      </c>
      <c r="E51">
        <f t="shared" si="6"/>
        <v>0</v>
      </c>
      <c r="F51" s="59">
        <f t="shared" si="9"/>
        <v>89.683391719442099</v>
      </c>
      <c r="G51" s="55">
        <f t="shared" si="7"/>
        <v>0</v>
      </c>
      <c r="H51" s="54"/>
      <c r="I51" s="12"/>
      <c r="J51" s="55"/>
      <c r="M51" s="81"/>
      <c r="N51" s="73"/>
      <c r="O51" s="73"/>
      <c r="P51" s="74">
        <f t="shared" si="0"/>
        <v>89.683391719442099</v>
      </c>
      <c r="Q51" s="73">
        <f t="shared" si="1"/>
        <v>0.57300000000032014</v>
      </c>
      <c r="R51" s="73"/>
      <c r="S51" s="73"/>
      <c r="T51" s="73"/>
      <c r="U51" s="73"/>
      <c r="V51" s="73"/>
      <c r="W51" s="73"/>
      <c r="X51" s="74"/>
      <c r="Y51" s="74"/>
      <c r="Z51" s="80"/>
    </row>
    <row r="52" spans="1:26" ht="15.75" thickBot="1" x14ac:dyDescent="0.3">
      <c r="A52" t="s">
        <v>52</v>
      </c>
      <c r="B52">
        <f t="shared" si="8"/>
        <v>94</v>
      </c>
      <c r="C52">
        <v>3722.9140000000002</v>
      </c>
      <c r="D52" s="54">
        <f t="shared" si="5"/>
        <v>94</v>
      </c>
      <c r="E52">
        <f t="shared" si="6"/>
        <v>-2.1999999999934516E-2</v>
      </c>
      <c r="F52" s="59">
        <f t="shared" si="9"/>
        <v>91.683270715781632</v>
      </c>
      <c r="G52" s="55">
        <f t="shared" si="7"/>
        <v>-2.1999999999934516E-2</v>
      </c>
      <c r="H52" s="54"/>
      <c r="I52" s="12"/>
      <c r="J52" s="55"/>
      <c r="M52" s="82"/>
      <c r="N52" s="83"/>
      <c r="O52" s="83"/>
      <c r="P52" s="84">
        <f t="shared" si="0"/>
        <v>91.683270715781632</v>
      </c>
      <c r="Q52" s="83">
        <f t="shared" si="1"/>
        <v>0.55100000000038563</v>
      </c>
      <c r="R52" s="83"/>
      <c r="S52" s="83"/>
      <c r="T52" s="83"/>
      <c r="U52" s="83"/>
      <c r="V52" s="83"/>
      <c r="W52" s="83"/>
      <c r="X52" s="84"/>
      <c r="Y52" s="84"/>
      <c r="Z52" s="85"/>
    </row>
    <row r="53" spans="1:26" x14ac:dyDescent="0.25">
      <c r="D53" s="54"/>
      <c r="E53" s="55"/>
      <c r="F53" s="107"/>
      <c r="G53" s="55"/>
      <c r="H53" s="54"/>
      <c r="I53" s="12"/>
      <c r="J53" s="55"/>
      <c r="M53" s="70"/>
      <c r="N53" s="68"/>
      <c r="O53" s="68"/>
      <c r="P53" s="70"/>
      <c r="Q53" s="68"/>
      <c r="R53" s="68"/>
      <c r="S53" s="68"/>
      <c r="T53" s="68"/>
      <c r="U53" s="68"/>
      <c r="V53" s="68"/>
      <c r="W53" s="68"/>
      <c r="X53" s="70"/>
      <c r="Y53" s="70"/>
      <c r="Z53" s="68"/>
    </row>
    <row r="54" spans="1:26" x14ac:dyDescent="0.25">
      <c r="D54" s="54"/>
      <c r="E54" s="55"/>
      <c r="F54" s="107"/>
      <c r="G54" s="55"/>
      <c r="H54" s="54"/>
      <c r="I54" s="12"/>
      <c r="J54" s="55"/>
      <c r="X54" s="12"/>
      <c r="Y54" s="12"/>
    </row>
    <row r="55" spans="1:26" x14ac:dyDescent="0.25">
      <c r="D55" s="54"/>
      <c r="E55" s="55"/>
      <c r="F55" s="107"/>
      <c r="G55" s="55"/>
      <c r="H55" s="54"/>
      <c r="I55" s="12"/>
      <c r="J55" s="55"/>
      <c r="X55" s="12"/>
      <c r="Y55" s="12"/>
    </row>
    <row r="56" spans="1:26" x14ac:dyDescent="0.25">
      <c r="D56" s="54"/>
      <c r="E56" s="55"/>
      <c r="F56" s="107"/>
      <c r="G56" s="55"/>
      <c r="H56" s="54"/>
      <c r="I56" s="12"/>
      <c r="J56" s="55"/>
      <c r="X56" s="12"/>
      <c r="Y56" s="12"/>
    </row>
    <row r="57" spans="1:26" x14ac:dyDescent="0.25">
      <c r="D57" s="54"/>
      <c r="E57" s="55"/>
      <c r="F57" s="107"/>
      <c r="G57" s="55"/>
      <c r="H57" s="54"/>
      <c r="I57" s="12"/>
      <c r="J57" s="55"/>
      <c r="X57" s="12"/>
      <c r="Y57" s="12"/>
    </row>
    <row r="58" spans="1:26" x14ac:dyDescent="0.25">
      <c r="D58" s="54"/>
      <c r="E58" s="55"/>
      <c r="F58" s="107"/>
      <c r="G58" s="55"/>
      <c r="H58" s="54"/>
      <c r="I58" s="12"/>
      <c r="J58" s="55"/>
    </row>
    <row r="59" spans="1:26" x14ac:dyDescent="0.25">
      <c r="D59" s="54"/>
      <c r="E59" s="55"/>
      <c r="F59" s="107"/>
      <c r="G59" s="55"/>
      <c r="H59" s="65"/>
      <c r="I59" s="64"/>
      <c r="J59" s="66"/>
    </row>
    <row r="60" spans="1:26" x14ac:dyDescent="0.25">
      <c r="D60" s="54"/>
      <c r="E60" s="55"/>
      <c r="F60" s="107"/>
      <c r="I60" s="12"/>
    </row>
    <row r="61" spans="1:26" x14ac:dyDescent="0.25">
      <c r="D61" s="54"/>
      <c r="E61" s="55"/>
      <c r="F61" s="107"/>
      <c r="I61" s="12"/>
    </row>
    <row r="62" spans="1:26" x14ac:dyDescent="0.25">
      <c r="D62" s="54"/>
      <c r="E62" s="55"/>
      <c r="F62" s="107"/>
      <c r="I62" s="12"/>
    </row>
    <row r="63" spans="1:26" x14ac:dyDescent="0.25">
      <c r="D63" s="54"/>
      <c r="E63" s="55"/>
      <c r="F63" s="107"/>
      <c r="I63" s="12"/>
    </row>
    <row r="64" spans="1:26" x14ac:dyDescent="0.25">
      <c r="D64" s="54"/>
      <c r="E64" s="55"/>
      <c r="F64" s="107"/>
      <c r="I64" s="12"/>
    </row>
    <row r="65" spans="4:9" x14ac:dyDescent="0.25">
      <c r="D65" s="54"/>
      <c r="E65" s="55"/>
      <c r="F65" s="107"/>
      <c r="I65" s="12"/>
    </row>
    <row r="66" spans="4:9" x14ac:dyDescent="0.25">
      <c r="D66" s="54"/>
      <c r="E66" s="55"/>
      <c r="F66" s="107"/>
      <c r="I66" s="12"/>
    </row>
    <row r="67" spans="4:9" x14ac:dyDescent="0.25">
      <c r="D67" s="54"/>
      <c r="E67" s="55"/>
      <c r="F67" s="107"/>
      <c r="I67" s="12"/>
    </row>
    <row r="68" spans="4:9" x14ac:dyDescent="0.25">
      <c r="D68" s="54"/>
      <c r="E68" s="55"/>
      <c r="F68" s="107"/>
      <c r="I68" s="12"/>
    </row>
    <row r="69" spans="4:9" x14ac:dyDescent="0.25">
      <c r="D69" s="54"/>
      <c r="E69" s="55"/>
      <c r="F69" s="107"/>
      <c r="I69" s="12"/>
    </row>
    <row r="70" spans="4:9" x14ac:dyDescent="0.25">
      <c r="D70" s="54"/>
      <c r="E70" s="55"/>
      <c r="F70" s="107"/>
      <c r="I70" s="12"/>
    </row>
    <row r="71" spans="4:9" x14ac:dyDescent="0.25">
      <c r="D71" s="54"/>
      <c r="E71" s="55"/>
      <c r="F71" s="107"/>
      <c r="I71" s="12"/>
    </row>
    <row r="72" spans="4:9" x14ac:dyDescent="0.25">
      <c r="D72" s="54"/>
      <c r="E72" s="55"/>
      <c r="F72" s="107"/>
      <c r="I72" s="12"/>
    </row>
    <row r="73" spans="4:9" x14ac:dyDescent="0.25">
      <c r="D73" s="54"/>
      <c r="E73" s="55"/>
      <c r="F73" s="107"/>
      <c r="I73" s="12"/>
    </row>
    <row r="74" spans="4:9" x14ac:dyDescent="0.25">
      <c r="D74" s="54"/>
      <c r="E74" s="55"/>
      <c r="F74" s="107"/>
      <c r="I74" s="12"/>
    </row>
    <row r="75" spans="4:9" x14ac:dyDescent="0.25">
      <c r="D75" s="54"/>
      <c r="E75" s="55"/>
      <c r="F75" s="107"/>
      <c r="I75" s="12"/>
    </row>
    <row r="76" spans="4:9" x14ac:dyDescent="0.25">
      <c r="D76" s="54"/>
      <c r="E76" s="55"/>
      <c r="F76" s="107"/>
      <c r="I76" s="12"/>
    </row>
    <row r="77" spans="4:9" x14ac:dyDescent="0.25">
      <c r="D77" s="56"/>
      <c r="E77" s="57"/>
      <c r="F77" s="108"/>
      <c r="I77" s="1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DA4A-071A-4E8A-8EDC-A0F5E0B9776A}">
  <dimension ref="A1:Z77"/>
  <sheetViews>
    <sheetView workbookViewId="0">
      <selection activeCell="C5" sqref="C5"/>
    </sheetView>
  </sheetViews>
  <sheetFormatPr defaultRowHeight="15" x14ac:dyDescent="0.25"/>
  <cols>
    <col min="1" max="1" width="14.42578125" customWidth="1"/>
    <col min="3" max="3" width="13.1406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140" t="s">
        <v>334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MAX(J5:J28)</f>
        <v>-1.3400000000001455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s="1" customFormat="1" ht="15.75" x14ac:dyDescent="0.25">
      <c r="A2" s="135" t="s">
        <v>332</v>
      </c>
      <c r="B2" s="136">
        <v>5</v>
      </c>
      <c r="D2" s="62"/>
      <c r="F2" s="62"/>
      <c r="G2" s="58"/>
      <c r="H2" s="62"/>
      <c r="M2" s="131"/>
      <c r="N2" s="132"/>
      <c r="O2" s="132"/>
      <c r="P2" s="133"/>
      <c r="Q2" s="132"/>
      <c r="R2" s="132"/>
      <c r="S2" s="132"/>
      <c r="T2" s="132"/>
      <c r="U2" s="67"/>
      <c r="V2" s="67"/>
      <c r="W2" s="67"/>
      <c r="X2" s="67"/>
      <c r="Y2" s="67"/>
      <c r="Z2" s="134"/>
    </row>
    <row r="3" spans="1:26" x14ac:dyDescent="0.25">
      <c r="A3" s="1" t="s">
        <v>175</v>
      </c>
      <c r="B3">
        <v>5</v>
      </c>
      <c r="C3" s="1"/>
      <c r="D3" s="62"/>
      <c r="E3" s="1"/>
      <c r="F3" s="62"/>
      <c r="G3" s="58"/>
      <c r="H3" s="62"/>
      <c r="I3" s="1"/>
      <c r="J3" s="119"/>
      <c r="K3" s="1"/>
      <c r="L3" s="1"/>
      <c r="M3" s="79" t="s">
        <v>328</v>
      </c>
      <c r="N3" s="72"/>
      <c r="O3" s="73"/>
      <c r="P3" s="71" t="s">
        <v>325</v>
      </c>
      <c r="Q3" s="73"/>
      <c r="R3" s="73"/>
      <c r="S3" s="73"/>
      <c r="T3" s="73"/>
      <c r="Z3" s="80"/>
    </row>
    <row r="4" spans="1:26" x14ac:dyDescent="0.25">
      <c r="A4" s="1" t="s">
        <v>175</v>
      </c>
      <c r="B4" s="109"/>
      <c r="C4" s="141" t="s">
        <v>335</v>
      </c>
      <c r="D4" s="110"/>
      <c r="E4" s="109"/>
      <c r="F4" s="110"/>
      <c r="G4" s="111"/>
      <c r="H4" s="112" t="s">
        <v>175</v>
      </c>
      <c r="I4" s="123">
        <f>I5-B3</f>
        <v>-5</v>
      </c>
      <c r="J4" s="113">
        <f>J5-0.5</f>
        <v>-9.8110000000006039</v>
      </c>
      <c r="K4" s="114"/>
      <c r="L4" s="114" t="s">
        <v>175</v>
      </c>
      <c r="M4" s="15"/>
      <c r="O4" s="116"/>
      <c r="P4" s="71"/>
      <c r="Q4" s="116"/>
      <c r="R4" s="73"/>
      <c r="S4" s="73"/>
      <c r="T4" s="116"/>
      <c r="U4" s="116">
        <f>-B3</f>
        <v>-5</v>
      </c>
      <c r="V4" s="116">
        <f>J4</f>
        <v>-9.8110000000006039</v>
      </c>
      <c r="W4" s="116"/>
      <c r="X4" s="117">
        <f t="shared" ref="X4:X28" si="0">M28-(MIN($M$29:$M$52))</f>
        <v>-5</v>
      </c>
      <c r="Y4" s="117">
        <f>V4</f>
        <v>-9.8110000000006039</v>
      </c>
      <c r="Z4" s="118"/>
    </row>
    <row r="5" spans="1:26" x14ac:dyDescent="0.25">
      <c r="A5" t="s">
        <v>5</v>
      </c>
      <c r="B5">
        <v>0</v>
      </c>
      <c r="C5">
        <v>4225.0249999999996</v>
      </c>
      <c r="D5" s="54">
        <f>B5</f>
        <v>0</v>
      </c>
      <c r="E5">
        <f>C5-(MAX($C$5:$C$52))</f>
        <v>-9.3110000000006039</v>
      </c>
      <c r="F5" s="54">
        <v>0</v>
      </c>
      <c r="G5" s="55">
        <f>E5</f>
        <v>-9.3110000000006039</v>
      </c>
      <c r="H5" s="54" t="s">
        <v>103</v>
      </c>
      <c r="I5" s="12">
        <f>F5</f>
        <v>0</v>
      </c>
      <c r="J5" s="55">
        <f>G5</f>
        <v>-9.3110000000006039</v>
      </c>
      <c r="M5" s="15"/>
      <c r="O5" s="73"/>
      <c r="P5" s="117">
        <f t="shared" ref="P5:P52" si="1">F5</f>
        <v>0</v>
      </c>
      <c r="Q5" s="117">
        <f>G5</f>
        <v>-9.3110000000006039</v>
      </c>
      <c r="R5" s="116"/>
      <c r="S5" s="116"/>
      <c r="T5" s="73"/>
      <c r="U5" s="73">
        <v>0</v>
      </c>
      <c r="V5" s="116">
        <f t="shared" ref="V5:V28" si="2">J5</f>
        <v>-9.3110000000006039</v>
      </c>
      <c r="W5" s="73"/>
      <c r="X5" s="117">
        <f t="shared" si="0"/>
        <v>0</v>
      </c>
      <c r="Y5" s="117">
        <f t="shared" ref="Y5:Y28" si="3">V5</f>
        <v>-9.3110000000006039</v>
      </c>
      <c r="Z5" s="80"/>
    </row>
    <row r="6" spans="1:26" x14ac:dyDescent="0.25">
      <c r="A6" t="s">
        <v>6</v>
      </c>
      <c r="B6">
        <f>B5+$B$2</f>
        <v>5</v>
      </c>
      <c r="C6">
        <v>4225.7629999999999</v>
      </c>
      <c r="D6" s="54">
        <f t="shared" ref="D6:D52" si="4">B6</f>
        <v>5</v>
      </c>
      <c r="E6">
        <f t="shared" ref="E6:E52" si="5">C6-(MAX($C$5:$C$52))</f>
        <v>-8.5730000000003201</v>
      </c>
      <c r="F6" s="59">
        <f>F5+(SQRT((D6-D5)^2-(E6-E5)^2))</f>
        <v>4.9452356870021452</v>
      </c>
      <c r="G6" s="55">
        <f t="shared" ref="G6:G52" si="6">E6</f>
        <v>-8.5730000000003201</v>
      </c>
      <c r="H6" s="54" t="s">
        <v>104</v>
      </c>
      <c r="I6" s="12">
        <f t="shared" ref="I6:I28" si="7">F6</f>
        <v>4.9452356870021452</v>
      </c>
      <c r="J6" s="55">
        <f t="shared" ref="J6:J28" si="8">G6</f>
        <v>-8.5730000000003201</v>
      </c>
      <c r="M6" s="15"/>
      <c r="O6" s="73"/>
      <c r="P6" s="74">
        <f t="shared" si="1"/>
        <v>4.9452356870021452</v>
      </c>
      <c r="Q6" s="117">
        <f t="shared" ref="Q6:Q52" si="9">G6</f>
        <v>-8.5730000000003201</v>
      </c>
      <c r="R6" s="73"/>
      <c r="S6" s="73"/>
      <c r="T6" s="73"/>
      <c r="U6" s="73">
        <f>U5+$B$2</f>
        <v>5</v>
      </c>
      <c r="V6" s="116">
        <f t="shared" si="2"/>
        <v>-8.5730000000003201</v>
      </c>
      <c r="W6" s="73"/>
      <c r="X6" s="117">
        <f t="shared" si="0"/>
        <v>4.9452356870021452</v>
      </c>
      <c r="Y6" s="117">
        <f t="shared" si="3"/>
        <v>-8.5730000000003201</v>
      </c>
      <c r="Z6" s="80"/>
    </row>
    <row r="7" spans="1:26" x14ac:dyDescent="0.25">
      <c r="A7" t="s">
        <v>7</v>
      </c>
      <c r="B7">
        <f t="shared" ref="B7:B52" si="10">B6+$B$2</f>
        <v>10</v>
      </c>
      <c r="C7">
        <v>4226.47</v>
      </c>
      <c r="D7" s="54">
        <f t="shared" si="4"/>
        <v>10</v>
      </c>
      <c r="E7">
        <f t="shared" si="5"/>
        <v>-7.8659999999999854</v>
      </c>
      <c r="F7" s="59">
        <f t="shared" ref="F7:F52" si="11">F6+(SQRT((D7-D6)^2-(E7-E6)^2))</f>
        <v>9.8949984085878491</v>
      </c>
      <c r="G7" s="55">
        <f t="shared" si="6"/>
        <v>-7.8659999999999854</v>
      </c>
      <c r="H7" s="54" t="s">
        <v>105</v>
      </c>
      <c r="I7" s="12">
        <f t="shared" si="7"/>
        <v>9.8949984085878491</v>
      </c>
      <c r="J7" s="55">
        <f t="shared" si="8"/>
        <v>-7.8659999999999854</v>
      </c>
      <c r="M7" s="15"/>
      <c r="O7" s="73"/>
      <c r="P7" s="74">
        <f t="shared" si="1"/>
        <v>9.8949984085878491</v>
      </c>
      <c r="Q7" s="117">
        <f t="shared" si="9"/>
        <v>-7.8659999999999854</v>
      </c>
      <c r="R7" s="73"/>
      <c r="S7" s="73"/>
      <c r="T7" s="73"/>
      <c r="U7" s="73">
        <f t="shared" ref="U7:U28" si="12">U6+$B$2</f>
        <v>10</v>
      </c>
      <c r="V7" s="116">
        <f t="shared" si="2"/>
        <v>-7.8659999999999854</v>
      </c>
      <c r="W7" s="73"/>
      <c r="X7" s="117">
        <f t="shared" si="0"/>
        <v>9.8949984085878491</v>
      </c>
      <c r="Y7" s="117">
        <f t="shared" si="3"/>
        <v>-7.8659999999999854</v>
      </c>
      <c r="Z7" s="80"/>
    </row>
    <row r="8" spans="1:26" x14ac:dyDescent="0.25">
      <c r="A8" t="s">
        <v>8</v>
      </c>
      <c r="B8">
        <f t="shared" si="10"/>
        <v>15</v>
      </c>
      <c r="C8">
        <v>4226.9049999999997</v>
      </c>
      <c r="D8" s="54">
        <f t="shared" si="4"/>
        <v>15</v>
      </c>
      <c r="E8">
        <f t="shared" si="5"/>
        <v>-7.4310000000004948</v>
      </c>
      <c r="F8" s="59">
        <f t="shared" si="11"/>
        <v>14.876039966334627</v>
      </c>
      <c r="G8" s="55">
        <f t="shared" si="6"/>
        <v>-7.4310000000004948</v>
      </c>
      <c r="H8" s="54" t="s">
        <v>106</v>
      </c>
      <c r="I8" s="12">
        <f t="shared" si="7"/>
        <v>14.876039966334627</v>
      </c>
      <c r="J8" s="55">
        <f t="shared" si="8"/>
        <v>-7.4310000000004948</v>
      </c>
      <c r="M8" s="15"/>
      <c r="O8" s="73"/>
      <c r="P8" s="74">
        <f t="shared" si="1"/>
        <v>14.876039966334627</v>
      </c>
      <c r="Q8" s="117">
        <f t="shared" si="9"/>
        <v>-7.4310000000004948</v>
      </c>
      <c r="R8" s="73"/>
      <c r="S8" s="73"/>
      <c r="T8" s="73"/>
      <c r="U8" s="73">
        <f t="shared" si="12"/>
        <v>15</v>
      </c>
      <c r="V8" s="116">
        <f t="shared" si="2"/>
        <v>-7.4310000000004948</v>
      </c>
      <c r="W8" s="73"/>
      <c r="X8" s="117">
        <f t="shared" si="0"/>
        <v>14.876039966334627</v>
      </c>
      <c r="Y8" s="117">
        <f t="shared" si="3"/>
        <v>-7.4310000000004948</v>
      </c>
      <c r="Z8" s="80"/>
    </row>
    <row r="9" spans="1:26" x14ac:dyDescent="0.25">
      <c r="A9" t="s">
        <v>9</v>
      </c>
      <c r="B9">
        <f t="shared" si="10"/>
        <v>20</v>
      </c>
      <c r="C9">
        <v>4227.2340000000004</v>
      </c>
      <c r="D9" s="54">
        <f t="shared" si="4"/>
        <v>20</v>
      </c>
      <c r="E9">
        <f t="shared" si="5"/>
        <v>-7.1019999999998618</v>
      </c>
      <c r="F9" s="59">
        <f t="shared" si="11"/>
        <v>19.865204124788384</v>
      </c>
      <c r="G9" s="55">
        <f t="shared" si="6"/>
        <v>-7.1019999999998618</v>
      </c>
      <c r="H9" s="54" t="s">
        <v>107</v>
      </c>
      <c r="I9" s="12">
        <f t="shared" si="7"/>
        <v>19.865204124788384</v>
      </c>
      <c r="J9" s="55">
        <f t="shared" si="8"/>
        <v>-7.1019999999998618</v>
      </c>
      <c r="M9" s="15"/>
      <c r="O9" s="73"/>
      <c r="P9" s="74">
        <f t="shared" si="1"/>
        <v>19.865204124788384</v>
      </c>
      <c r="Q9" s="117">
        <f t="shared" si="9"/>
        <v>-7.1019999999998618</v>
      </c>
      <c r="R9" s="73"/>
      <c r="S9" s="73"/>
      <c r="T9" s="73"/>
      <c r="U9" s="73">
        <f t="shared" si="12"/>
        <v>20</v>
      </c>
      <c r="V9" s="116">
        <f t="shared" si="2"/>
        <v>-7.1019999999998618</v>
      </c>
      <c r="W9" s="73"/>
      <c r="X9" s="117">
        <f t="shared" si="0"/>
        <v>19.865204124788384</v>
      </c>
      <c r="Y9" s="117">
        <f t="shared" si="3"/>
        <v>-7.1019999999998618</v>
      </c>
      <c r="Z9" s="80"/>
    </row>
    <row r="10" spans="1:26" x14ac:dyDescent="0.25">
      <c r="A10" t="s">
        <v>10</v>
      </c>
      <c r="B10">
        <f t="shared" si="10"/>
        <v>25</v>
      </c>
      <c r="C10">
        <v>4227.4210000000003</v>
      </c>
      <c r="D10" s="54">
        <f t="shared" si="4"/>
        <v>25</v>
      </c>
      <c r="E10">
        <f t="shared" si="5"/>
        <v>-6.9149999999999636</v>
      </c>
      <c r="F10" s="59">
        <f t="shared" si="11"/>
        <v>24.861706001101457</v>
      </c>
      <c r="G10" s="55">
        <f t="shared" si="6"/>
        <v>-6.9149999999999636</v>
      </c>
      <c r="H10" s="54" t="s">
        <v>108</v>
      </c>
      <c r="I10" s="12">
        <f t="shared" si="7"/>
        <v>24.861706001101457</v>
      </c>
      <c r="J10" s="55">
        <f t="shared" si="8"/>
        <v>-6.9149999999999636</v>
      </c>
      <c r="M10" s="15"/>
      <c r="O10" s="73"/>
      <c r="P10" s="74">
        <f t="shared" si="1"/>
        <v>24.861706001101457</v>
      </c>
      <c r="Q10" s="117">
        <f t="shared" si="9"/>
        <v>-6.9149999999999636</v>
      </c>
      <c r="R10" s="73"/>
      <c r="S10" s="73"/>
      <c r="T10" s="73"/>
      <c r="U10" s="73">
        <f t="shared" si="12"/>
        <v>25</v>
      </c>
      <c r="V10" s="116">
        <f t="shared" si="2"/>
        <v>-6.9149999999999636</v>
      </c>
      <c r="W10" s="73"/>
      <c r="X10" s="117">
        <f t="shared" si="0"/>
        <v>24.861706001101457</v>
      </c>
      <c r="Y10" s="117">
        <f t="shared" si="3"/>
        <v>-6.9149999999999636</v>
      </c>
      <c r="Z10" s="80"/>
    </row>
    <row r="11" spans="1:26" x14ac:dyDescent="0.25">
      <c r="A11" t="s">
        <v>11</v>
      </c>
      <c r="B11">
        <f t="shared" si="10"/>
        <v>30</v>
      </c>
      <c r="C11">
        <v>4227.5680000000002</v>
      </c>
      <c r="D11" s="54">
        <f t="shared" si="4"/>
        <v>30</v>
      </c>
      <c r="E11">
        <f t="shared" si="5"/>
        <v>-6.7680000000000291</v>
      </c>
      <c r="F11" s="59">
        <f t="shared" si="11"/>
        <v>29.859544633950662</v>
      </c>
      <c r="G11" s="55">
        <f t="shared" si="6"/>
        <v>-6.7680000000000291</v>
      </c>
      <c r="H11" s="54" t="s">
        <v>109</v>
      </c>
      <c r="I11" s="12">
        <f t="shared" si="7"/>
        <v>29.859544633950662</v>
      </c>
      <c r="J11" s="55">
        <f t="shared" si="8"/>
        <v>-6.7680000000000291</v>
      </c>
      <c r="M11" s="15"/>
      <c r="O11" s="73"/>
      <c r="P11" s="74">
        <f t="shared" si="1"/>
        <v>29.859544633950662</v>
      </c>
      <c r="Q11" s="117">
        <f t="shared" si="9"/>
        <v>-6.7680000000000291</v>
      </c>
      <c r="R11" s="73"/>
      <c r="S11" s="73"/>
      <c r="T11" s="73"/>
      <c r="U11" s="73">
        <f t="shared" si="12"/>
        <v>30</v>
      </c>
      <c r="V11" s="116">
        <f t="shared" si="2"/>
        <v>-6.7680000000000291</v>
      </c>
      <c r="W11" s="73"/>
      <c r="X11" s="117">
        <f t="shared" si="0"/>
        <v>29.859544633950662</v>
      </c>
      <c r="Y11" s="117">
        <f t="shared" si="3"/>
        <v>-6.7680000000000291</v>
      </c>
      <c r="Z11" s="80"/>
    </row>
    <row r="12" spans="1:26" x14ac:dyDescent="0.25">
      <c r="A12" t="s">
        <v>12</v>
      </c>
      <c r="B12">
        <f t="shared" si="10"/>
        <v>35</v>
      </c>
      <c r="C12">
        <v>4227.6319999999996</v>
      </c>
      <c r="D12" s="54">
        <f t="shared" si="4"/>
        <v>35</v>
      </c>
      <c r="E12">
        <f t="shared" si="5"/>
        <v>-6.704000000000633</v>
      </c>
      <c r="F12" s="59">
        <f t="shared" si="11"/>
        <v>34.859135017172079</v>
      </c>
      <c r="G12" s="55">
        <f t="shared" si="6"/>
        <v>-6.704000000000633</v>
      </c>
      <c r="H12" s="54" t="s">
        <v>110</v>
      </c>
      <c r="I12" s="12">
        <f t="shared" si="7"/>
        <v>34.859135017172079</v>
      </c>
      <c r="J12" s="55">
        <f t="shared" si="8"/>
        <v>-6.704000000000633</v>
      </c>
      <c r="M12" s="15"/>
      <c r="O12" s="73"/>
      <c r="P12" s="74">
        <f t="shared" si="1"/>
        <v>34.859135017172079</v>
      </c>
      <c r="Q12" s="117">
        <f t="shared" si="9"/>
        <v>-6.704000000000633</v>
      </c>
      <c r="R12" s="73"/>
      <c r="S12" s="73"/>
      <c r="T12" s="73"/>
      <c r="U12" s="73">
        <f t="shared" si="12"/>
        <v>35</v>
      </c>
      <c r="V12" s="116">
        <f t="shared" si="2"/>
        <v>-6.704000000000633</v>
      </c>
      <c r="W12" s="73"/>
      <c r="X12" s="117">
        <f t="shared" si="0"/>
        <v>34.859135017172079</v>
      </c>
      <c r="Y12" s="117">
        <f t="shared" si="3"/>
        <v>-6.704000000000633</v>
      </c>
      <c r="Z12" s="80"/>
    </row>
    <row r="13" spans="1:26" x14ac:dyDescent="0.25">
      <c r="A13" t="s">
        <v>13</v>
      </c>
      <c r="B13">
        <f t="shared" si="10"/>
        <v>40</v>
      </c>
      <c r="C13">
        <v>4227.7669999999998</v>
      </c>
      <c r="D13" s="54">
        <f t="shared" si="4"/>
        <v>40</v>
      </c>
      <c r="E13">
        <f t="shared" si="5"/>
        <v>-6.5690000000004147</v>
      </c>
      <c r="F13" s="59">
        <f t="shared" si="11"/>
        <v>39.857312184900323</v>
      </c>
      <c r="G13" s="55">
        <f t="shared" si="6"/>
        <v>-6.5690000000004147</v>
      </c>
      <c r="H13" s="54" t="s">
        <v>111</v>
      </c>
      <c r="I13" s="12">
        <f t="shared" si="7"/>
        <v>39.857312184900323</v>
      </c>
      <c r="J13" s="55">
        <f t="shared" si="8"/>
        <v>-6.5690000000004147</v>
      </c>
      <c r="M13" s="15"/>
      <c r="O13" s="73"/>
      <c r="P13" s="74">
        <f t="shared" si="1"/>
        <v>39.857312184900323</v>
      </c>
      <c r="Q13" s="117">
        <f t="shared" si="9"/>
        <v>-6.5690000000004147</v>
      </c>
      <c r="R13" s="73"/>
      <c r="S13" s="73"/>
      <c r="T13" s="73"/>
      <c r="U13" s="73">
        <f t="shared" si="12"/>
        <v>40</v>
      </c>
      <c r="V13" s="116">
        <f t="shared" si="2"/>
        <v>-6.5690000000004147</v>
      </c>
      <c r="W13" s="73"/>
      <c r="X13" s="117">
        <f t="shared" si="0"/>
        <v>39.857312184900323</v>
      </c>
      <c r="Y13" s="117">
        <f t="shared" si="3"/>
        <v>-6.5690000000004147</v>
      </c>
      <c r="Z13" s="80"/>
    </row>
    <row r="14" spans="1:26" x14ac:dyDescent="0.25">
      <c r="A14" t="s">
        <v>14</v>
      </c>
      <c r="B14">
        <f t="shared" si="10"/>
        <v>45</v>
      </c>
      <c r="C14">
        <v>4228.0029999999997</v>
      </c>
      <c r="D14" s="54">
        <f t="shared" si="4"/>
        <v>45</v>
      </c>
      <c r="E14">
        <f t="shared" si="5"/>
        <v>-6.3330000000005384</v>
      </c>
      <c r="F14" s="59">
        <f t="shared" si="11"/>
        <v>44.851739479395661</v>
      </c>
      <c r="G14" s="55">
        <f t="shared" si="6"/>
        <v>-6.3330000000005384</v>
      </c>
      <c r="H14" s="54" t="s">
        <v>112</v>
      </c>
      <c r="I14" s="12">
        <f t="shared" si="7"/>
        <v>44.851739479395661</v>
      </c>
      <c r="J14" s="55">
        <f t="shared" si="8"/>
        <v>-6.3330000000005384</v>
      </c>
      <c r="M14" s="15"/>
      <c r="O14" s="73"/>
      <c r="P14" s="74">
        <f t="shared" si="1"/>
        <v>44.851739479395661</v>
      </c>
      <c r="Q14" s="117">
        <f t="shared" si="9"/>
        <v>-6.3330000000005384</v>
      </c>
      <c r="R14" s="73"/>
      <c r="S14" s="73"/>
      <c r="T14" s="73"/>
      <c r="U14" s="73">
        <f t="shared" si="12"/>
        <v>45</v>
      </c>
      <c r="V14" s="116">
        <f t="shared" si="2"/>
        <v>-6.3330000000005384</v>
      </c>
      <c r="W14" s="73"/>
      <c r="X14" s="117">
        <f t="shared" si="0"/>
        <v>44.851739479395661</v>
      </c>
      <c r="Y14" s="117">
        <f t="shared" si="3"/>
        <v>-6.3330000000005384</v>
      </c>
      <c r="Z14" s="80"/>
    </row>
    <row r="15" spans="1:26" x14ac:dyDescent="0.25">
      <c r="A15" t="s">
        <v>15</v>
      </c>
      <c r="B15">
        <f t="shared" si="10"/>
        <v>50</v>
      </c>
      <c r="C15">
        <v>4228.1859999999997</v>
      </c>
      <c r="D15" s="54">
        <f t="shared" si="4"/>
        <v>50</v>
      </c>
      <c r="E15">
        <f t="shared" si="5"/>
        <v>-6.1500000000005457</v>
      </c>
      <c r="F15" s="59">
        <f t="shared" si="11"/>
        <v>49.848389457130743</v>
      </c>
      <c r="G15" s="55">
        <f t="shared" si="6"/>
        <v>-6.1500000000005457</v>
      </c>
      <c r="H15" s="54" t="s">
        <v>113</v>
      </c>
      <c r="I15" s="12">
        <f t="shared" si="7"/>
        <v>49.848389457130743</v>
      </c>
      <c r="J15" s="55">
        <f t="shared" si="8"/>
        <v>-6.1500000000005457</v>
      </c>
      <c r="M15" s="15"/>
      <c r="O15" s="73"/>
      <c r="P15" s="74">
        <f t="shared" si="1"/>
        <v>49.848389457130743</v>
      </c>
      <c r="Q15" s="117">
        <f t="shared" si="9"/>
        <v>-6.1500000000005457</v>
      </c>
      <c r="R15" s="73"/>
      <c r="S15" s="73"/>
      <c r="T15" s="73"/>
      <c r="U15" s="73">
        <f t="shared" si="12"/>
        <v>50</v>
      </c>
      <c r="V15" s="116">
        <f t="shared" si="2"/>
        <v>-6.1500000000005457</v>
      </c>
      <c r="W15" s="73"/>
      <c r="X15" s="117">
        <f t="shared" si="0"/>
        <v>49.848389457130743</v>
      </c>
      <c r="Y15" s="117">
        <f t="shared" si="3"/>
        <v>-6.1500000000005457</v>
      </c>
      <c r="Z15" s="80"/>
    </row>
    <row r="16" spans="1:26" x14ac:dyDescent="0.25">
      <c r="A16" t="s">
        <v>16</v>
      </c>
      <c r="B16">
        <f t="shared" si="10"/>
        <v>55</v>
      </c>
      <c r="C16">
        <v>4228.5919999999996</v>
      </c>
      <c r="D16" s="54">
        <f t="shared" si="4"/>
        <v>55</v>
      </c>
      <c r="E16">
        <f t="shared" si="5"/>
        <v>-5.7440000000005966</v>
      </c>
      <c r="F16" s="59">
        <f t="shared" si="11"/>
        <v>54.831878596278138</v>
      </c>
      <c r="G16" s="55">
        <f t="shared" si="6"/>
        <v>-5.7440000000005966</v>
      </c>
      <c r="H16" s="54" t="s">
        <v>114</v>
      </c>
      <c r="I16" s="12">
        <f t="shared" si="7"/>
        <v>54.831878596278138</v>
      </c>
      <c r="J16" s="55">
        <f t="shared" si="8"/>
        <v>-5.7440000000005966</v>
      </c>
      <c r="M16" s="15"/>
      <c r="O16" s="73"/>
      <c r="P16" s="74">
        <f t="shared" si="1"/>
        <v>54.831878596278138</v>
      </c>
      <c r="Q16" s="117">
        <f t="shared" si="9"/>
        <v>-5.7440000000005966</v>
      </c>
      <c r="R16" s="73"/>
      <c r="S16" s="73"/>
      <c r="T16" s="73"/>
      <c r="U16" s="73">
        <f t="shared" si="12"/>
        <v>55</v>
      </c>
      <c r="V16" s="116">
        <f t="shared" si="2"/>
        <v>-5.7440000000005966</v>
      </c>
      <c r="W16" s="73"/>
      <c r="X16" s="117">
        <f t="shared" si="0"/>
        <v>54.831878596278138</v>
      </c>
      <c r="Y16" s="117">
        <f t="shared" si="3"/>
        <v>-5.7440000000005966</v>
      </c>
      <c r="Z16" s="80"/>
    </row>
    <row r="17" spans="1:26" x14ac:dyDescent="0.25">
      <c r="A17" t="s">
        <v>17</v>
      </c>
      <c r="B17">
        <f t="shared" si="10"/>
        <v>60</v>
      </c>
      <c r="C17">
        <v>4229.2979999999998</v>
      </c>
      <c r="D17" s="54">
        <f t="shared" si="4"/>
        <v>60</v>
      </c>
      <c r="E17">
        <f t="shared" si="5"/>
        <v>-5.0380000000004657</v>
      </c>
      <c r="F17" s="59">
        <f t="shared" si="11"/>
        <v>59.781784049920645</v>
      </c>
      <c r="G17" s="55">
        <f t="shared" si="6"/>
        <v>-5.0380000000004657</v>
      </c>
      <c r="H17" s="54" t="s">
        <v>115</v>
      </c>
      <c r="I17" s="12">
        <f t="shared" si="7"/>
        <v>59.781784049920645</v>
      </c>
      <c r="J17" s="55">
        <f t="shared" si="8"/>
        <v>-5.0380000000004657</v>
      </c>
      <c r="M17" s="15"/>
      <c r="O17" s="73"/>
      <c r="P17" s="74">
        <f t="shared" si="1"/>
        <v>59.781784049920645</v>
      </c>
      <c r="Q17" s="117">
        <f t="shared" si="9"/>
        <v>-5.0380000000004657</v>
      </c>
      <c r="R17" s="73"/>
      <c r="S17" s="73"/>
      <c r="T17" s="73"/>
      <c r="U17" s="73">
        <f t="shared" si="12"/>
        <v>60</v>
      </c>
      <c r="V17" s="116">
        <f t="shared" si="2"/>
        <v>-5.0380000000004657</v>
      </c>
      <c r="W17" s="73"/>
      <c r="X17" s="117">
        <f t="shared" si="0"/>
        <v>59.781784049920645</v>
      </c>
      <c r="Y17" s="117">
        <f t="shared" si="3"/>
        <v>-5.0380000000004657</v>
      </c>
      <c r="Z17" s="80"/>
    </row>
    <row r="18" spans="1:26" x14ac:dyDescent="0.25">
      <c r="A18" t="s">
        <v>18</v>
      </c>
      <c r="B18">
        <f t="shared" si="10"/>
        <v>65</v>
      </c>
      <c r="C18">
        <v>4229.8109999999997</v>
      </c>
      <c r="D18" s="54">
        <f t="shared" si="4"/>
        <v>65</v>
      </c>
      <c r="E18">
        <f t="shared" si="5"/>
        <v>-4.5250000000005457</v>
      </c>
      <c r="F18" s="59">
        <f t="shared" si="11"/>
        <v>64.75539752505118</v>
      </c>
      <c r="G18" s="55">
        <f t="shared" si="6"/>
        <v>-4.5250000000005457</v>
      </c>
      <c r="H18" s="54" t="s">
        <v>116</v>
      </c>
      <c r="I18" s="12">
        <f t="shared" si="7"/>
        <v>64.75539752505118</v>
      </c>
      <c r="J18" s="55">
        <f t="shared" si="8"/>
        <v>-4.5250000000005457</v>
      </c>
      <c r="M18" s="15"/>
      <c r="O18" s="73"/>
      <c r="P18" s="74">
        <f t="shared" si="1"/>
        <v>64.75539752505118</v>
      </c>
      <c r="Q18" s="117">
        <f t="shared" si="9"/>
        <v>-4.5250000000005457</v>
      </c>
      <c r="R18" s="73"/>
      <c r="S18" s="73"/>
      <c r="T18" s="73"/>
      <c r="U18" s="73">
        <f t="shared" si="12"/>
        <v>65</v>
      </c>
      <c r="V18" s="116">
        <f t="shared" si="2"/>
        <v>-4.5250000000005457</v>
      </c>
      <c r="W18" s="73"/>
      <c r="X18" s="117">
        <f t="shared" si="0"/>
        <v>64.75539752505118</v>
      </c>
      <c r="Y18" s="117">
        <f t="shared" si="3"/>
        <v>-4.5250000000005457</v>
      </c>
      <c r="Z18" s="80"/>
    </row>
    <row r="19" spans="1:26" x14ac:dyDescent="0.25">
      <c r="A19" t="s">
        <v>19</v>
      </c>
      <c r="B19">
        <f t="shared" si="10"/>
        <v>70</v>
      </c>
      <c r="C19">
        <v>4230.09</v>
      </c>
      <c r="D19" s="54">
        <f t="shared" si="4"/>
        <v>70</v>
      </c>
      <c r="E19">
        <f t="shared" si="5"/>
        <v>-4.2460000000000946</v>
      </c>
      <c r="F19" s="59">
        <f t="shared" si="11"/>
        <v>69.747607356378353</v>
      </c>
      <c r="G19" s="55">
        <f t="shared" si="6"/>
        <v>-4.2460000000000946</v>
      </c>
      <c r="H19" s="54" t="s">
        <v>117</v>
      </c>
      <c r="I19" s="12">
        <f t="shared" si="7"/>
        <v>69.747607356378353</v>
      </c>
      <c r="J19" s="55">
        <f t="shared" si="8"/>
        <v>-4.2460000000000946</v>
      </c>
      <c r="M19" s="15"/>
      <c r="O19" s="73"/>
      <c r="P19" s="74">
        <f t="shared" si="1"/>
        <v>69.747607356378353</v>
      </c>
      <c r="Q19" s="117">
        <f t="shared" si="9"/>
        <v>-4.2460000000000946</v>
      </c>
      <c r="R19" s="73"/>
      <c r="S19" s="73"/>
      <c r="T19" s="73"/>
      <c r="U19" s="73">
        <f t="shared" si="12"/>
        <v>70</v>
      </c>
      <c r="V19" s="116">
        <f t="shared" si="2"/>
        <v>-4.2460000000000946</v>
      </c>
      <c r="W19" s="73"/>
      <c r="X19" s="117">
        <f t="shared" si="0"/>
        <v>69.747607356378353</v>
      </c>
      <c r="Y19" s="117">
        <f t="shared" si="3"/>
        <v>-4.2460000000000946</v>
      </c>
      <c r="Z19" s="80"/>
    </row>
    <row r="20" spans="1:26" x14ac:dyDescent="0.25">
      <c r="A20" t="s">
        <v>20</v>
      </c>
      <c r="B20">
        <f t="shared" si="10"/>
        <v>75</v>
      </c>
      <c r="C20">
        <v>4230.5240000000003</v>
      </c>
      <c r="D20" s="54">
        <f t="shared" si="4"/>
        <v>75</v>
      </c>
      <c r="E20">
        <f t="shared" si="5"/>
        <v>-3.8119999999998981</v>
      </c>
      <c r="F20" s="59">
        <f t="shared" si="11"/>
        <v>74.7287361441131</v>
      </c>
      <c r="G20" s="55">
        <f t="shared" si="6"/>
        <v>-3.8119999999998981</v>
      </c>
      <c r="H20" s="54" t="s">
        <v>118</v>
      </c>
      <c r="I20" s="12">
        <f t="shared" si="7"/>
        <v>74.7287361441131</v>
      </c>
      <c r="J20" s="55">
        <f t="shared" si="8"/>
        <v>-3.8119999999998981</v>
      </c>
      <c r="M20" s="15"/>
      <c r="O20" s="73"/>
      <c r="P20" s="74">
        <f t="shared" si="1"/>
        <v>74.7287361441131</v>
      </c>
      <c r="Q20" s="117">
        <f t="shared" si="9"/>
        <v>-3.8119999999998981</v>
      </c>
      <c r="R20" s="73"/>
      <c r="S20" s="73"/>
      <c r="T20" s="73"/>
      <c r="U20" s="73">
        <f t="shared" si="12"/>
        <v>75</v>
      </c>
      <c r="V20" s="116">
        <f t="shared" si="2"/>
        <v>-3.8119999999998981</v>
      </c>
      <c r="W20" s="73"/>
      <c r="X20" s="117">
        <f t="shared" si="0"/>
        <v>74.7287361441131</v>
      </c>
      <c r="Y20" s="117">
        <f t="shared" si="3"/>
        <v>-3.8119999999998981</v>
      </c>
      <c r="Z20" s="80"/>
    </row>
    <row r="21" spans="1:26" x14ac:dyDescent="0.25">
      <c r="A21" t="s">
        <v>21</v>
      </c>
      <c r="B21">
        <f t="shared" si="10"/>
        <v>80</v>
      </c>
      <c r="C21">
        <v>4231.1369999999997</v>
      </c>
      <c r="D21" s="54">
        <f t="shared" si="4"/>
        <v>80</v>
      </c>
      <c r="E21">
        <f t="shared" si="5"/>
        <v>-3.1990000000005239</v>
      </c>
      <c r="F21" s="59">
        <f t="shared" si="11"/>
        <v>79.691016970507434</v>
      </c>
      <c r="G21" s="55">
        <f t="shared" si="6"/>
        <v>-3.1990000000005239</v>
      </c>
      <c r="H21" s="54" t="s">
        <v>119</v>
      </c>
      <c r="I21" s="12">
        <f t="shared" si="7"/>
        <v>79.691016970507434</v>
      </c>
      <c r="J21" s="55">
        <f t="shared" si="8"/>
        <v>-3.1990000000005239</v>
      </c>
      <c r="M21" s="15"/>
      <c r="O21" s="73"/>
      <c r="P21" s="74">
        <f t="shared" si="1"/>
        <v>79.691016970507434</v>
      </c>
      <c r="Q21" s="117">
        <f t="shared" si="9"/>
        <v>-3.1990000000005239</v>
      </c>
      <c r="R21" s="73"/>
      <c r="S21" s="73"/>
      <c r="T21" s="73"/>
      <c r="U21" s="73">
        <f t="shared" si="12"/>
        <v>80</v>
      </c>
      <c r="V21" s="116">
        <f t="shared" si="2"/>
        <v>-3.1990000000005239</v>
      </c>
      <c r="W21" s="73"/>
      <c r="X21" s="117">
        <f t="shared" si="0"/>
        <v>79.691016970507434</v>
      </c>
      <c r="Y21" s="117">
        <f t="shared" si="3"/>
        <v>-3.1990000000005239</v>
      </c>
      <c r="Z21" s="80"/>
    </row>
    <row r="22" spans="1:26" x14ac:dyDescent="0.25">
      <c r="A22" t="s">
        <v>22</v>
      </c>
      <c r="B22">
        <f t="shared" si="10"/>
        <v>85</v>
      </c>
      <c r="C22">
        <v>4231.5060000000003</v>
      </c>
      <c r="D22" s="54">
        <f t="shared" si="4"/>
        <v>85</v>
      </c>
      <c r="E22">
        <f t="shared" si="5"/>
        <v>-2.8299999999999272</v>
      </c>
      <c r="F22" s="59">
        <f t="shared" si="11"/>
        <v>84.677382280028951</v>
      </c>
      <c r="G22" s="55">
        <f t="shared" si="6"/>
        <v>-2.8299999999999272</v>
      </c>
      <c r="H22" s="54" t="s">
        <v>120</v>
      </c>
      <c r="I22" s="12">
        <f t="shared" si="7"/>
        <v>84.677382280028951</v>
      </c>
      <c r="J22" s="55">
        <f t="shared" si="8"/>
        <v>-2.8299999999999272</v>
      </c>
      <c r="M22" s="15"/>
      <c r="O22" s="73"/>
      <c r="P22" s="74">
        <f t="shared" si="1"/>
        <v>84.677382280028951</v>
      </c>
      <c r="Q22" s="117">
        <f t="shared" si="9"/>
        <v>-2.8299999999999272</v>
      </c>
      <c r="R22" s="73"/>
      <c r="S22" s="73"/>
      <c r="T22" s="73"/>
      <c r="U22" s="73">
        <f t="shared" si="12"/>
        <v>85</v>
      </c>
      <c r="V22" s="116">
        <f t="shared" si="2"/>
        <v>-2.8299999999999272</v>
      </c>
      <c r="W22" s="73"/>
      <c r="X22" s="117">
        <f t="shared" si="0"/>
        <v>84.677382280028951</v>
      </c>
      <c r="Y22" s="117">
        <f t="shared" si="3"/>
        <v>-2.8299999999999272</v>
      </c>
      <c r="Z22" s="80"/>
    </row>
    <row r="23" spans="1:26" x14ac:dyDescent="0.25">
      <c r="A23" t="s">
        <v>23</v>
      </c>
      <c r="B23">
        <f t="shared" si="10"/>
        <v>90</v>
      </c>
      <c r="C23">
        <v>4231.7920000000004</v>
      </c>
      <c r="D23" s="54">
        <f t="shared" si="4"/>
        <v>90</v>
      </c>
      <c r="E23">
        <f t="shared" si="5"/>
        <v>-2.543999999999869</v>
      </c>
      <c r="F23" s="59">
        <f t="shared" si="11"/>
        <v>89.669195978475642</v>
      </c>
      <c r="G23" s="55">
        <f t="shared" si="6"/>
        <v>-2.543999999999869</v>
      </c>
      <c r="H23" s="54" t="s">
        <v>121</v>
      </c>
      <c r="I23" s="12">
        <f t="shared" si="7"/>
        <v>89.669195978475642</v>
      </c>
      <c r="J23" s="55">
        <f t="shared" si="8"/>
        <v>-2.543999999999869</v>
      </c>
      <c r="M23" s="15"/>
      <c r="O23" s="73"/>
      <c r="P23" s="74">
        <f t="shared" si="1"/>
        <v>89.669195978475642</v>
      </c>
      <c r="Q23" s="117">
        <f t="shared" si="9"/>
        <v>-2.543999999999869</v>
      </c>
      <c r="R23" s="73"/>
      <c r="S23" s="73"/>
      <c r="T23" s="73"/>
      <c r="U23" s="73">
        <f t="shared" si="12"/>
        <v>90</v>
      </c>
      <c r="V23" s="116">
        <f t="shared" si="2"/>
        <v>-2.543999999999869</v>
      </c>
      <c r="W23" s="73"/>
      <c r="X23" s="117">
        <f t="shared" si="0"/>
        <v>89.669195978475642</v>
      </c>
      <c r="Y23" s="117">
        <f t="shared" si="3"/>
        <v>-2.543999999999869</v>
      </c>
      <c r="Z23" s="80"/>
    </row>
    <row r="24" spans="1:26" x14ac:dyDescent="0.25">
      <c r="A24" t="s">
        <v>24</v>
      </c>
      <c r="B24">
        <f t="shared" si="10"/>
        <v>95</v>
      </c>
      <c r="C24">
        <v>4232.0910000000003</v>
      </c>
      <c r="D24" s="54">
        <f t="shared" si="4"/>
        <v>95</v>
      </c>
      <c r="E24">
        <f t="shared" si="5"/>
        <v>-2.2449999999998909</v>
      </c>
      <c r="F24" s="59">
        <f t="shared" si="11"/>
        <v>94.660247871614004</v>
      </c>
      <c r="G24" s="55">
        <f t="shared" si="6"/>
        <v>-2.2449999999998909</v>
      </c>
      <c r="H24" s="54" t="s">
        <v>122</v>
      </c>
      <c r="I24" s="12">
        <f t="shared" si="7"/>
        <v>94.660247871614004</v>
      </c>
      <c r="J24" s="55">
        <f t="shared" si="8"/>
        <v>-2.2449999999998909</v>
      </c>
      <c r="M24" s="15"/>
      <c r="O24" s="73"/>
      <c r="P24" s="74">
        <f t="shared" si="1"/>
        <v>94.660247871614004</v>
      </c>
      <c r="Q24" s="117">
        <f t="shared" si="9"/>
        <v>-2.2449999999998909</v>
      </c>
      <c r="R24" s="73"/>
      <c r="S24" s="73"/>
      <c r="T24" s="73"/>
      <c r="U24" s="73">
        <f t="shared" si="12"/>
        <v>95</v>
      </c>
      <c r="V24" s="116">
        <f t="shared" si="2"/>
        <v>-2.2449999999998909</v>
      </c>
      <c r="W24" s="73"/>
      <c r="X24" s="117">
        <f t="shared" si="0"/>
        <v>94.660247871614004</v>
      </c>
      <c r="Y24" s="117">
        <f t="shared" si="3"/>
        <v>-2.2449999999998909</v>
      </c>
      <c r="Z24" s="80"/>
    </row>
    <row r="25" spans="1:26" x14ac:dyDescent="0.25">
      <c r="A25" t="s">
        <v>25</v>
      </c>
      <c r="B25">
        <f t="shared" si="10"/>
        <v>100</v>
      </c>
      <c r="C25">
        <v>4232.3320000000003</v>
      </c>
      <c r="D25" s="54">
        <f t="shared" si="4"/>
        <v>100</v>
      </c>
      <c r="E25">
        <f t="shared" si="5"/>
        <v>-2.0039999999999054</v>
      </c>
      <c r="F25" s="59">
        <f t="shared" si="11"/>
        <v>99.654436394287131</v>
      </c>
      <c r="G25" s="55">
        <f t="shared" si="6"/>
        <v>-2.0039999999999054</v>
      </c>
      <c r="H25" s="54" t="s">
        <v>123</v>
      </c>
      <c r="I25" s="12">
        <f t="shared" si="7"/>
        <v>99.654436394287131</v>
      </c>
      <c r="J25" s="55">
        <f t="shared" si="8"/>
        <v>-2.0039999999999054</v>
      </c>
      <c r="M25" s="15"/>
      <c r="O25" s="73"/>
      <c r="P25" s="74">
        <f t="shared" si="1"/>
        <v>99.654436394287131</v>
      </c>
      <c r="Q25" s="117">
        <f t="shared" si="9"/>
        <v>-2.0039999999999054</v>
      </c>
      <c r="R25" s="73"/>
      <c r="S25" s="73"/>
      <c r="T25" s="73"/>
      <c r="U25" s="73">
        <f t="shared" si="12"/>
        <v>100</v>
      </c>
      <c r="V25" s="116">
        <f t="shared" si="2"/>
        <v>-2.0039999999999054</v>
      </c>
      <c r="W25" s="73"/>
      <c r="X25" s="117">
        <f t="shared" si="0"/>
        <v>99.654436394287131</v>
      </c>
      <c r="Y25" s="117">
        <f t="shared" si="3"/>
        <v>-2.0039999999999054</v>
      </c>
      <c r="Z25" s="80"/>
    </row>
    <row r="26" spans="1:26" x14ac:dyDescent="0.25">
      <c r="A26" t="s">
        <v>26</v>
      </c>
      <c r="B26">
        <f t="shared" si="10"/>
        <v>105</v>
      </c>
      <c r="C26">
        <v>4232.5640000000003</v>
      </c>
      <c r="D26" s="54">
        <f t="shared" si="4"/>
        <v>105</v>
      </c>
      <c r="E26">
        <f t="shared" si="5"/>
        <v>-1.7719999999999345</v>
      </c>
      <c r="F26" s="59">
        <f t="shared" si="11"/>
        <v>104.64905109414137</v>
      </c>
      <c r="G26" s="55">
        <f t="shared" si="6"/>
        <v>-1.7719999999999345</v>
      </c>
      <c r="H26" s="54" t="s">
        <v>124</v>
      </c>
      <c r="I26" s="12">
        <f t="shared" si="7"/>
        <v>104.64905109414137</v>
      </c>
      <c r="J26" s="55">
        <f t="shared" si="8"/>
        <v>-1.7719999999999345</v>
      </c>
      <c r="M26" s="15"/>
      <c r="O26" s="73"/>
      <c r="P26" s="74">
        <f t="shared" si="1"/>
        <v>104.64905109414137</v>
      </c>
      <c r="Q26" s="117">
        <f t="shared" si="9"/>
        <v>-1.7719999999999345</v>
      </c>
      <c r="R26" s="73"/>
      <c r="S26" s="73"/>
      <c r="T26" s="73"/>
      <c r="U26" s="73">
        <f t="shared" si="12"/>
        <v>105</v>
      </c>
      <c r="V26" s="116">
        <f t="shared" si="2"/>
        <v>-1.7719999999999345</v>
      </c>
      <c r="W26" s="73"/>
      <c r="X26" s="117">
        <f t="shared" si="0"/>
        <v>104.64905109414137</v>
      </c>
      <c r="Y26" s="117">
        <f t="shared" si="3"/>
        <v>-1.7719999999999345</v>
      </c>
      <c r="Z26" s="80"/>
    </row>
    <row r="27" spans="1:26" x14ac:dyDescent="0.25">
      <c r="A27" t="s">
        <v>27</v>
      </c>
      <c r="B27">
        <f t="shared" si="10"/>
        <v>110</v>
      </c>
      <c r="C27">
        <v>4232.7629999999999</v>
      </c>
      <c r="D27" s="54">
        <f t="shared" si="4"/>
        <v>110</v>
      </c>
      <c r="E27">
        <f t="shared" si="5"/>
        <v>-1.5730000000003201</v>
      </c>
      <c r="F27" s="59">
        <f t="shared" si="11"/>
        <v>109.64508942465888</v>
      </c>
      <c r="G27" s="55">
        <f t="shared" si="6"/>
        <v>-1.5730000000003201</v>
      </c>
      <c r="H27" s="54" t="s">
        <v>125</v>
      </c>
      <c r="I27" s="12">
        <f t="shared" si="7"/>
        <v>109.64508942465888</v>
      </c>
      <c r="J27" s="55">
        <f t="shared" si="8"/>
        <v>-1.5730000000003201</v>
      </c>
      <c r="M27" s="15"/>
      <c r="O27" s="73"/>
      <c r="P27" s="74">
        <f t="shared" si="1"/>
        <v>109.64508942465888</v>
      </c>
      <c r="Q27" s="117">
        <f t="shared" si="9"/>
        <v>-1.5730000000003201</v>
      </c>
      <c r="R27" s="73"/>
      <c r="S27" s="73"/>
      <c r="T27" s="73"/>
      <c r="U27" s="73">
        <f t="shared" si="12"/>
        <v>110</v>
      </c>
      <c r="V27" s="116">
        <f t="shared" si="2"/>
        <v>-1.5730000000003201</v>
      </c>
      <c r="W27" s="73"/>
      <c r="X27" s="117">
        <f t="shared" si="0"/>
        <v>109.64508942465888</v>
      </c>
      <c r="Y27" s="117">
        <f t="shared" si="3"/>
        <v>-1.5730000000003201</v>
      </c>
      <c r="Z27" s="80"/>
    </row>
    <row r="28" spans="1:26" x14ac:dyDescent="0.25">
      <c r="A28" t="s">
        <v>28</v>
      </c>
      <c r="B28">
        <f t="shared" si="10"/>
        <v>115</v>
      </c>
      <c r="C28">
        <v>4232.9960000000001</v>
      </c>
      <c r="D28" s="54">
        <f t="shared" si="4"/>
        <v>115</v>
      </c>
      <c r="E28">
        <f t="shared" si="5"/>
        <v>-1.3400000000001455</v>
      </c>
      <c r="F28" s="59">
        <f t="shared" si="11"/>
        <v>114.63965757415889</v>
      </c>
      <c r="G28" s="55">
        <f t="shared" si="6"/>
        <v>-1.3400000000001455</v>
      </c>
      <c r="H28" s="54" t="s">
        <v>126</v>
      </c>
      <c r="I28" s="12">
        <f t="shared" si="7"/>
        <v>114.63965757415889</v>
      </c>
      <c r="J28" s="55">
        <f t="shared" si="8"/>
        <v>-1.3400000000001455</v>
      </c>
      <c r="M28" s="115">
        <f>I4</f>
        <v>-5</v>
      </c>
      <c r="N28" s="116">
        <f>J4</f>
        <v>-9.8110000000006039</v>
      </c>
      <c r="O28" s="73"/>
      <c r="P28" s="74">
        <f t="shared" si="1"/>
        <v>114.63965757415889</v>
      </c>
      <c r="Q28" s="117">
        <f t="shared" si="9"/>
        <v>-1.3400000000001455</v>
      </c>
      <c r="R28" s="73"/>
      <c r="S28" s="73"/>
      <c r="T28" s="73"/>
      <c r="U28" s="73">
        <f t="shared" si="12"/>
        <v>115</v>
      </c>
      <c r="V28" s="116">
        <f t="shared" si="2"/>
        <v>-1.3400000000001455</v>
      </c>
      <c r="W28" s="73"/>
      <c r="X28" s="117">
        <f t="shared" si="0"/>
        <v>114.63965757415889</v>
      </c>
      <c r="Y28" s="117">
        <f t="shared" si="3"/>
        <v>-1.3400000000001455</v>
      </c>
      <c r="Z28" s="80"/>
    </row>
    <row r="29" spans="1:26" x14ac:dyDescent="0.25">
      <c r="A29" t="s">
        <v>29</v>
      </c>
      <c r="B29">
        <f t="shared" si="10"/>
        <v>120</v>
      </c>
      <c r="C29">
        <v>4233.1850000000004</v>
      </c>
      <c r="D29" s="54">
        <f t="shared" si="4"/>
        <v>120</v>
      </c>
      <c r="E29">
        <f t="shared" si="5"/>
        <v>-1.1509999999998399</v>
      </c>
      <c r="F29" s="59">
        <f t="shared" si="11"/>
        <v>119.63608419725662</v>
      </c>
      <c r="G29" s="55">
        <f t="shared" si="6"/>
        <v>-1.1509999999998399</v>
      </c>
      <c r="M29" s="81">
        <f t="shared" ref="M29:M52" si="13">I5</f>
        <v>0</v>
      </c>
      <c r="N29" s="73">
        <f t="shared" ref="N29:N52" si="14">J5-$S$1</f>
        <v>-7.9710000000004584</v>
      </c>
      <c r="O29" s="73"/>
      <c r="P29" s="74">
        <f t="shared" si="1"/>
        <v>119.63608419725662</v>
      </c>
      <c r="Q29" s="117">
        <f t="shared" si="9"/>
        <v>-1.1509999999998399</v>
      </c>
      <c r="R29" s="73"/>
      <c r="S29" s="73"/>
      <c r="T29" s="73"/>
      <c r="U29" s="126"/>
      <c r="V29" s="116"/>
      <c r="W29" s="126"/>
      <c r="X29" s="117"/>
      <c r="Y29" s="117"/>
      <c r="Z29" s="127"/>
    </row>
    <row r="30" spans="1:26" x14ac:dyDescent="0.25">
      <c r="A30" t="s">
        <v>30</v>
      </c>
      <c r="B30">
        <f t="shared" si="10"/>
        <v>125</v>
      </c>
      <c r="C30">
        <v>4233.3789999999999</v>
      </c>
      <c r="D30" s="54">
        <f t="shared" si="4"/>
        <v>125</v>
      </c>
      <c r="E30">
        <f t="shared" si="5"/>
        <v>-0.95700000000033469</v>
      </c>
      <c r="F30" s="59">
        <f t="shared" si="11"/>
        <v>124.63231917972094</v>
      </c>
      <c r="G30" s="55">
        <f t="shared" si="6"/>
        <v>-0.95700000000033469</v>
      </c>
      <c r="M30" s="81">
        <f t="shared" si="13"/>
        <v>4.9452356870021452</v>
      </c>
      <c r="N30" s="73">
        <f t="shared" si="14"/>
        <v>-7.2330000000001746</v>
      </c>
      <c r="O30" s="73"/>
      <c r="P30" s="74">
        <f t="shared" si="1"/>
        <v>124.63231917972094</v>
      </c>
      <c r="Q30" s="117">
        <f t="shared" si="9"/>
        <v>-0.95700000000033469</v>
      </c>
      <c r="R30" s="73"/>
      <c r="S30" s="73"/>
      <c r="T30" s="73"/>
      <c r="V30" s="126"/>
      <c r="W30" s="126"/>
      <c r="Z30" s="127"/>
    </row>
    <row r="31" spans="1:26" x14ac:dyDescent="0.25">
      <c r="A31" t="s">
        <v>31</v>
      </c>
      <c r="B31">
        <f t="shared" si="10"/>
        <v>130</v>
      </c>
      <c r="C31">
        <v>4233.5659999999998</v>
      </c>
      <c r="D31" s="54">
        <f t="shared" si="4"/>
        <v>130</v>
      </c>
      <c r="E31">
        <f t="shared" si="5"/>
        <v>-0.77000000000043656</v>
      </c>
      <c r="F31" s="59">
        <f t="shared" si="11"/>
        <v>129.62882105603401</v>
      </c>
      <c r="G31" s="55">
        <f t="shared" si="6"/>
        <v>-0.77000000000043656</v>
      </c>
      <c r="M31" s="81">
        <f t="shared" si="13"/>
        <v>9.8949984085878491</v>
      </c>
      <c r="N31" s="73">
        <f t="shared" si="14"/>
        <v>-6.5259999999998399</v>
      </c>
      <c r="O31" s="73"/>
      <c r="P31" s="74">
        <f t="shared" si="1"/>
        <v>129.62882105603401</v>
      </c>
      <c r="Q31" s="117">
        <f t="shared" si="9"/>
        <v>-0.77000000000043656</v>
      </c>
      <c r="R31" s="73"/>
      <c r="S31" s="73"/>
      <c r="T31" s="73"/>
      <c r="W31" s="126"/>
      <c r="Z31" s="127"/>
    </row>
    <row r="32" spans="1:26" x14ac:dyDescent="0.25">
      <c r="A32" t="s">
        <v>32</v>
      </c>
      <c r="B32">
        <f t="shared" si="10"/>
        <v>135</v>
      </c>
      <c r="C32">
        <v>4233.9459999999999</v>
      </c>
      <c r="D32" s="54">
        <f t="shared" si="4"/>
        <v>135</v>
      </c>
      <c r="E32">
        <f t="shared" si="5"/>
        <v>-0.39000000000032742</v>
      </c>
      <c r="F32" s="59">
        <f t="shared" si="11"/>
        <v>134.614360144237</v>
      </c>
      <c r="G32" s="55">
        <f t="shared" si="6"/>
        <v>-0.39000000000032742</v>
      </c>
      <c r="M32" s="81">
        <f t="shared" si="13"/>
        <v>14.876039966334627</v>
      </c>
      <c r="N32" s="73">
        <f t="shared" si="14"/>
        <v>-6.0910000000003492</v>
      </c>
      <c r="O32" s="73"/>
      <c r="P32" s="74">
        <f t="shared" si="1"/>
        <v>134.614360144237</v>
      </c>
      <c r="Q32" s="117">
        <f t="shared" si="9"/>
        <v>-0.39000000000032742</v>
      </c>
      <c r="R32" s="73"/>
      <c r="S32" s="73"/>
      <c r="T32" s="73"/>
      <c r="W32" s="126"/>
      <c r="Z32" s="127"/>
    </row>
    <row r="33" spans="1:26" x14ac:dyDescent="0.25">
      <c r="A33" t="s">
        <v>33</v>
      </c>
      <c r="B33">
        <f t="shared" si="10"/>
        <v>140</v>
      </c>
      <c r="C33">
        <v>4234.0780000000004</v>
      </c>
      <c r="D33" s="54">
        <f t="shared" si="4"/>
        <v>140</v>
      </c>
      <c r="E33">
        <f t="shared" si="5"/>
        <v>-0.25799999999981083</v>
      </c>
      <c r="F33" s="59">
        <f t="shared" si="11"/>
        <v>139.61261744053536</v>
      </c>
      <c r="G33" s="55">
        <f t="shared" si="6"/>
        <v>-0.25799999999981083</v>
      </c>
      <c r="M33" s="81">
        <f t="shared" si="13"/>
        <v>19.865204124788384</v>
      </c>
      <c r="N33" s="73">
        <f t="shared" si="14"/>
        <v>-5.7619999999997162</v>
      </c>
      <c r="O33" s="73"/>
      <c r="P33" s="74">
        <f t="shared" si="1"/>
        <v>139.61261744053536</v>
      </c>
      <c r="Q33" s="117">
        <f t="shared" si="9"/>
        <v>-0.25799999999981083</v>
      </c>
      <c r="R33" s="73"/>
      <c r="S33" s="73"/>
      <c r="T33" s="73"/>
      <c r="W33" s="126"/>
      <c r="Z33" s="127"/>
    </row>
    <row r="34" spans="1:26" x14ac:dyDescent="0.25">
      <c r="A34" t="s">
        <v>34</v>
      </c>
      <c r="B34">
        <f t="shared" si="10"/>
        <v>145</v>
      </c>
      <c r="C34">
        <v>4234.2780000000002</v>
      </c>
      <c r="D34" s="54">
        <f t="shared" si="4"/>
        <v>145</v>
      </c>
      <c r="E34">
        <f t="shared" si="5"/>
        <v>-5.7999999999992724E-2</v>
      </c>
      <c r="F34" s="59">
        <f t="shared" si="11"/>
        <v>144.60861583925407</v>
      </c>
      <c r="G34" s="55">
        <f t="shared" si="6"/>
        <v>-5.7999999999992724E-2</v>
      </c>
      <c r="M34" s="81">
        <f t="shared" si="13"/>
        <v>24.861706001101457</v>
      </c>
      <c r="N34" s="73">
        <f t="shared" si="14"/>
        <v>-5.5749999999998181</v>
      </c>
      <c r="O34" s="73"/>
      <c r="P34" s="74">
        <f t="shared" si="1"/>
        <v>144.60861583925407</v>
      </c>
      <c r="Q34" s="117">
        <f t="shared" si="9"/>
        <v>-5.7999999999992724E-2</v>
      </c>
      <c r="R34" s="73"/>
      <c r="S34" s="73"/>
      <c r="T34" s="73"/>
      <c r="W34" s="126"/>
      <c r="Z34" s="127"/>
    </row>
    <row r="35" spans="1:26" x14ac:dyDescent="0.25">
      <c r="A35" t="s">
        <v>35</v>
      </c>
      <c r="B35">
        <f t="shared" si="10"/>
        <v>150</v>
      </c>
      <c r="C35">
        <v>4234.2280000000001</v>
      </c>
      <c r="D35" s="54">
        <f t="shared" si="4"/>
        <v>150</v>
      </c>
      <c r="E35">
        <f t="shared" si="5"/>
        <v>-0.10800000000017462</v>
      </c>
      <c r="F35" s="59">
        <f t="shared" si="11"/>
        <v>149.60836583300375</v>
      </c>
      <c r="G35" s="55">
        <f t="shared" si="6"/>
        <v>-0.10800000000017462</v>
      </c>
      <c r="M35" s="81">
        <f t="shared" si="13"/>
        <v>29.859544633950662</v>
      </c>
      <c r="N35" s="73">
        <f t="shared" si="14"/>
        <v>-5.4279999999998836</v>
      </c>
      <c r="O35" s="73"/>
      <c r="P35" s="74">
        <f t="shared" si="1"/>
        <v>149.60836583300375</v>
      </c>
      <c r="Q35" s="117">
        <f t="shared" si="9"/>
        <v>-0.10800000000017462</v>
      </c>
      <c r="R35" s="73"/>
      <c r="S35" s="73"/>
      <c r="T35" s="73"/>
      <c r="W35" s="126"/>
      <c r="Z35" s="127"/>
    </row>
    <row r="36" spans="1:26" x14ac:dyDescent="0.25">
      <c r="A36" t="s">
        <v>36</v>
      </c>
      <c r="B36">
        <f t="shared" si="10"/>
        <v>155</v>
      </c>
      <c r="C36">
        <v>4234.3360000000002</v>
      </c>
      <c r="D36" s="54">
        <f t="shared" si="4"/>
        <v>155</v>
      </c>
      <c r="E36">
        <f t="shared" si="5"/>
        <v>0</v>
      </c>
      <c r="F36" s="59">
        <f t="shared" si="11"/>
        <v>154.60719929692308</v>
      </c>
      <c r="G36" s="55">
        <f t="shared" si="6"/>
        <v>0</v>
      </c>
      <c r="M36" s="81">
        <f t="shared" si="13"/>
        <v>34.859135017172079</v>
      </c>
      <c r="N36" s="73">
        <f t="shared" si="14"/>
        <v>-5.3640000000004875</v>
      </c>
      <c r="O36" s="73"/>
      <c r="P36" s="74">
        <f t="shared" si="1"/>
        <v>154.60719929692308</v>
      </c>
      <c r="Q36" s="117">
        <f t="shared" si="9"/>
        <v>0</v>
      </c>
      <c r="R36" s="73"/>
      <c r="S36" s="73"/>
      <c r="T36" s="73"/>
      <c r="W36" s="126"/>
      <c r="Z36" s="127"/>
    </row>
    <row r="37" spans="1:26" x14ac:dyDescent="0.25">
      <c r="A37" t="s">
        <v>37</v>
      </c>
      <c r="B37">
        <f t="shared" si="10"/>
        <v>160</v>
      </c>
      <c r="C37">
        <v>4233.9340000000002</v>
      </c>
      <c r="D37" s="54">
        <f t="shared" si="4"/>
        <v>160</v>
      </c>
      <c r="E37">
        <f t="shared" si="5"/>
        <v>-0.40200000000004366</v>
      </c>
      <c r="F37" s="59">
        <f t="shared" si="11"/>
        <v>159.59101269631918</v>
      </c>
      <c r="G37" s="55">
        <f t="shared" si="6"/>
        <v>-0.40200000000004366</v>
      </c>
      <c r="M37" s="81">
        <f t="shared" si="13"/>
        <v>39.857312184900323</v>
      </c>
      <c r="N37" s="73">
        <f t="shared" si="14"/>
        <v>-5.2290000000002692</v>
      </c>
      <c r="O37" s="73"/>
      <c r="P37" s="74">
        <f t="shared" si="1"/>
        <v>159.59101269631918</v>
      </c>
      <c r="Q37" s="117">
        <f t="shared" si="9"/>
        <v>-0.40200000000004366</v>
      </c>
      <c r="R37" s="73"/>
      <c r="S37" s="73"/>
      <c r="T37" s="73"/>
      <c r="W37" s="126"/>
      <c r="Z37" s="127"/>
    </row>
    <row r="38" spans="1:26" x14ac:dyDescent="0.25">
      <c r="A38" t="s">
        <v>38</v>
      </c>
      <c r="B38">
        <f t="shared" si="10"/>
        <v>165</v>
      </c>
      <c r="C38">
        <v>4233.3440000000001</v>
      </c>
      <c r="D38" s="54">
        <f t="shared" si="4"/>
        <v>165</v>
      </c>
      <c r="E38">
        <f t="shared" si="5"/>
        <v>-0.99200000000018917</v>
      </c>
      <c r="F38" s="59">
        <f t="shared" si="11"/>
        <v>164.55608067168467</v>
      </c>
      <c r="G38" s="55">
        <f t="shared" si="6"/>
        <v>-0.99200000000018917</v>
      </c>
      <c r="M38" s="81">
        <f t="shared" si="13"/>
        <v>44.851739479395661</v>
      </c>
      <c r="N38" s="73">
        <f t="shared" si="14"/>
        <v>-4.9930000000003929</v>
      </c>
      <c r="O38" s="73"/>
      <c r="P38" s="74">
        <f t="shared" si="1"/>
        <v>164.55608067168467</v>
      </c>
      <c r="Q38" s="117">
        <f t="shared" si="9"/>
        <v>-0.99200000000018917</v>
      </c>
      <c r="R38" s="73"/>
      <c r="S38" s="73"/>
      <c r="T38" s="73"/>
      <c r="W38" s="126"/>
      <c r="Z38" s="127"/>
    </row>
    <row r="39" spans="1:26" x14ac:dyDescent="0.25">
      <c r="A39" t="s">
        <v>39</v>
      </c>
      <c r="B39">
        <f t="shared" si="10"/>
        <v>170</v>
      </c>
      <c r="C39">
        <v>4233.0410000000002</v>
      </c>
      <c r="D39" s="54">
        <f t="shared" si="4"/>
        <v>170</v>
      </c>
      <c r="E39">
        <f t="shared" si="5"/>
        <v>-1.2950000000000728</v>
      </c>
      <c r="F39" s="59">
        <f t="shared" si="11"/>
        <v>169.54689132727961</v>
      </c>
      <c r="G39" s="55">
        <f t="shared" si="6"/>
        <v>-1.2950000000000728</v>
      </c>
      <c r="M39" s="81">
        <f t="shared" si="13"/>
        <v>49.848389457130743</v>
      </c>
      <c r="N39" s="73">
        <f t="shared" si="14"/>
        <v>-4.8100000000004002</v>
      </c>
      <c r="O39" s="73"/>
      <c r="P39" s="74">
        <f t="shared" si="1"/>
        <v>169.54689132727961</v>
      </c>
      <c r="Q39" s="117">
        <f t="shared" si="9"/>
        <v>-1.2950000000000728</v>
      </c>
      <c r="R39" s="73"/>
      <c r="S39" s="73"/>
      <c r="T39" s="73"/>
      <c r="W39" s="126"/>
      <c r="Z39" s="127"/>
    </row>
    <row r="40" spans="1:26" x14ac:dyDescent="0.25">
      <c r="A40" t="s">
        <v>40</v>
      </c>
      <c r="B40">
        <f t="shared" si="10"/>
        <v>175</v>
      </c>
      <c r="C40">
        <v>4232.8980000000001</v>
      </c>
      <c r="D40" s="54">
        <f t="shared" si="4"/>
        <v>175</v>
      </c>
      <c r="E40">
        <f t="shared" si="5"/>
        <v>-1.4380000000001019</v>
      </c>
      <c r="F40" s="59">
        <f t="shared" si="11"/>
        <v>174.54484600894691</v>
      </c>
      <c r="G40" s="55">
        <f t="shared" si="6"/>
        <v>-1.4380000000001019</v>
      </c>
      <c r="M40" s="81">
        <f t="shared" si="13"/>
        <v>54.831878596278138</v>
      </c>
      <c r="N40" s="73">
        <f t="shared" si="14"/>
        <v>-4.4040000000004511</v>
      </c>
      <c r="O40" s="73"/>
      <c r="P40" s="74">
        <f t="shared" si="1"/>
        <v>174.54484600894691</v>
      </c>
      <c r="Q40" s="117">
        <f t="shared" si="9"/>
        <v>-1.4380000000001019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41</v>
      </c>
      <c r="B41">
        <f t="shared" si="10"/>
        <v>180</v>
      </c>
      <c r="C41">
        <v>4232.7250000000004</v>
      </c>
      <c r="D41" s="54">
        <f t="shared" si="4"/>
        <v>180</v>
      </c>
      <c r="E41">
        <f t="shared" si="5"/>
        <v>-1.6109999999998763</v>
      </c>
      <c r="F41" s="59">
        <f t="shared" si="11"/>
        <v>179.5418522126653</v>
      </c>
      <c r="G41" s="55">
        <f t="shared" si="6"/>
        <v>-1.6109999999998763</v>
      </c>
      <c r="M41" s="81">
        <f t="shared" si="13"/>
        <v>59.781784049920645</v>
      </c>
      <c r="N41" s="73">
        <f t="shared" si="14"/>
        <v>-3.6980000000003201</v>
      </c>
      <c r="O41" s="73"/>
      <c r="P41" s="74">
        <f t="shared" si="1"/>
        <v>179.5418522126653</v>
      </c>
      <c r="Q41" s="117">
        <f t="shared" si="9"/>
        <v>-1.6109999999998763</v>
      </c>
      <c r="R41" s="73"/>
      <c r="S41" s="73"/>
      <c r="T41" s="73"/>
      <c r="U41" s="126"/>
      <c r="V41" s="126"/>
      <c r="W41" s="126"/>
      <c r="X41" s="128"/>
      <c r="Y41" s="128"/>
      <c r="Z41" s="127"/>
    </row>
    <row r="42" spans="1:26" x14ac:dyDescent="0.25">
      <c r="A42" t="s">
        <v>42</v>
      </c>
      <c r="B42">
        <f t="shared" si="10"/>
        <v>185</v>
      </c>
      <c r="C42">
        <v>4232.6499999999996</v>
      </c>
      <c r="D42" s="54">
        <f t="shared" si="4"/>
        <v>185</v>
      </c>
      <c r="E42">
        <f t="shared" si="5"/>
        <v>-1.6860000000006039</v>
      </c>
      <c r="F42" s="59">
        <f t="shared" si="11"/>
        <v>184.54128968102111</v>
      </c>
      <c r="G42" s="55">
        <f t="shared" si="6"/>
        <v>-1.6860000000006039</v>
      </c>
      <c r="M42" s="81">
        <f t="shared" si="13"/>
        <v>64.75539752505118</v>
      </c>
      <c r="N42" s="73">
        <f t="shared" si="14"/>
        <v>-3.1850000000004002</v>
      </c>
      <c r="O42" s="73"/>
      <c r="P42" s="74">
        <f t="shared" si="1"/>
        <v>184.54128968102111</v>
      </c>
      <c r="Q42" s="117">
        <f t="shared" si="9"/>
        <v>-1.6860000000006039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43</v>
      </c>
      <c r="B43">
        <f t="shared" si="10"/>
        <v>190</v>
      </c>
      <c r="C43">
        <v>4232.7690000000002</v>
      </c>
      <c r="D43" s="54">
        <f t="shared" si="4"/>
        <v>190</v>
      </c>
      <c r="E43">
        <f t="shared" si="5"/>
        <v>-1.5670000000000073</v>
      </c>
      <c r="F43" s="59">
        <f t="shared" si="11"/>
        <v>189.53987338043035</v>
      </c>
      <c r="G43" s="55">
        <f t="shared" si="6"/>
        <v>-1.5670000000000073</v>
      </c>
      <c r="M43" s="81">
        <f t="shared" si="13"/>
        <v>69.747607356378353</v>
      </c>
      <c r="N43" s="73">
        <f t="shared" si="14"/>
        <v>-2.9059999999999491</v>
      </c>
      <c r="O43" s="73"/>
      <c r="P43" s="74">
        <f t="shared" si="1"/>
        <v>189.53987338043035</v>
      </c>
      <c r="Q43" s="117">
        <f t="shared" si="9"/>
        <v>-1.5670000000000073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44</v>
      </c>
      <c r="B44">
        <f t="shared" si="10"/>
        <v>195</v>
      </c>
      <c r="C44">
        <v>4232.7269999999999</v>
      </c>
      <c r="D44" s="54">
        <f t="shared" si="4"/>
        <v>195</v>
      </c>
      <c r="E44">
        <f t="shared" si="5"/>
        <v>-1.6090000000003783</v>
      </c>
      <c r="F44" s="59">
        <f t="shared" si="11"/>
        <v>194.53969697731856</v>
      </c>
      <c r="G44" s="55">
        <f t="shared" si="6"/>
        <v>-1.6090000000003783</v>
      </c>
      <c r="M44" s="81">
        <f t="shared" si="13"/>
        <v>74.7287361441131</v>
      </c>
      <c r="N44" s="73">
        <f t="shared" si="14"/>
        <v>-2.4719999999997526</v>
      </c>
      <c r="O44" s="73"/>
      <c r="P44" s="74">
        <f t="shared" si="1"/>
        <v>194.53969697731856</v>
      </c>
      <c r="Q44" s="117">
        <f t="shared" si="9"/>
        <v>-1.6090000000003783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45</v>
      </c>
      <c r="B45">
        <f t="shared" si="10"/>
        <v>200</v>
      </c>
      <c r="C45">
        <v>4232.7650000000003</v>
      </c>
      <c r="D45" s="54">
        <f t="shared" si="4"/>
        <v>200</v>
      </c>
      <c r="E45">
        <f t="shared" si="5"/>
        <v>-1.5709999999999127</v>
      </c>
      <c r="F45" s="59">
        <f t="shared" si="11"/>
        <v>199.53955257523336</v>
      </c>
      <c r="G45" s="55">
        <f t="shared" si="6"/>
        <v>-1.5709999999999127</v>
      </c>
      <c r="M45" s="81">
        <f t="shared" si="13"/>
        <v>79.691016970507434</v>
      </c>
      <c r="N45" s="73">
        <f t="shared" si="14"/>
        <v>-1.8590000000003783</v>
      </c>
      <c r="O45" s="73"/>
      <c r="P45" s="74">
        <f t="shared" si="1"/>
        <v>199.53955257523336</v>
      </c>
      <c r="Q45" s="117">
        <f t="shared" si="9"/>
        <v>-1.5709999999999127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46</v>
      </c>
      <c r="B46">
        <f t="shared" si="10"/>
        <v>205</v>
      </c>
      <c r="C46">
        <v>4232.5889999999999</v>
      </c>
      <c r="D46" s="54">
        <f t="shared" si="4"/>
        <v>205</v>
      </c>
      <c r="E46">
        <f t="shared" si="5"/>
        <v>-1.7470000000002983</v>
      </c>
      <c r="F46" s="59">
        <f t="shared" si="11"/>
        <v>204.53645401512588</v>
      </c>
      <c r="G46" s="55">
        <f t="shared" si="6"/>
        <v>-1.7470000000002983</v>
      </c>
      <c r="M46" s="81">
        <f t="shared" si="13"/>
        <v>84.677382280028951</v>
      </c>
      <c r="N46" s="73">
        <f t="shared" si="14"/>
        <v>-1.4899999999997817</v>
      </c>
      <c r="O46" s="73"/>
      <c r="P46" s="74">
        <f t="shared" si="1"/>
        <v>204.53645401512588</v>
      </c>
      <c r="Q46" s="117">
        <f t="shared" si="9"/>
        <v>-1.7470000000002983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47</v>
      </c>
      <c r="B47">
        <f t="shared" si="10"/>
        <v>210</v>
      </c>
      <c r="C47">
        <v>4232.0810000000001</v>
      </c>
      <c r="D47" s="54">
        <f t="shared" si="4"/>
        <v>210</v>
      </c>
      <c r="E47">
        <f t="shared" si="5"/>
        <v>-2.2550000000001091</v>
      </c>
      <c r="F47" s="59">
        <f t="shared" si="11"/>
        <v>209.51058067213816</v>
      </c>
      <c r="G47" s="55">
        <f t="shared" si="6"/>
        <v>-2.2550000000001091</v>
      </c>
      <c r="M47" s="81">
        <f t="shared" si="13"/>
        <v>89.669195978475642</v>
      </c>
      <c r="N47" s="73">
        <f t="shared" si="14"/>
        <v>-1.2039999999997235</v>
      </c>
      <c r="O47" s="73"/>
      <c r="P47" s="74">
        <f t="shared" si="1"/>
        <v>209.51058067213816</v>
      </c>
      <c r="Q47" s="117">
        <f t="shared" si="9"/>
        <v>-2.2550000000001091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48</v>
      </c>
      <c r="B48">
        <f t="shared" si="10"/>
        <v>215</v>
      </c>
      <c r="C48">
        <v>4231.4449999999997</v>
      </c>
      <c r="D48" s="54">
        <f t="shared" si="4"/>
        <v>215</v>
      </c>
      <c r="E48">
        <f t="shared" si="5"/>
        <v>-2.8910000000005311</v>
      </c>
      <c r="F48" s="59">
        <f t="shared" si="11"/>
        <v>214.46996611793682</v>
      </c>
      <c r="G48" s="55">
        <f t="shared" si="6"/>
        <v>-2.8910000000005311</v>
      </c>
      <c r="M48" s="81">
        <f t="shared" si="13"/>
        <v>94.660247871614004</v>
      </c>
      <c r="N48" s="73">
        <f t="shared" si="14"/>
        <v>-0.90499999999974534</v>
      </c>
      <c r="O48" s="73"/>
      <c r="P48" s="74">
        <f t="shared" si="1"/>
        <v>214.46996611793682</v>
      </c>
      <c r="Q48" s="117">
        <f t="shared" si="9"/>
        <v>-2.8910000000005311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49</v>
      </c>
      <c r="B49">
        <f t="shared" si="10"/>
        <v>220</v>
      </c>
      <c r="C49">
        <v>4230.9520000000002</v>
      </c>
      <c r="D49" s="54">
        <f t="shared" si="4"/>
        <v>220</v>
      </c>
      <c r="E49">
        <f t="shared" si="5"/>
        <v>-3.3840000000000146</v>
      </c>
      <c r="F49" s="59">
        <f t="shared" si="11"/>
        <v>219.44560185621194</v>
      </c>
      <c r="G49" s="55">
        <f t="shared" si="6"/>
        <v>-3.3840000000000146</v>
      </c>
      <c r="M49" s="81">
        <f t="shared" si="13"/>
        <v>99.654436394287131</v>
      </c>
      <c r="N49" s="73">
        <f t="shared" si="14"/>
        <v>-0.66399999999975989</v>
      </c>
      <c r="O49" s="73"/>
      <c r="P49" s="74">
        <f t="shared" si="1"/>
        <v>219.44560185621194</v>
      </c>
      <c r="Q49" s="117">
        <f t="shared" si="9"/>
        <v>-3.3840000000000146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50</v>
      </c>
      <c r="B50">
        <f t="shared" si="10"/>
        <v>225</v>
      </c>
      <c r="C50">
        <v>4230.9849999999997</v>
      </c>
      <c r="D50" s="54">
        <f t="shared" si="4"/>
        <v>225</v>
      </c>
      <c r="E50">
        <f t="shared" si="5"/>
        <v>-3.3510000000005675</v>
      </c>
      <c r="F50" s="59">
        <f t="shared" si="11"/>
        <v>224.445492955026</v>
      </c>
      <c r="G50" s="55">
        <f t="shared" si="6"/>
        <v>-3.3510000000005675</v>
      </c>
      <c r="M50" s="81">
        <f t="shared" si="13"/>
        <v>104.64905109414137</v>
      </c>
      <c r="N50" s="73">
        <f t="shared" si="14"/>
        <v>-0.431999999999789</v>
      </c>
      <c r="O50" s="73"/>
      <c r="P50" s="74">
        <f t="shared" si="1"/>
        <v>224.445492955026</v>
      </c>
      <c r="Q50" s="117">
        <f t="shared" si="9"/>
        <v>-3.3510000000005675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51</v>
      </c>
      <c r="B51">
        <f t="shared" si="10"/>
        <v>230</v>
      </c>
      <c r="C51">
        <v>4231.0479999999998</v>
      </c>
      <c r="D51" s="54">
        <f t="shared" si="4"/>
        <v>230</v>
      </c>
      <c r="E51">
        <f t="shared" si="5"/>
        <v>-3.2880000000004657</v>
      </c>
      <c r="F51" s="59">
        <f t="shared" si="11"/>
        <v>229.44509603927179</v>
      </c>
      <c r="G51" s="55">
        <f t="shared" si="6"/>
        <v>-3.2880000000004657</v>
      </c>
      <c r="M51" s="81">
        <f t="shared" si="13"/>
        <v>109.64508942465888</v>
      </c>
      <c r="N51" s="73">
        <f t="shared" si="14"/>
        <v>-0.23300000000017462</v>
      </c>
      <c r="O51" s="73"/>
      <c r="P51" s="74">
        <f t="shared" si="1"/>
        <v>229.44509603927179</v>
      </c>
      <c r="Q51" s="117">
        <f t="shared" si="9"/>
        <v>-3.2880000000004657</v>
      </c>
      <c r="R51" s="73"/>
      <c r="S51" s="73"/>
      <c r="T51" s="73"/>
      <c r="U51" s="73"/>
      <c r="V51" s="73"/>
      <c r="W51" s="73"/>
      <c r="X51" s="74"/>
      <c r="Y51" s="74"/>
      <c r="Z51" s="80"/>
    </row>
    <row r="52" spans="1:26" ht="15.75" thickBot="1" x14ac:dyDescent="0.3">
      <c r="A52" t="s">
        <v>52</v>
      </c>
      <c r="B52">
        <f t="shared" si="10"/>
        <v>235</v>
      </c>
      <c r="C52">
        <v>4231.1469999999999</v>
      </c>
      <c r="D52" s="54">
        <f t="shared" si="4"/>
        <v>235</v>
      </c>
      <c r="E52">
        <f t="shared" si="5"/>
        <v>-3.1890000000003056</v>
      </c>
      <c r="F52" s="59">
        <f t="shared" si="11"/>
        <v>234.44411584319334</v>
      </c>
      <c r="G52" s="55">
        <f t="shared" si="6"/>
        <v>-3.1890000000003056</v>
      </c>
      <c r="M52" s="82">
        <f t="shared" si="13"/>
        <v>114.63965757415889</v>
      </c>
      <c r="N52" s="83">
        <f t="shared" si="14"/>
        <v>0</v>
      </c>
      <c r="O52" s="83"/>
      <c r="P52" s="84">
        <f t="shared" si="1"/>
        <v>234.44411584319334</v>
      </c>
      <c r="Q52" s="117">
        <f t="shared" si="9"/>
        <v>-3.1890000000003056</v>
      </c>
      <c r="R52" s="83"/>
      <c r="S52" s="83"/>
      <c r="T52" s="83"/>
      <c r="U52" s="83"/>
      <c r="V52" s="83"/>
      <c r="W52" s="83"/>
      <c r="X52" s="84"/>
      <c r="Y52" s="84"/>
      <c r="Z52" s="85"/>
    </row>
    <row r="53" spans="1:26" x14ac:dyDescent="0.25">
      <c r="D53" s="54"/>
      <c r="E53" s="55"/>
      <c r="F53" s="107"/>
      <c r="G53" s="55"/>
      <c r="M53" s="70"/>
      <c r="N53" s="68"/>
      <c r="O53" s="68"/>
      <c r="P53" s="70"/>
      <c r="Q53" s="68"/>
      <c r="R53" s="68"/>
      <c r="S53" s="68"/>
      <c r="T53" s="68"/>
      <c r="U53" s="68"/>
      <c r="V53" s="68"/>
      <c r="W53" s="68"/>
      <c r="X53" s="70"/>
      <c r="Y53" s="70"/>
      <c r="Z53" s="68"/>
    </row>
    <row r="54" spans="1:26" x14ac:dyDescent="0.25">
      <c r="D54" s="54"/>
      <c r="E54" s="55"/>
      <c r="F54" s="107"/>
      <c r="G54" s="55"/>
      <c r="H54" s="54"/>
      <c r="I54" s="12"/>
      <c r="J54" s="55"/>
      <c r="X54" s="12"/>
      <c r="Y54" s="12"/>
    </row>
    <row r="55" spans="1:26" x14ac:dyDescent="0.25">
      <c r="D55" s="54"/>
      <c r="E55" s="55"/>
      <c r="F55" s="107"/>
      <c r="G55" s="55"/>
      <c r="H55" s="54"/>
      <c r="I55" s="12"/>
      <c r="J55" s="55"/>
      <c r="X55" s="12"/>
      <c r="Y55" s="12"/>
    </row>
    <row r="56" spans="1:26" x14ac:dyDescent="0.25">
      <c r="D56" s="54"/>
      <c r="E56" s="55"/>
      <c r="F56" s="107"/>
      <c r="G56" s="55"/>
      <c r="H56" s="54"/>
      <c r="I56" s="12"/>
      <c r="J56" s="55"/>
      <c r="X56" s="12"/>
      <c r="Y56" s="12"/>
    </row>
    <row r="57" spans="1:26" x14ac:dyDescent="0.25">
      <c r="D57" s="54"/>
      <c r="E57" s="55"/>
      <c r="F57" s="107"/>
      <c r="G57" s="55"/>
      <c r="H57" s="54"/>
      <c r="I57" s="12"/>
      <c r="J57" s="55"/>
      <c r="X57" s="12"/>
      <c r="Y57" s="12"/>
    </row>
    <row r="58" spans="1:26" x14ac:dyDescent="0.25">
      <c r="D58" s="54"/>
      <c r="E58" s="55"/>
      <c r="F58" s="107"/>
      <c r="G58" s="55"/>
      <c r="H58" s="54"/>
      <c r="I58" s="12"/>
      <c r="J58" s="55"/>
    </row>
    <row r="59" spans="1:26" x14ac:dyDescent="0.25">
      <c r="D59" s="54"/>
      <c r="E59" s="55"/>
      <c r="F59" s="107"/>
      <c r="G59" s="55"/>
      <c r="H59" s="65"/>
      <c r="I59" s="64"/>
      <c r="J59" s="66"/>
    </row>
    <row r="60" spans="1:26" x14ac:dyDescent="0.25">
      <c r="D60" s="54"/>
      <c r="E60" s="55"/>
      <c r="F60" s="107"/>
      <c r="I60" s="12"/>
    </row>
    <row r="61" spans="1:26" x14ac:dyDescent="0.25">
      <c r="D61" s="54"/>
      <c r="E61" s="55"/>
      <c r="F61" s="107"/>
      <c r="I61" s="12"/>
    </row>
    <row r="62" spans="1:26" x14ac:dyDescent="0.25">
      <c r="D62" s="54"/>
      <c r="E62" s="55"/>
      <c r="F62" s="107"/>
      <c r="I62" s="12"/>
    </row>
    <row r="63" spans="1:26" x14ac:dyDescent="0.25">
      <c r="D63" s="54"/>
      <c r="E63" s="55"/>
      <c r="F63" s="107"/>
      <c r="I63" s="12"/>
    </row>
    <row r="64" spans="1:26" x14ac:dyDescent="0.25">
      <c r="D64" s="54"/>
      <c r="E64" s="55"/>
      <c r="F64" s="107"/>
      <c r="I64" s="12"/>
    </row>
    <row r="65" spans="4:9" x14ac:dyDescent="0.25">
      <c r="D65" s="54"/>
      <c r="E65" s="55"/>
      <c r="F65" s="107"/>
      <c r="I65" s="12"/>
    </row>
    <row r="66" spans="4:9" x14ac:dyDescent="0.25">
      <c r="D66" s="54"/>
      <c r="E66" s="55"/>
      <c r="F66" s="107"/>
      <c r="I66" s="12"/>
    </row>
    <row r="67" spans="4:9" x14ac:dyDescent="0.25">
      <c r="D67" s="54"/>
      <c r="E67" s="55"/>
      <c r="F67" s="107"/>
      <c r="I67" s="12"/>
    </row>
    <row r="68" spans="4:9" x14ac:dyDescent="0.25">
      <c r="D68" s="54"/>
      <c r="E68" s="55"/>
      <c r="F68" s="107"/>
      <c r="I68" s="12"/>
    </row>
    <row r="69" spans="4:9" x14ac:dyDescent="0.25">
      <c r="D69" s="54"/>
      <c r="E69" s="55"/>
      <c r="F69" s="107"/>
      <c r="I69" s="12"/>
    </row>
    <row r="70" spans="4:9" x14ac:dyDescent="0.25">
      <c r="D70" s="54"/>
      <c r="E70" s="55"/>
      <c r="F70" s="107"/>
      <c r="I70" s="12"/>
    </row>
    <row r="71" spans="4:9" x14ac:dyDescent="0.25">
      <c r="D71" s="54"/>
      <c r="E71" s="55"/>
      <c r="F71" s="107"/>
      <c r="I71" s="12"/>
    </row>
    <row r="72" spans="4:9" x14ac:dyDescent="0.25">
      <c r="D72" s="54"/>
      <c r="E72" s="55"/>
      <c r="F72" s="107"/>
      <c r="I72" s="12"/>
    </row>
    <row r="73" spans="4:9" x14ac:dyDescent="0.25">
      <c r="D73" s="54"/>
      <c r="E73" s="55"/>
      <c r="F73" s="107"/>
      <c r="I73" s="12"/>
    </row>
    <row r="74" spans="4:9" x14ac:dyDescent="0.25">
      <c r="D74" s="54"/>
      <c r="E74" s="55"/>
      <c r="F74" s="107"/>
      <c r="I74" s="12"/>
    </row>
    <row r="75" spans="4:9" x14ac:dyDescent="0.25">
      <c r="D75" s="54"/>
      <c r="E75" s="55"/>
      <c r="F75" s="107"/>
      <c r="I75" s="12"/>
    </row>
    <row r="76" spans="4:9" x14ac:dyDescent="0.25">
      <c r="D76" s="54"/>
      <c r="E76" s="55"/>
      <c r="F76" s="107"/>
      <c r="I76" s="12"/>
    </row>
    <row r="77" spans="4:9" x14ac:dyDescent="0.25">
      <c r="D77" s="56"/>
      <c r="E77" s="57"/>
      <c r="F77" s="108"/>
      <c r="I77" s="12"/>
    </row>
  </sheetData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EBF8-F40D-44B1-B355-EF86331A3B05}">
  <dimension ref="A1:Z77"/>
  <sheetViews>
    <sheetView workbookViewId="0">
      <selection activeCell="U65" sqref="U65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336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MAX(J53:J76)</f>
        <v>-5.0549999999993815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s="1" customFormat="1" ht="15.75" x14ac:dyDescent="0.25">
      <c r="A2" s="135" t="s">
        <v>332</v>
      </c>
      <c r="B2" s="136">
        <v>5</v>
      </c>
      <c r="D2" s="62"/>
      <c r="F2" s="62"/>
      <c r="G2" s="58"/>
      <c r="H2" s="62"/>
      <c r="M2" s="131"/>
      <c r="N2" s="132"/>
      <c r="O2" s="132"/>
      <c r="P2" s="133"/>
      <c r="Q2" s="132"/>
      <c r="R2" s="132"/>
      <c r="S2" s="132"/>
      <c r="T2" s="132"/>
      <c r="U2" s="67"/>
      <c r="V2" s="67"/>
      <c r="W2" s="67"/>
      <c r="X2" s="67"/>
      <c r="Y2" s="67"/>
      <c r="Z2" s="134"/>
    </row>
    <row r="3" spans="1:26" x14ac:dyDescent="0.25">
      <c r="A3" s="1" t="s">
        <v>175</v>
      </c>
      <c r="B3">
        <v>5</v>
      </c>
      <c r="C3" s="1"/>
      <c r="D3" s="62"/>
      <c r="E3" s="1"/>
      <c r="F3" s="62"/>
      <c r="G3" s="58"/>
      <c r="H3" s="62"/>
      <c r="I3" s="1"/>
      <c r="J3" s="119"/>
      <c r="K3" s="1"/>
      <c r="L3" s="1"/>
      <c r="M3" s="79" t="s">
        <v>328</v>
      </c>
      <c r="N3" s="72"/>
      <c r="O3" s="73"/>
      <c r="P3" s="71" t="s">
        <v>325</v>
      </c>
      <c r="Q3" s="73"/>
      <c r="R3" s="73"/>
      <c r="S3" s="73"/>
      <c r="T3" s="73"/>
      <c r="Z3" s="80"/>
    </row>
    <row r="4" spans="1:26" x14ac:dyDescent="0.25">
      <c r="A4" s="1" t="s">
        <v>175</v>
      </c>
      <c r="B4" s="109"/>
      <c r="C4" s="109"/>
      <c r="D4" s="110"/>
      <c r="E4" s="109"/>
      <c r="F4" s="110"/>
      <c r="G4" s="111"/>
      <c r="H4" s="120"/>
      <c r="I4" s="120"/>
      <c r="J4" s="121"/>
      <c r="K4" s="114"/>
      <c r="L4" s="114" t="s">
        <v>175</v>
      </c>
      <c r="M4" s="122"/>
      <c r="N4" s="120"/>
      <c r="O4" s="116"/>
      <c r="P4" s="71"/>
      <c r="Q4" s="116"/>
      <c r="R4" s="73"/>
      <c r="S4" s="73"/>
      <c r="T4" s="116"/>
      <c r="U4" s="116">
        <f>-B3</f>
        <v>-5</v>
      </c>
      <c r="V4" s="116">
        <f t="shared" ref="V4:V28" si="0">J52</f>
        <v>-5.5549999999993815</v>
      </c>
      <c r="W4" s="116"/>
      <c r="X4" s="117">
        <f t="shared" ref="X4:X28" si="1">M52-(MIN($M$53:$M$76))</f>
        <v>-5</v>
      </c>
      <c r="Y4" s="117">
        <f>V4</f>
        <v>-5.5549999999993815</v>
      </c>
      <c r="Z4" s="118"/>
    </row>
    <row r="5" spans="1:26" x14ac:dyDescent="0.25">
      <c r="A5" t="s">
        <v>5</v>
      </c>
      <c r="B5">
        <v>0</v>
      </c>
      <c r="C5">
        <v>4585.4139999999998</v>
      </c>
      <c r="D5" s="54">
        <f>B5</f>
        <v>0</v>
      </c>
      <c r="E5">
        <f>C5-(MAX($C$5:$C$52))</f>
        <v>0</v>
      </c>
      <c r="F5" s="54">
        <v>0</v>
      </c>
      <c r="G5" s="55">
        <f>E5</f>
        <v>0</v>
      </c>
      <c r="J5" s="63"/>
      <c r="M5" s="15"/>
      <c r="O5" s="73"/>
      <c r="P5" s="117">
        <f t="shared" ref="P5:P68" si="2">F5</f>
        <v>0</v>
      </c>
      <c r="Q5" s="116">
        <f t="shared" ref="Q5:Q68" si="3">G5-$S$1</f>
        <v>5.0549999999993815</v>
      </c>
      <c r="R5" s="116"/>
      <c r="S5" s="116"/>
      <c r="T5" s="73"/>
      <c r="U5" s="73">
        <v>0</v>
      </c>
      <c r="V5" s="116">
        <f t="shared" si="0"/>
        <v>-5.0549999999993815</v>
      </c>
      <c r="W5" s="73"/>
      <c r="X5" s="117">
        <f t="shared" si="1"/>
        <v>0</v>
      </c>
      <c r="Y5" s="117">
        <f t="shared" ref="Y5:Y28" si="4">V5</f>
        <v>-5.0549999999993815</v>
      </c>
      <c r="Z5" s="80"/>
    </row>
    <row r="6" spans="1:26" x14ac:dyDescent="0.25">
      <c r="A6" t="s">
        <v>6</v>
      </c>
      <c r="B6">
        <f>B5+$B$2</f>
        <v>5</v>
      </c>
      <c r="C6">
        <v>4585.2070000000003</v>
      </c>
      <c r="D6" s="54">
        <f t="shared" ref="D6:D69" si="5">B6</f>
        <v>5</v>
      </c>
      <c r="E6">
        <f t="shared" ref="E6:E69" si="6">C6-(MAX($C$5:$C$52))</f>
        <v>-0.2069999999994252</v>
      </c>
      <c r="F6" s="59">
        <f>F5+(SQRT((D6-D5)^2-(E6-E5)^2))</f>
        <v>4.9957132623880884</v>
      </c>
      <c r="G6" s="55">
        <f t="shared" ref="G6:G69" si="7">E6</f>
        <v>-0.2069999999994252</v>
      </c>
      <c r="J6" s="63"/>
      <c r="M6" s="15"/>
      <c r="O6" s="73"/>
      <c r="P6" s="74">
        <f t="shared" si="2"/>
        <v>4.9957132623880884</v>
      </c>
      <c r="Q6" s="73">
        <f t="shared" si="3"/>
        <v>4.8479999999999563</v>
      </c>
      <c r="R6" s="73"/>
      <c r="S6" s="73"/>
      <c r="T6" s="73"/>
      <c r="U6" s="73">
        <f>U5+$B$2</f>
        <v>5</v>
      </c>
      <c r="V6" s="116">
        <f t="shared" si="0"/>
        <v>-5.5990000000001601</v>
      </c>
      <c r="W6" s="73"/>
      <c r="X6" s="117">
        <f t="shared" si="1"/>
        <v>4.9783305434653471</v>
      </c>
      <c r="Y6" s="117">
        <f t="shared" si="4"/>
        <v>-5.5990000000001601</v>
      </c>
      <c r="Z6" s="80"/>
    </row>
    <row r="7" spans="1:26" x14ac:dyDescent="0.25">
      <c r="A7" t="s">
        <v>7</v>
      </c>
      <c r="B7">
        <f t="shared" ref="B7:B70" si="8">B6+$B$2</f>
        <v>10</v>
      </c>
      <c r="C7">
        <v>4584.8919999999998</v>
      </c>
      <c r="D7" s="54">
        <f t="shared" si="5"/>
        <v>10</v>
      </c>
      <c r="E7">
        <f t="shared" si="6"/>
        <v>-0.52199999999993452</v>
      </c>
      <c r="F7" s="59">
        <f t="shared" ref="F7:F70" si="9">F6+(SQRT((D7-D6)^2-(E7-E6)^2))</f>
        <v>9.9857808972002342</v>
      </c>
      <c r="G7" s="55">
        <f t="shared" si="7"/>
        <v>-0.52199999999993452</v>
      </c>
      <c r="J7" s="63"/>
      <c r="M7" s="15"/>
      <c r="O7" s="73"/>
      <c r="P7" s="74">
        <f t="shared" si="2"/>
        <v>9.9857808972002342</v>
      </c>
      <c r="Q7" s="73">
        <f t="shared" si="3"/>
        <v>4.532999999999447</v>
      </c>
      <c r="R7" s="73"/>
      <c r="S7" s="73"/>
      <c r="T7" s="73"/>
      <c r="U7" s="73">
        <f t="shared" ref="U7:U28" si="10">U6+$B$2</f>
        <v>10</v>
      </c>
      <c r="V7" s="116">
        <f t="shared" si="0"/>
        <v>-5.8779999999997017</v>
      </c>
      <c r="W7" s="73"/>
      <c r="X7" s="117">
        <f t="shared" si="1"/>
        <v>9.9582196988582439</v>
      </c>
      <c r="Y7" s="117">
        <f t="shared" si="4"/>
        <v>-5.8779999999997017</v>
      </c>
      <c r="Z7" s="80"/>
    </row>
    <row r="8" spans="1:26" x14ac:dyDescent="0.25">
      <c r="A8" t="s">
        <v>8</v>
      </c>
      <c r="B8">
        <f t="shared" si="8"/>
        <v>15</v>
      </c>
      <c r="C8">
        <v>4584.22</v>
      </c>
      <c r="D8" s="54">
        <f t="shared" si="5"/>
        <v>15</v>
      </c>
      <c r="E8">
        <f t="shared" si="6"/>
        <v>-1.1939999999995052</v>
      </c>
      <c r="F8" s="59">
        <f t="shared" si="9"/>
        <v>14.940416706217945</v>
      </c>
      <c r="G8" s="55">
        <f t="shared" si="7"/>
        <v>-1.1939999999995052</v>
      </c>
      <c r="J8" s="63"/>
      <c r="M8" s="15"/>
      <c r="O8" s="73"/>
      <c r="P8" s="74">
        <f t="shared" si="2"/>
        <v>14.940416706217945</v>
      </c>
      <c r="Q8" s="73">
        <f t="shared" si="3"/>
        <v>3.8609999999998763</v>
      </c>
      <c r="R8" s="73"/>
      <c r="S8" s="73"/>
      <c r="T8" s="73"/>
      <c r="U8" s="73">
        <f t="shared" si="10"/>
        <v>15</v>
      </c>
      <c r="V8" s="116">
        <f t="shared" si="0"/>
        <v>-6.331000000000131</v>
      </c>
      <c r="W8" s="73"/>
      <c r="X8" s="117">
        <f t="shared" si="1"/>
        <v>14.880170531607519</v>
      </c>
      <c r="Y8" s="117">
        <f t="shared" si="4"/>
        <v>-6.331000000000131</v>
      </c>
      <c r="Z8" s="80"/>
    </row>
    <row r="9" spans="1:26" x14ac:dyDescent="0.25">
      <c r="A9" t="s">
        <v>9</v>
      </c>
      <c r="B9">
        <f t="shared" si="8"/>
        <v>20</v>
      </c>
      <c r="C9">
        <v>4583.8419999999996</v>
      </c>
      <c r="D9" s="54">
        <f t="shared" si="5"/>
        <v>20</v>
      </c>
      <c r="E9">
        <f t="shared" si="6"/>
        <v>-1.5720000000001164</v>
      </c>
      <c r="F9" s="59">
        <f t="shared" si="9"/>
        <v>19.92610783182927</v>
      </c>
      <c r="G9" s="55">
        <f t="shared" si="7"/>
        <v>-1.5720000000001164</v>
      </c>
      <c r="J9" s="63"/>
      <c r="M9" s="15"/>
      <c r="O9" s="73"/>
      <c r="P9" s="74">
        <f t="shared" si="2"/>
        <v>19.92610783182927</v>
      </c>
      <c r="Q9" s="73">
        <f t="shared" si="3"/>
        <v>3.4829999999992651</v>
      </c>
      <c r="R9" s="73"/>
      <c r="S9" s="73"/>
      <c r="T9" s="73"/>
      <c r="U9" s="73">
        <f t="shared" si="10"/>
        <v>20</v>
      </c>
      <c r="V9" s="116">
        <f t="shared" si="0"/>
        <v>-6.6369999999997162</v>
      </c>
      <c r="W9" s="73"/>
      <c r="X9" s="117">
        <f t="shared" si="1"/>
        <v>19.731801082257306</v>
      </c>
      <c r="Y9" s="117">
        <f t="shared" si="4"/>
        <v>-6.6369999999997162</v>
      </c>
      <c r="Z9" s="80"/>
    </row>
    <row r="10" spans="1:26" x14ac:dyDescent="0.25">
      <c r="A10" t="s">
        <v>10</v>
      </c>
      <c r="B10">
        <f t="shared" si="8"/>
        <v>25</v>
      </c>
      <c r="C10">
        <v>4583.0839999999998</v>
      </c>
      <c r="D10" s="54">
        <f t="shared" si="5"/>
        <v>25</v>
      </c>
      <c r="E10">
        <f t="shared" si="6"/>
        <v>-2.3299999999999272</v>
      </c>
      <c r="F10" s="59">
        <f t="shared" si="9"/>
        <v>24.868317459111413</v>
      </c>
      <c r="G10" s="55">
        <f t="shared" si="7"/>
        <v>-2.3299999999999272</v>
      </c>
      <c r="J10" s="63"/>
      <c r="M10" s="15"/>
      <c r="O10" s="73"/>
      <c r="P10" s="74">
        <f t="shared" si="2"/>
        <v>24.868317459111413</v>
      </c>
      <c r="Q10" s="73">
        <f t="shared" si="3"/>
        <v>2.7249999999994543</v>
      </c>
      <c r="R10" s="73"/>
      <c r="S10" s="73"/>
      <c r="T10" s="73"/>
      <c r="U10" s="73">
        <f t="shared" si="10"/>
        <v>25</v>
      </c>
      <c r="V10" s="116">
        <f t="shared" si="0"/>
        <v>-7.0850000000000364</v>
      </c>
      <c r="W10" s="73"/>
      <c r="X10" s="117">
        <f t="shared" si="1"/>
        <v>24.516631173284594</v>
      </c>
      <c r="Y10" s="117">
        <f t="shared" si="4"/>
        <v>-7.0850000000000364</v>
      </c>
      <c r="Z10" s="80"/>
    </row>
    <row r="11" spans="1:26" x14ac:dyDescent="0.25">
      <c r="A11" t="s">
        <v>11</v>
      </c>
      <c r="B11">
        <f t="shared" si="8"/>
        <v>30</v>
      </c>
      <c r="C11">
        <v>4582.4480000000003</v>
      </c>
      <c r="D11" s="54">
        <f t="shared" si="5"/>
        <v>30</v>
      </c>
      <c r="E11">
        <f t="shared" si="6"/>
        <v>-2.9659999999994398</v>
      </c>
      <c r="F11" s="59">
        <f t="shared" si="9"/>
        <v>29.827702904910179</v>
      </c>
      <c r="G11" s="55">
        <f t="shared" si="7"/>
        <v>-2.9659999999994398</v>
      </c>
      <c r="J11" s="63"/>
      <c r="M11" s="15"/>
      <c r="O11" s="73"/>
      <c r="P11" s="74">
        <f t="shared" si="2"/>
        <v>29.827702904910179</v>
      </c>
      <c r="Q11" s="73">
        <f t="shared" si="3"/>
        <v>2.0889999999999418</v>
      </c>
      <c r="R11" s="73"/>
      <c r="S11" s="73"/>
      <c r="T11" s="73"/>
      <c r="U11" s="73">
        <f t="shared" si="10"/>
        <v>30</v>
      </c>
      <c r="V11" s="116">
        <f t="shared" si="0"/>
        <v>-7.5549999999993815</v>
      </c>
      <c r="W11" s="73"/>
      <c r="X11" s="117">
        <f t="shared" si="1"/>
        <v>29.443851484981764</v>
      </c>
      <c r="Y11" s="117">
        <f t="shared" si="4"/>
        <v>-7.5549999999993815</v>
      </c>
      <c r="Z11" s="80"/>
    </row>
    <row r="12" spans="1:26" x14ac:dyDescent="0.25">
      <c r="A12" t="s">
        <v>12</v>
      </c>
      <c r="B12">
        <f t="shared" si="8"/>
        <v>35</v>
      </c>
      <c r="C12">
        <v>4582.0439999999999</v>
      </c>
      <c r="D12" s="54">
        <f t="shared" si="5"/>
        <v>35</v>
      </c>
      <c r="E12">
        <f t="shared" si="6"/>
        <v>-3.3699999999998909</v>
      </c>
      <c r="F12" s="59">
        <f t="shared" si="9"/>
        <v>34.811354578131294</v>
      </c>
      <c r="G12" s="55">
        <f t="shared" si="7"/>
        <v>-3.3699999999998909</v>
      </c>
      <c r="J12" s="63"/>
      <c r="M12" s="15"/>
      <c r="O12" s="73"/>
      <c r="P12" s="74">
        <f t="shared" si="2"/>
        <v>34.811354578131294</v>
      </c>
      <c r="Q12" s="73">
        <f t="shared" si="3"/>
        <v>1.6849999999994907</v>
      </c>
      <c r="R12" s="73"/>
      <c r="S12" s="73"/>
      <c r="T12" s="73"/>
      <c r="U12" s="73">
        <f t="shared" si="10"/>
        <v>35</v>
      </c>
      <c r="V12" s="116">
        <f t="shared" si="0"/>
        <v>-8.4200000000000728</v>
      </c>
      <c r="W12" s="73"/>
      <c r="X12" s="117">
        <f t="shared" si="1"/>
        <v>34.411484321655536</v>
      </c>
      <c r="Y12" s="117">
        <f t="shared" si="4"/>
        <v>-8.4200000000000728</v>
      </c>
      <c r="Z12" s="80"/>
    </row>
    <row r="13" spans="1:26" x14ac:dyDescent="0.25">
      <c r="A13" t="s">
        <v>13</v>
      </c>
      <c r="B13">
        <f t="shared" si="8"/>
        <v>40</v>
      </c>
      <c r="C13">
        <v>4581.6779999999999</v>
      </c>
      <c r="D13" s="54">
        <f t="shared" si="5"/>
        <v>40</v>
      </c>
      <c r="E13">
        <f t="shared" si="6"/>
        <v>-3.7359999999998763</v>
      </c>
      <c r="F13" s="59">
        <f t="shared" si="9"/>
        <v>39.797940985685059</v>
      </c>
      <c r="G13" s="55">
        <f t="shared" si="7"/>
        <v>-3.7359999999998763</v>
      </c>
      <c r="J13" s="63"/>
      <c r="M13" s="15"/>
      <c r="O13" s="73"/>
      <c r="P13" s="74">
        <f t="shared" si="2"/>
        <v>39.797940985685059</v>
      </c>
      <c r="Q13" s="73">
        <f t="shared" si="3"/>
        <v>1.3189999999995052</v>
      </c>
      <c r="R13" s="73"/>
      <c r="S13" s="73"/>
      <c r="T13" s="73"/>
      <c r="U13" s="73">
        <f t="shared" si="10"/>
        <v>40</v>
      </c>
      <c r="V13" s="116">
        <f t="shared" si="0"/>
        <v>-9.2899999999999636</v>
      </c>
      <c r="W13" s="73"/>
      <c r="X13" s="117">
        <f t="shared" si="1"/>
        <v>39.410828178603168</v>
      </c>
      <c r="Y13" s="117">
        <f t="shared" si="4"/>
        <v>-9.2899999999999636</v>
      </c>
      <c r="Z13" s="80"/>
    </row>
    <row r="14" spans="1:26" x14ac:dyDescent="0.25">
      <c r="A14" t="s">
        <v>14</v>
      </c>
      <c r="B14">
        <f t="shared" si="8"/>
        <v>45</v>
      </c>
      <c r="C14">
        <v>4581.3739999999998</v>
      </c>
      <c r="D14" s="54">
        <f t="shared" si="5"/>
        <v>45</v>
      </c>
      <c r="E14">
        <f t="shared" si="6"/>
        <v>-4.0399999999999636</v>
      </c>
      <c r="F14" s="59">
        <f t="shared" si="9"/>
        <v>44.788690829145452</v>
      </c>
      <c r="G14" s="55">
        <f t="shared" si="7"/>
        <v>-4.0399999999999636</v>
      </c>
      <c r="J14" s="63"/>
      <c r="M14" s="15"/>
      <c r="O14" s="73"/>
      <c r="P14" s="74">
        <f t="shared" si="2"/>
        <v>44.788690829145452</v>
      </c>
      <c r="Q14" s="73">
        <f t="shared" si="3"/>
        <v>1.0149999999994179</v>
      </c>
      <c r="R14" s="73"/>
      <c r="S14" s="73"/>
      <c r="T14" s="73"/>
      <c r="U14" s="73">
        <f t="shared" si="10"/>
        <v>45</v>
      </c>
      <c r="V14" s="116">
        <f t="shared" si="0"/>
        <v>-10.030999999999949</v>
      </c>
      <c r="W14" s="73"/>
      <c r="X14" s="117">
        <f t="shared" si="1"/>
        <v>44.369956731080919</v>
      </c>
      <c r="Y14" s="117">
        <f t="shared" si="4"/>
        <v>-10.030999999999949</v>
      </c>
      <c r="Z14" s="80"/>
    </row>
    <row r="15" spans="1:26" x14ac:dyDescent="0.25">
      <c r="A15" t="s">
        <v>15</v>
      </c>
      <c r="B15">
        <f t="shared" si="8"/>
        <v>50</v>
      </c>
      <c r="C15">
        <v>4580.8149999999996</v>
      </c>
      <c r="D15" s="54">
        <f t="shared" si="5"/>
        <v>50</v>
      </c>
      <c r="E15">
        <f t="shared" si="6"/>
        <v>-4.5990000000001601</v>
      </c>
      <c r="F15" s="59">
        <f t="shared" si="9"/>
        <v>49.757344469720508</v>
      </c>
      <c r="G15" s="55">
        <f t="shared" si="7"/>
        <v>-4.5990000000001601</v>
      </c>
      <c r="J15" s="63"/>
      <c r="M15" s="15"/>
      <c r="O15" s="73"/>
      <c r="P15" s="74">
        <f t="shared" si="2"/>
        <v>49.757344469720508</v>
      </c>
      <c r="Q15" s="73">
        <f t="shared" si="3"/>
        <v>0.45599999999922147</v>
      </c>
      <c r="R15" s="73"/>
      <c r="S15" s="73"/>
      <c r="T15" s="73"/>
      <c r="U15" s="73">
        <f t="shared" si="10"/>
        <v>50</v>
      </c>
      <c r="V15" s="116">
        <f t="shared" si="0"/>
        <v>-10.936999999999898</v>
      </c>
      <c r="W15" s="73"/>
      <c r="X15" s="117">
        <f t="shared" si="1"/>
        <v>49.149598558665929</v>
      </c>
      <c r="Y15" s="117">
        <f t="shared" si="4"/>
        <v>-10.936999999999898</v>
      </c>
      <c r="Z15" s="80"/>
    </row>
    <row r="16" spans="1:26" x14ac:dyDescent="0.25">
      <c r="A16" t="s">
        <v>16</v>
      </c>
      <c r="B16">
        <f t="shared" si="8"/>
        <v>55</v>
      </c>
      <c r="C16">
        <v>4580.366</v>
      </c>
      <c r="D16" s="54">
        <f t="shared" si="5"/>
        <v>55</v>
      </c>
      <c r="E16">
        <f t="shared" si="6"/>
        <v>-5.0479999999997744</v>
      </c>
      <c r="F16" s="59">
        <f t="shared" si="9"/>
        <v>54.737143562053483</v>
      </c>
      <c r="G16" s="55">
        <f t="shared" si="7"/>
        <v>-5.0479999999997744</v>
      </c>
      <c r="M16" s="15"/>
      <c r="O16" s="73"/>
      <c r="P16" s="74">
        <f t="shared" si="2"/>
        <v>54.737143562053483</v>
      </c>
      <c r="Q16" s="73">
        <f t="shared" si="3"/>
        <v>6.9999999996070983E-3</v>
      </c>
      <c r="R16" s="73"/>
      <c r="S16" s="73"/>
      <c r="T16" s="73"/>
      <c r="U16" s="73">
        <f t="shared" si="10"/>
        <v>55</v>
      </c>
      <c r="V16" s="116">
        <f t="shared" si="0"/>
        <v>-11.483999999999469</v>
      </c>
      <c r="W16" s="73"/>
      <c r="X16" s="117">
        <f t="shared" si="1"/>
        <v>54.128115506512955</v>
      </c>
      <c r="Y16" s="117">
        <f t="shared" si="4"/>
        <v>-11.483999999999469</v>
      </c>
      <c r="Z16" s="80"/>
    </row>
    <row r="17" spans="1:26" x14ac:dyDescent="0.25">
      <c r="A17" t="s">
        <v>17</v>
      </c>
      <c r="B17">
        <f t="shared" si="8"/>
        <v>60</v>
      </c>
      <c r="C17">
        <v>4580.3590000000004</v>
      </c>
      <c r="D17" s="54">
        <f t="shared" si="5"/>
        <v>60</v>
      </c>
      <c r="E17">
        <f t="shared" si="6"/>
        <v>-5.0549999999993815</v>
      </c>
      <c r="F17" s="59">
        <f t="shared" si="9"/>
        <v>59.73713866205108</v>
      </c>
      <c r="G17" s="55">
        <f t="shared" si="7"/>
        <v>-5.0549999999993815</v>
      </c>
      <c r="M17" s="15"/>
      <c r="O17" s="73"/>
      <c r="P17" s="74">
        <f t="shared" si="2"/>
        <v>59.73713866205108</v>
      </c>
      <c r="Q17" s="73">
        <f t="shared" si="3"/>
        <v>0</v>
      </c>
      <c r="R17" s="73"/>
      <c r="S17" s="73"/>
      <c r="T17" s="73"/>
      <c r="U17" s="73">
        <f t="shared" si="10"/>
        <v>60</v>
      </c>
      <c r="V17" s="116">
        <f t="shared" si="0"/>
        <v>-12.480999999999767</v>
      </c>
      <c r="W17" s="73"/>
      <c r="X17" s="117">
        <f t="shared" si="1"/>
        <v>57.730879861837394</v>
      </c>
      <c r="Y17" s="117">
        <f t="shared" si="4"/>
        <v>-12.480999999999767</v>
      </c>
      <c r="Z17" s="80"/>
    </row>
    <row r="18" spans="1:26" x14ac:dyDescent="0.25">
      <c r="A18" t="s">
        <v>18</v>
      </c>
      <c r="B18">
        <f t="shared" si="8"/>
        <v>65</v>
      </c>
      <c r="C18">
        <v>4579.8149999999996</v>
      </c>
      <c r="D18" s="54">
        <f t="shared" si="5"/>
        <v>65</v>
      </c>
      <c r="E18">
        <f t="shared" si="6"/>
        <v>-5.5990000000001601</v>
      </c>
      <c r="F18" s="59">
        <f t="shared" si="9"/>
        <v>64.707456961717526</v>
      </c>
      <c r="G18" s="55">
        <f t="shared" si="7"/>
        <v>-5.5990000000001601</v>
      </c>
      <c r="M18" s="15"/>
      <c r="O18" s="73"/>
      <c r="P18" s="74">
        <f t="shared" si="2"/>
        <v>64.707456961717526</v>
      </c>
      <c r="Q18" s="73">
        <f t="shared" si="3"/>
        <v>-0.54400000000077853</v>
      </c>
      <c r="R18" s="73"/>
      <c r="S18" s="73"/>
      <c r="T18" s="73"/>
      <c r="U18" s="73">
        <f t="shared" si="10"/>
        <v>65</v>
      </c>
      <c r="V18" s="116">
        <f t="shared" si="0"/>
        <v>-13.300000000000182</v>
      </c>
      <c r="W18" s="73"/>
      <c r="X18" s="117">
        <f t="shared" si="1"/>
        <v>62.684561220180882</v>
      </c>
      <c r="Y18" s="117">
        <f t="shared" si="4"/>
        <v>-13.300000000000182</v>
      </c>
      <c r="Z18" s="80"/>
    </row>
    <row r="19" spans="1:26" x14ac:dyDescent="0.25">
      <c r="A19" t="s">
        <v>19</v>
      </c>
      <c r="B19">
        <f t="shared" si="8"/>
        <v>70</v>
      </c>
      <c r="C19">
        <v>4579.5360000000001</v>
      </c>
      <c r="D19" s="54">
        <f t="shared" si="5"/>
        <v>70</v>
      </c>
      <c r="E19">
        <f t="shared" si="6"/>
        <v>-5.8779999999997017</v>
      </c>
      <c r="F19" s="59">
        <f t="shared" si="9"/>
        <v>69.699666793044756</v>
      </c>
      <c r="G19" s="55">
        <f t="shared" si="7"/>
        <v>-5.8779999999997017</v>
      </c>
      <c r="M19" s="15"/>
      <c r="O19" s="73"/>
      <c r="P19" s="74">
        <f t="shared" si="2"/>
        <v>69.699666793044756</v>
      </c>
      <c r="Q19" s="73">
        <f t="shared" si="3"/>
        <v>-0.82300000000032014</v>
      </c>
      <c r="R19" s="73"/>
      <c r="S19" s="73"/>
      <c r="T19" s="73"/>
      <c r="U19" s="73">
        <f t="shared" si="10"/>
        <v>70</v>
      </c>
      <c r="V19" s="116">
        <f t="shared" si="0"/>
        <v>-13.773000000000138</v>
      </c>
      <c r="W19" s="73"/>
      <c r="X19" s="117">
        <f t="shared" si="1"/>
        <v>67.658071449385176</v>
      </c>
      <c r="Y19" s="117">
        <f t="shared" si="4"/>
        <v>-13.773000000000138</v>
      </c>
      <c r="Z19" s="80"/>
    </row>
    <row r="20" spans="1:26" x14ac:dyDescent="0.25">
      <c r="A20" t="s">
        <v>20</v>
      </c>
      <c r="B20">
        <f t="shared" si="8"/>
        <v>75</v>
      </c>
      <c r="C20">
        <v>4579.0829999999996</v>
      </c>
      <c r="D20" s="54">
        <f t="shared" si="5"/>
        <v>75</v>
      </c>
      <c r="E20">
        <f t="shared" si="6"/>
        <v>-6.331000000000131</v>
      </c>
      <c r="F20" s="59">
        <f t="shared" si="9"/>
        <v>74.679103608589216</v>
      </c>
      <c r="G20" s="55">
        <f t="shared" si="7"/>
        <v>-6.331000000000131</v>
      </c>
      <c r="M20" s="15"/>
      <c r="O20" s="73"/>
      <c r="P20" s="74">
        <f t="shared" si="2"/>
        <v>74.679103608589216</v>
      </c>
      <c r="Q20" s="73">
        <f t="shared" si="3"/>
        <v>-1.2760000000007494</v>
      </c>
      <c r="R20" s="73"/>
      <c r="S20" s="73"/>
      <c r="T20" s="73"/>
      <c r="U20" s="73">
        <f t="shared" si="10"/>
        <v>75</v>
      </c>
      <c r="V20" s="116">
        <f t="shared" si="0"/>
        <v>-14.300999999999476</v>
      </c>
      <c r="W20" s="73"/>
      <c r="X20" s="117">
        <f t="shared" si="1"/>
        <v>71.70164894957</v>
      </c>
      <c r="Y20" s="117">
        <f t="shared" si="4"/>
        <v>-14.300999999999476</v>
      </c>
      <c r="Z20" s="80"/>
    </row>
    <row r="21" spans="1:26" x14ac:dyDescent="0.25">
      <c r="A21" t="s">
        <v>21</v>
      </c>
      <c r="B21">
        <f t="shared" si="8"/>
        <v>80</v>
      </c>
      <c r="C21">
        <v>4578.777</v>
      </c>
      <c r="D21" s="54">
        <f t="shared" si="5"/>
        <v>80</v>
      </c>
      <c r="E21">
        <f t="shared" si="6"/>
        <v>-6.6369999999997162</v>
      </c>
      <c r="F21" s="59">
        <f t="shared" si="9"/>
        <v>79.669731224430762</v>
      </c>
      <c r="G21" s="55">
        <f t="shared" si="7"/>
        <v>-6.6369999999997162</v>
      </c>
      <c r="M21" s="15"/>
      <c r="O21" s="73"/>
      <c r="P21" s="74">
        <f t="shared" si="2"/>
        <v>79.669731224430762</v>
      </c>
      <c r="Q21" s="73">
        <f t="shared" si="3"/>
        <v>-1.5820000000003347</v>
      </c>
      <c r="R21" s="73"/>
      <c r="S21" s="73"/>
      <c r="T21" s="73"/>
      <c r="U21" s="73">
        <f t="shared" si="10"/>
        <v>80</v>
      </c>
      <c r="V21" s="116">
        <f t="shared" si="0"/>
        <v>-15.306999999999789</v>
      </c>
      <c r="W21" s="73"/>
      <c r="X21" s="117">
        <f t="shared" si="1"/>
        <v>76.014902825705491</v>
      </c>
      <c r="Y21" s="117">
        <f t="shared" si="4"/>
        <v>-15.306999999999789</v>
      </c>
      <c r="Z21" s="80"/>
    </row>
    <row r="22" spans="1:26" x14ac:dyDescent="0.25">
      <c r="A22" t="s">
        <v>22</v>
      </c>
      <c r="B22">
        <f t="shared" si="8"/>
        <v>85</v>
      </c>
      <c r="C22">
        <v>4578.3289999999997</v>
      </c>
      <c r="D22" s="54">
        <f t="shared" si="5"/>
        <v>85</v>
      </c>
      <c r="E22">
        <f t="shared" si="6"/>
        <v>-7.0850000000000364</v>
      </c>
      <c r="F22" s="59">
        <f t="shared" si="9"/>
        <v>84.649620379823659</v>
      </c>
      <c r="G22" s="55">
        <f t="shared" si="7"/>
        <v>-7.0850000000000364</v>
      </c>
      <c r="M22" s="15"/>
      <c r="O22" s="73"/>
      <c r="P22" s="74">
        <f t="shared" si="2"/>
        <v>84.649620379823659</v>
      </c>
      <c r="Q22" s="73">
        <f t="shared" si="3"/>
        <v>-2.0300000000006548</v>
      </c>
      <c r="R22" s="73"/>
      <c r="S22" s="73"/>
      <c r="T22" s="73"/>
      <c r="U22" s="73">
        <f t="shared" si="10"/>
        <v>85</v>
      </c>
      <c r="V22" s="116">
        <f t="shared" si="0"/>
        <v>-15.796999999999571</v>
      </c>
      <c r="W22" s="73"/>
      <c r="X22" s="117">
        <f t="shared" si="1"/>
        <v>80.474992510902297</v>
      </c>
      <c r="Y22" s="117">
        <f t="shared" si="4"/>
        <v>-15.796999999999571</v>
      </c>
      <c r="Z22" s="80"/>
    </row>
    <row r="23" spans="1:26" x14ac:dyDescent="0.25">
      <c r="A23" t="s">
        <v>23</v>
      </c>
      <c r="B23">
        <f t="shared" si="8"/>
        <v>90</v>
      </c>
      <c r="C23">
        <v>4577.8590000000004</v>
      </c>
      <c r="D23" s="54">
        <f t="shared" si="5"/>
        <v>90</v>
      </c>
      <c r="E23">
        <f t="shared" si="6"/>
        <v>-7.5549999999993815</v>
      </c>
      <c r="F23" s="59">
        <f t="shared" si="9"/>
        <v>89.627481366231436</v>
      </c>
      <c r="G23" s="55">
        <f t="shared" si="7"/>
        <v>-7.5549999999993815</v>
      </c>
      <c r="M23" s="15"/>
      <c r="O23" s="73"/>
      <c r="P23" s="74">
        <f t="shared" si="2"/>
        <v>89.627481366231436</v>
      </c>
      <c r="Q23" s="73">
        <f t="shared" si="3"/>
        <v>-2.5</v>
      </c>
      <c r="R23" s="73"/>
      <c r="S23" s="73"/>
      <c r="T23" s="73"/>
      <c r="U23" s="73">
        <f t="shared" si="10"/>
        <v>90</v>
      </c>
      <c r="V23" s="116">
        <f t="shared" si="0"/>
        <v>-16.273999999999432</v>
      </c>
      <c r="W23" s="73"/>
      <c r="X23" s="117">
        <f t="shared" si="1"/>
        <v>85.041241628066047</v>
      </c>
      <c r="Y23" s="117">
        <f t="shared" si="4"/>
        <v>-16.273999999999432</v>
      </c>
      <c r="Z23" s="80"/>
    </row>
    <row r="24" spans="1:26" x14ac:dyDescent="0.25">
      <c r="A24" t="s">
        <v>24</v>
      </c>
      <c r="B24">
        <f t="shared" si="8"/>
        <v>95</v>
      </c>
      <c r="C24">
        <v>4576.9939999999997</v>
      </c>
      <c r="D24" s="54">
        <f t="shared" si="5"/>
        <v>95</v>
      </c>
      <c r="E24">
        <f t="shared" si="6"/>
        <v>-8.4200000000000728</v>
      </c>
      <c r="F24" s="59">
        <f t="shared" si="9"/>
        <v>94.552090487775885</v>
      </c>
      <c r="G24" s="55">
        <f t="shared" si="7"/>
        <v>-8.4200000000000728</v>
      </c>
      <c r="M24" s="15"/>
      <c r="O24" s="73"/>
      <c r="P24" s="74">
        <f t="shared" si="2"/>
        <v>94.552090487775885</v>
      </c>
      <c r="Q24" s="73">
        <f t="shared" si="3"/>
        <v>-3.3650000000006912</v>
      </c>
      <c r="R24" s="73"/>
      <c r="S24" s="73"/>
      <c r="T24" s="73"/>
      <c r="U24" s="73">
        <f t="shared" si="10"/>
        <v>95</v>
      </c>
      <c r="V24" s="116">
        <f t="shared" si="0"/>
        <v>-17.001999999999498</v>
      </c>
      <c r="W24" s="73"/>
      <c r="X24" s="117">
        <f t="shared" si="1"/>
        <v>89.930177708646426</v>
      </c>
      <c r="Y24" s="117">
        <f t="shared" si="4"/>
        <v>-17.001999999999498</v>
      </c>
      <c r="Z24" s="80"/>
    </row>
    <row r="25" spans="1:26" x14ac:dyDescent="0.25">
      <c r="A25" t="s">
        <v>25</v>
      </c>
      <c r="B25">
        <f t="shared" si="8"/>
        <v>100</v>
      </c>
      <c r="C25">
        <v>4576.1239999999998</v>
      </c>
      <c r="D25" s="54">
        <f t="shared" si="5"/>
        <v>100</v>
      </c>
      <c r="E25">
        <f t="shared" si="6"/>
        <v>-9.2899999999999636</v>
      </c>
      <c r="F25" s="59">
        <f t="shared" si="9"/>
        <v>99.475818749977222</v>
      </c>
      <c r="G25" s="55">
        <f t="shared" si="7"/>
        <v>-9.2899999999999636</v>
      </c>
      <c r="M25" s="15"/>
      <c r="O25" s="73"/>
      <c r="P25" s="74">
        <f t="shared" si="2"/>
        <v>99.475818749977222</v>
      </c>
      <c r="Q25" s="73">
        <f t="shared" si="3"/>
        <v>-4.2350000000005821</v>
      </c>
      <c r="R25" s="73"/>
      <c r="S25" s="73"/>
      <c r="T25" s="73"/>
      <c r="U25" s="73">
        <f t="shared" si="10"/>
        <v>100</v>
      </c>
      <c r="V25" s="116">
        <f t="shared" si="0"/>
        <v>-17.411999999999352</v>
      </c>
      <c r="W25" s="73"/>
      <c r="X25" s="117">
        <f t="shared" si="1"/>
        <v>94.819328043827255</v>
      </c>
      <c r="Y25" s="117">
        <f t="shared" si="4"/>
        <v>-17.411999999999352</v>
      </c>
      <c r="Z25" s="80"/>
    </row>
    <row r="26" spans="1:26" x14ac:dyDescent="0.25">
      <c r="A26" t="s">
        <v>26</v>
      </c>
      <c r="B26">
        <f t="shared" si="8"/>
        <v>105</v>
      </c>
      <c r="C26">
        <v>4575.3829999999998</v>
      </c>
      <c r="D26" s="54">
        <f t="shared" si="5"/>
        <v>105</v>
      </c>
      <c r="E26">
        <f t="shared" si="6"/>
        <v>-10.030999999999949</v>
      </c>
      <c r="F26" s="59">
        <f t="shared" si="9"/>
        <v>104.42060580302612</v>
      </c>
      <c r="G26" s="55">
        <f t="shared" si="7"/>
        <v>-10.030999999999949</v>
      </c>
      <c r="M26" s="15"/>
      <c r="O26" s="73"/>
      <c r="P26" s="74">
        <f t="shared" si="2"/>
        <v>104.42060580302612</v>
      </c>
      <c r="Q26" s="73">
        <f t="shared" si="3"/>
        <v>-4.9760000000005675</v>
      </c>
      <c r="R26" s="73"/>
      <c r="S26" s="73"/>
      <c r="T26" s="73"/>
      <c r="U26" s="73">
        <f t="shared" si="10"/>
        <v>105</v>
      </c>
      <c r="V26" s="116">
        <f t="shared" si="0"/>
        <v>-17.912999999999556</v>
      </c>
      <c r="W26" s="73"/>
      <c r="X26" s="117">
        <f t="shared" si="1"/>
        <v>99.819291943696925</v>
      </c>
      <c r="Y26" s="117">
        <f t="shared" si="4"/>
        <v>-17.912999999999556</v>
      </c>
      <c r="Z26" s="80"/>
    </row>
    <row r="27" spans="1:26" x14ac:dyDescent="0.25">
      <c r="A27" t="s">
        <v>27</v>
      </c>
      <c r="B27">
        <f t="shared" si="8"/>
        <v>110</v>
      </c>
      <c r="C27">
        <v>4574.4769999999999</v>
      </c>
      <c r="D27" s="54">
        <f t="shared" si="5"/>
        <v>110</v>
      </c>
      <c r="E27">
        <f t="shared" si="6"/>
        <v>-10.936999999999898</v>
      </c>
      <c r="F27" s="59">
        <f t="shared" si="9"/>
        <v>109.33783713783234</v>
      </c>
      <c r="G27" s="55">
        <f t="shared" si="7"/>
        <v>-10.936999999999898</v>
      </c>
      <c r="M27" s="15"/>
      <c r="O27" s="73"/>
      <c r="P27" s="74">
        <f t="shared" si="2"/>
        <v>109.33783713783234</v>
      </c>
      <c r="Q27" s="73">
        <f t="shared" si="3"/>
        <v>-5.8820000000005166</v>
      </c>
      <c r="R27" s="73"/>
      <c r="S27" s="73"/>
      <c r="T27" s="73"/>
      <c r="U27" s="73">
        <f t="shared" si="10"/>
        <v>110</v>
      </c>
      <c r="V27" s="116">
        <f t="shared" si="0"/>
        <v>-18.194999999999709</v>
      </c>
      <c r="W27" s="73"/>
      <c r="X27" s="117">
        <f t="shared" si="1"/>
        <v>104.7289848057811</v>
      </c>
      <c r="Y27" s="117">
        <f t="shared" si="4"/>
        <v>-18.194999999999709</v>
      </c>
      <c r="Z27" s="80"/>
    </row>
    <row r="28" spans="1:26" x14ac:dyDescent="0.25">
      <c r="A28" t="s">
        <v>28</v>
      </c>
      <c r="B28">
        <f t="shared" si="8"/>
        <v>115</v>
      </c>
      <c r="C28">
        <v>4573.93</v>
      </c>
      <c r="D28" s="54">
        <f t="shared" si="5"/>
        <v>115</v>
      </c>
      <c r="E28">
        <f t="shared" si="6"/>
        <v>-11.483999999999469</v>
      </c>
      <c r="F28" s="59">
        <f t="shared" si="9"/>
        <v>114.30782617202551</v>
      </c>
      <c r="G28" s="55">
        <f t="shared" si="7"/>
        <v>-11.483999999999469</v>
      </c>
      <c r="O28" s="73"/>
      <c r="P28" s="74">
        <f t="shared" si="2"/>
        <v>114.30782617202551</v>
      </c>
      <c r="Q28" s="73">
        <f t="shared" si="3"/>
        <v>-6.4290000000000873</v>
      </c>
      <c r="R28" s="73"/>
      <c r="S28" s="73"/>
      <c r="T28" s="73"/>
      <c r="U28" s="73">
        <f t="shared" si="10"/>
        <v>115</v>
      </c>
      <c r="V28" s="116">
        <f t="shared" si="0"/>
        <v>-18.456000000000131</v>
      </c>
      <c r="W28" s="73"/>
      <c r="X28" s="117">
        <f t="shared" si="1"/>
        <v>109.51833799801889</v>
      </c>
      <c r="Y28" s="117">
        <f t="shared" si="4"/>
        <v>-18.456000000000131</v>
      </c>
      <c r="Z28" s="80"/>
    </row>
    <row r="29" spans="1:26" x14ac:dyDescent="0.25">
      <c r="A29" t="s">
        <v>29</v>
      </c>
      <c r="B29">
        <f t="shared" si="8"/>
        <v>120</v>
      </c>
      <c r="C29">
        <v>4572.933</v>
      </c>
      <c r="D29" s="54">
        <f t="shared" si="5"/>
        <v>120</v>
      </c>
      <c r="E29">
        <f t="shared" si="6"/>
        <v>-12.480999999999767</v>
      </c>
      <c r="F29" s="59">
        <f t="shared" si="9"/>
        <v>119.20741707331507</v>
      </c>
      <c r="G29" s="55">
        <f t="shared" si="7"/>
        <v>-12.480999999999767</v>
      </c>
      <c r="O29" s="73"/>
      <c r="P29" s="74">
        <f t="shared" si="2"/>
        <v>119.20741707331507</v>
      </c>
      <c r="Q29" s="73">
        <f t="shared" si="3"/>
        <v>-7.4260000000003856</v>
      </c>
      <c r="R29" s="73"/>
      <c r="S29" s="73"/>
      <c r="T29" s="73"/>
      <c r="U29" s="126"/>
      <c r="V29" s="116"/>
      <c r="W29" s="126"/>
      <c r="X29" s="117"/>
      <c r="Y29" s="117"/>
      <c r="Z29" s="127"/>
    </row>
    <row r="30" spans="1:26" x14ac:dyDescent="0.25">
      <c r="A30" t="s">
        <v>30</v>
      </c>
      <c r="B30">
        <f t="shared" si="8"/>
        <v>125</v>
      </c>
      <c r="C30">
        <v>4572.1139999999996</v>
      </c>
      <c r="D30" s="54">
        <f t="shared" si="5"/>
        <v>125</v>
      </c>
      <c r="E30">
        <f t="shared" si="6"/>
        <v>-13.300000000000182</v>
      </c>
      <c r="F30" s="59">
        <f t="shared" si="9"/>
        <v>124.13988491406165</v>
      </c>
      <c r="G30" s="55">
        <f t="shared" si="7"/>
        <v>-13.300000000000182</v>
      </c>
      <c r="O30" s="73"/>
      <c r="P30" s="74">
        <f t="shared" si="2"/>
        <v>124.13988491406165</v>
      </c>
      <c r="Q30" s="73">
        <f t="shared" si="3"/>
        <v>-8.2450000000008004</v>
      </c>
      <c r="R30" s="73"/>
      <c r="S30" s="73"/>
      <c r="T30" s="73"/>
      <c r="V30" s="126"/>
      <c r="W30" s="126"/>
      <c r="Z30" s="127"/>
    </row>
    <row r="31" spans="1:26" x14ac:dyDescent="0.25">
      <c r="A31" t="s">
        <v>31</v>
      </c>
      <c r="B31">
        <f t="shared" si="8"/>
        <v>130</v>
      </c>
      <c r="C31">
        <v>4571.6409999999996</v>
      </c>
      <c r="D31" s="54">
        <f t="shared" si="5"/>
        <v>130</v>
      </c>
      <c r="E31">
        <f t="shared" si="6"/>
        <v>-13.773000000000138</v>
      </c>
      <c r="F31" s="59">
        <f t="shared" si="9"/>
        <v>129.11746173416196</v>
      </c>
      <c r="G31" s="55">
        <f t="shared" si="7"/>
        <v>-13.773000000000138</v>
      </c>
      <c r="O31" s="73"/>
      <c r="P31" s="74">
        <f t="shared" si="2"/>
        <v>129.11746173416196</v>
      </c>
      <c r="Q31" s="73">
        <f t="shared" si="3"/>
        <v>-8.7180000000007567</v>
      </c>
      <c r="R31" s="73"/>
      <c r="S31" s="73"/>
      <c r="T31" s="73"/>
      <c r="W31" s="126"/>
      <c r="Z31" s="127"/>
    </row>
    <row r="32" spans="1:26" x14ac:dyDescent="0.25">
      <c r="A32" t="s">
        <v>32</v>
      </c>
      <c r="B32">
        <f t="shared" si="8"/>
        <v>135</v>
      </c>
      <c r="C32">
        <v>4571.1130000000003</v>
      </c>
      <c r="D32" s="54">
        <f t="shared" si="5"/>
        <v>135</v>
      </c>
      <c r="E32">
        <f t="shared" si="6"/>
        <v>-14.300999999999476</v>
      </c>
      <c r="F32" s="59">
        <f t="shared" si="9"/>
        <v>134.08950517725464</v>
      </c>
      <c r="G32" s="55">
        <f t="shared" si="7"/>
        <v>-14.300999999999476</v>
      </c>
      <c r="O32" s="73"/>
      <c r="P32" s="74">
        <f t="shared" si="2"/>
        <v>134.08950517725464</v>
      </c>
      <c r="Q32" s="73">
        <f t="shared" si="3"/>
        <v>-9.2460000000000946</v>
      </c>
      <c r="R32" s="73"/>
      <c r="S32" s="73"/>
      <c r="T32" s="73"/>
      <c r="W32" s="126"/>
      <c r="Z32" s="127"/>
    </row>
    <row r="33" spans="1:26" x14ac:dyDescent="0.25">
      <c r="A33" t="s">
        <v>33</v>
      </c>
      <c r="B33">
        <f t="shared" si="8"/>
        <v>140</v>
      </c>
      <c r="C33">
        <v>4570.107</v>
      </c>
      <c r="D33" s="54">
        <f t="shared" si="5"/>
        <v>140</v>
      </c>
      <c r="E33">
        <f t="shared" si="6"/>
        <v>-15.306999999999789</v>
      </c>
      <c r="F33" s="59">
        <f t="shared" si="9"/>
        <v>138.98725608966325</v>
      </c>
      <c r="G33" s="55">
        <f t="shared" si="7"/>
        <v>-15.306999999999789</v>
      </c>
      <c r="O33" s="73"/>
      <c r="P33" s="74">
        <f t="shared" si="2"/>
        <v>138.98725608966325</v>
      </c>
      <c r="Q33" s="73">
        <f t="shared" si="3"/>
        <v>-10.252000000000407</v>
      </c>
      <c r="R33" s="73"/>
      <c r="S33" s="73"/>
      <c r="T33" s="73"/>
      <c r="W33" s="126"/>
      <c r="Z33" s="127"/>
    </row>
    <row r="34" spans="1:26" x14ac:dyDescent="0.25">
      <c r="A34" t="s">
        <v>34</v>
      </c>
      <c r="B34">
        <f t="shared" si="8"/>
        <v>145</v>
      </c>
      <c r="C34">
        <v>4569.6170000000002</v>
      </c>
      <c r="D34" s="54">
        <f t="shared" si="5"/>
        <v>145</v>
      </c>
      <c r="E34">
        <f t="shared" si="6"/>
        <v>-15.796999999999571</v>
      </c>
      <c r="F34" s="59">
        <f t="shared" si="9"/>
        <v>143.96318816315463</v>
      </c>
      <c r="G34" s="55">
        <f t="shared" si="7"/>
        <v>-15.796999999999571</v>
      </c>
      <c r="O34" s="73"/>
      <c r="P34" s="74">
        <f t="shared" si="2"/>
        <v>143.96318816315463</v>
      </c>
      <c r="Q34" s="73">
        <f t="shared" si="3"/>
        <v>-10.742000000000189</v>
      </c>
      <c r="R34" s="73"/>
      <c r="S34" s="73"/>
      <c r="T34" s="73"/>
      <c r="W34" s="126"/>
      <c r="Z34" s="127"/>
    </row>
    <row r="35" spans="1:26" x14ac:dyDescent="0.25">
      <c r="A35" t="s">
        <v>35</v>
      </c>
      <c r="B35">
        <f t="shared" si="8"/>
        <v>150</v>
      </c>
      <c r="C35">
        <v>4569.1400000000003</v>
      </c>
      <c r="D35" s="54">
        <f t="shared" si="5"/>
        <v>150</v>
      </c>
      <c r="E35">
        <f t="shared" si="6"/>
        <v>-16.273999999999432</v>
      </c>
      <c r="F35" s="59">
        <f t="shared" si="9"/>
        <v>148.94038325677917</v>
      </c>
      <c r="G35" s="55">
        <f t="shared" si="7"/>
        <v>-16.273999999999432</v>
      </c>
      <c r="O35" s="73"/>
      <c r="P35" s="74">
        <f t="shared" si="2"/>
        <v>148.94038325677917</v>
      </c>
      <c r="Q35" s="73">
        <f t="shared" si="3"/>
        <v>-11.219000000000051</v>
      </c>
      <c r="R35" s="73"/>
      <c r="S35" s="73"/>
      <c r="T35" s="73"/>
      <c r="W35" s="126"/>
      <c r="Z35" s="127"/>
    </row>
    <row r="36" spans="1:26" x14ac:dyDescent="0.25">
      <c r="A36" t="s">
        <v>36</v>
      </c>
      <c r="B36">
        <f t="shared" si="8"/>
        <v>155</v>
      </c>
      <c r="C36">
        <v>4568.4120000000003</v>
      </c>
      <c r="D36" s="54">
        <f t="shared" si="5"/>
        <v>155</v>
      </c>
      <c r="E36">
        <f t="shared" si="6"/>
        <v>-17.001999999999498</v>
      </c>
      <c r="F36" s="59">
        <f t="shared" si="9"/>
        <v>153.88710095642608</v>
      </c>
      <c r="G36" s="55">
        <f t="shared" si="7"/>
        <v>-17.001999999999498</v>
      </c>
      <c r="O36" s="73"/>
      <c r="P36" s="74">
        <f t="shared" si="2"/>
        <v>153.88710095642608</v>
      </c>
      <c r="Q36" s="73">
        <f t="shared" si="3"/>
        <v>-11.947000000000116</v>
      </c>
      <c r="R36" s="73"/>
      <c r="S36" s="73"/>
      <c r="T36" s="73"/>
      <c r="W36" s="126"/>
      <c r="Z36" s="127"/>
    </row>
    <row r="37" spans="1:26" x14ac:dyDescent="0.25">
      <c r="A37" t="s">
        <v>37</v>
      </c>
      <c r="B37">
        <f t="shared" si="8"/>
        <v>160</v>
      </c>
      <c r="C37">
        <v>4568.0020000000004</v>
      </c>
      <c r="D37" s="54">
        <f t="shared" si="5"/>
        <v>160</v>
      </c>
      <c r="E37">
        <f t="shared" si="6"/>
        <v>-17.411999999999352</v>
      </c>
      <c r="F37" s="59">
        <f t="shared" si="9"/>
        <v>158.87026260341287</v>
      </c>
      <c r="G37" s="55">
        <f t="shared" si="7"/>
        <v>-17.411999999999352</v>
      </c>
      <c r="O37" s="73"/>
      <c r="P37" s="74">
        <f t="shared" si="2"/>
        <v>158.87026260341287</v>
      </c>
      <c r="Q37" s="73">
        <f t="shared" si="3"/>
        <v>-12.356999999999971</v>
      </c>
      <c r="R37" s="73"/>
      <c r="S37" s="73"/>
      <c r="T37" s="73"/>
      <c r="W37" s="126"/>
      <c r="Z37" s="127"/>
    </row>
    <row r="38" spans="1:26" x14ac:dyDescent="0.25">
      <c r="A38" t="s">
        <v>38</v>
      </c>
      <c r="B38">
        <f t="shared" si="8"/>
        <v>165</v>
      </c>
      <c r="C38">
        <v>4567.5010000000002</v>
      </c>
      <c r="D38" s="54">
        <f t="shared" si="5"/>
        <v>165</v>
      </c>
      <c r="E38">
        <f t="shared" si="6"/>
        <v>-17.912999999999556</v>
      </c>
      <c r="F38" s="59">
        <f t="shared" si="9"/>
        <v>163.84509918364341</v>
      </c>
      <c r="G38" s="55">
        <f t="shared" si="7"/>
        <v>-17.912999999999556</v>
      </c>
      <c r="O38" s="73"/>
      <c r="P38" s="74">
        <f t="shared" si="2"/>
        <v>163.84509918364341</v>
      </c>
      <c r="Q38" s="73">
        <f t="shared" si="3"/>
        <v>-12.858000000000175</v>
      </c>
      <c r="R38" s="73"/>
      <c r="S38" s="73"/>
      <c r="T38" s="73"/>
      <c r="W38" s="126"/>
      <c r="Z38" s="127"/>
    </row>
    <row r="39" spans="1:26" x14ac:dyDescent="0.25">
      <c r="A39" t="s">
        <v>39</v>
      </c>
      <c r="B39">
        <f t="shared" si="8"/>
        <v>170</v>
      </c>
      <c r="C39">
        <v>4567.2190000000001</v>
      </c>
      <c r="D39" s="54">
        <f t="shared" si="5"/>
        <v>170</v>
      </c>
      <c r="E39">
        <f t="shared" si="6"/>
        <v>-18.194999999999709</v>
      </c>
      <c r="F39" s="59">
        <f t="shared" si="9"/>
        <v>168.83714044949849</v>
      </c>
      <c r="G39" s="55">
        <f t="shared" si="7"/>
        <v>-18.194999999999709</v>
      </c>
      <c r="O39" s="73"/>
      <c r="P39" s="74">
        <f t="shared" si="2"/>
        <v>168.83714044949849</v>
      </c>
      <c r="Q39" s="73">
        <f t="shared" si="3"/>
        <v>-13.140000000000327</v>
      </c>
      <c r="R39" s="73"/>
      <c r="S39" s="73"/>
      <c r="T39" s="73"/>
      <c r="W39" s="126"/>
      <c r="Z39" s="127"/>
    </row>
    <row r="40" spans="1:26" x14ac:dyDescent="0.25">
      <c r="A40" t="s">
        <v>40</v>
      </c>
      <c r="B40">
        <f t="shared" si="8"/>
        <v>175</v>
      </c>
      <c r="C40">
        <v>4566.9579999999996</v>
      </c>
      <c r="D40" s="54">
        <f t="shared" si="5"/>
        <v>175</v>
      </c>
      <c r="E40">
        <f t="shared" si="6"/>
        <v>-18.456000000000131</v>
      </c>
      <c r="F40" s="59">
        <f t="shared" si="9"/>
        <v>173.83032370269478</v>
      </c>
      <c r="G40" s="55">
        <f t="shared" si="7"/>
        <v>-18.456000000000131</v>
      </c>
      <c r="O40" s="73"/>
      <c r="P40" s="74">
        <f t="shared" si="2"/>
        <v>173.83032370269478</v>
      </c>
      <c r="Q40" s="73">
        <f t="shared" si="3"/>
        <v>-13.401000000000749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41</v>
      </c>
      <c r="B41">
        <f t="shared" si="8"/>
        <v>180</v>
      </c>
      <c r="C41">
        <v>4566.6909999999998</v>
      </c>
      <c r="D41" s="54">
        <f t="shared" si="5"/>
        <v>180</v>
      </c>
      <c r="E41">
        <f t="shared" si="6"/>
        <v>-18.722999999999956</v>
      </c>
      <c r="F41" s="59">
        <f t="shared" si="9"/>
        <v>178.82318971331435</v>
      </c>
      <c r="G41" s="55">
        <f t="shared" si="7"/>
        <v>-18.722999999999956</v>
      </c>
      <c r="O41" s="73"/>
      <c r="P41" s="74">
        <f t="shared" si="2"/>
        <v>178.82318971331435</v>
      </c>
      <c r="Q41" s="73">
        <f t="shared" si="3"/>
        <v>-13.668000000000575</v>
      </c>
      <c r="R41" s="73"/>
      <c r="S41" s="73"/>
      <c r="T41" s="73"/>
      <c r="U41" s="126"/>
      <c r="V41" s="126"/>
      <c r="W41" s="126"/>
      <c r="X41" s="128"/>
      <c r="Y41" s="128"/>
      <c r="Z41" s="127"/>
    </row>
    <row r="42" spans="1:26" x14ac:dyDescent="0.25">
      <c r="A42" t="s">
        <v>42</v>
      </c>
      <c r="B42">
        <f t="shared" si="8"/>
        <v>185</v>
      </c>
      <c r="C42">
        <v>4566.6350000000002</v>
      </c>
      <c r="D42" s="54">
        <f t="shared" si="5"/>
        <v>185</v>
      </c>
      <c r="E42">
        <f t="shared" si="6"/>
        <v>-18.778999999999542</v>
      </c>
      <c r="F42" s="59">
        <f t="shared" si="9"/>
        <v>183.82287610347925</v>
      </c>
      <c r="G42" s="55">
        <f t="shared" si="7"/>
        <v>-18.778999999999542</v>
      </c>
      <c r="O42" s="73"/>
      <c r="P42" s="74">
        <f t="shared" si="2"/>
        <v>183.82287610347925</v>
      </c>
      <c r="Q42" s="73">
        <f t="shared" si="3"/>
        <v>-13.72400000000016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43</v>
      </c>
      <c r="B43">
        <f t="shared" si="8"/>
        <v>190</v>
      </c>
      <c r="C43">
        <v>4566.4780000000001</v>
      </c>
      <c r="D43" s="54">
        <f t="shared" si="5"/>
        <v>190</v>
      </c>
      <c r="E43">
        <f t="shared" si="6"/>
        <v>-18.935999999999694</v>
      </c>
      <c r="F43" s="59">
        <f t="shared" si="9"/>
        <v>188.82041059560635</v>
      </c>
      <c r="G43" s="55">
        <f t="shared" si="7"/>
        <v>-18.935999999999694</v>
      </c>
      <c r="O43" s="73"/>
      <c r="P43" s="74">
        <f t="shared" si="2"/>
        <v>188.82041059560635</v>
      </c>
      <c r="Q43" s="73">
        <f t="shared" si="3"/>
        <v>-13.881000000000313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44</v>
      </c>
      <c r="B44">
        <f t="shared" si="8"/>
        <v>195</v>
      </c>
      <c r="C44">
        <v>4566.2479999999996</v>
      </c>
      <c r="D44" s="54">
        <f t="shared" si="5"/>
        <v>195</v>
      </c>
      <c r="E44">
        <f t="shared" si="6"/>
        <v>-19.166000000000167</v>
      </c>
      <c r="F44" s="59">
        <f t="shared" si="9"/>
        <v>193.8151177942317</v>
      </c>
      <c r="G44" s="55">
        <f t="shared" si="7"/>
        <v>-19.166000000000167</v>
      </c>
      <c r="O44" s="73"/>
      <c r="P44" s="74">
        <f t="shared" si="2"/>
        <v>193.8151177942317</v>
      </c>
      <c r="Q44" s="73">
        <f t="shared" si="3"/>
        <v>-14.111000000000786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45</v>
      </c>
      <c r="B45">
        <f t="shared" si="8"/>
        <v>200</v>
      </c>
      <c r="C45">
        <v>4566.0720000000001</v>
      </c>
      <c r="D45" s="54">
        <f t="shared" si="5"/>
        <v>200</v>
      </c>
      <c r="E45">
        <f t="shared" si="6"/>
        <v>-19.341999999999643</v>
      </c>
      <c r="F45" s="59">
        <f t="shared" si="9"/>
        <v>198.81201923412425</v>
      </c>
      <c r="G45" s="55">
        <f t="shared" si="7"/>
        <v>-19.341999999999643</v>
      </c>
      <c r="O45" s="73"/>
      <c r="P45" s="74">
        <f t="shared" si="2"/>
        <v>198.81201923412425</v>
      </c>
      <c r="Q45" s="73">
        <f t="shared" si="3"/>
        <v>-14.287000000000262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46</v>
      </c>
      <c r="B46">
        <f t="shared" si="8"/>
        <v>205</v>
      </c>
      <c r="C46">
        <v>4565.9260000000004</v>
      </c>
      <c r="D46" s="54">
        <f t="shared" si="5"/>
        <v>205</v>
      </c>
      <c r="E46">
        <f t="shared" si="6"/>
        <v>-19.487999999999374</v>
      </c>
      <c r="F46" s="59">
        <f t="shared" si="9"/>
        <v>203.80988717955859</v>
      </c>
      <c r="G46" s="55">
        <f t="shared" si="7"/>
        <v>-19.487999999999374</v>
      </c>
      <c r="O46" s="73"/>
      <c r="P46" s="74">
        <f t="shared" si="2"/>
        <v>203.80988717955859</v>
      </c>
      <c r="Q46" s="73">
        <f t="shared" si="3"/>
        <v>-14.432999999999993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47</v>
      </c>
      <c r="B47">
        <f t="shared" si="8"/>
        <v>210</v>
      </c>
      <c r="C47">
        <v>4565.83</v>
      </c>
      <c r="D47" s="54">
        <f t="shared" si="5"/>
        <v>210</v>
      </c>
      <c r="E47">
        <f t="shared" si="6"/>
        <v>-19.583999999999833</v>
      </c>
      <c r="F47" s="59">
        <f t="shared" si="9"/>
        <v>208.80896549460826</v>
      </c>
      <c r="G47" s="55">
        <f t="shared" si="7"/>
        <v>-19.583999999999833</v>
      </c>
      <c r="O47" s="73"/>
      <c r="P47" s="74">
        <f t="shared" si="2"/>
        <v>208.80896549460826</v>
      </c>
      <c r="Q47" s="73">
        <f t="shared" si="3"/>
        <v>-14.529000000000451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48</v>
      </c>
      <c r="B48">
        <f t="shared" si="8"/>
        <v>215</v>
      </c>
      <c r="C48">
        <v>4565.857</v>
      </c>
      <c r="D48" s="54">
        <f t="shared" si="5"/>
        <v>215</v>
      </c>
      <c r="E48">
        <f t="shared" si="6"/>
        <v>-19.556999999999789</v>
      </c>
      <c r="F48" s="59">
        <f t="shared" si="9"/>
        <v>213.80889259407681</v>
      </c>
      <c r="G48" s="55">
        <f t="shared" si="7"/>
        <v>-19.556999999999789</v>
      </c>
      <c r="O48" s="73"/>
      <c r="P48" s="74">
        <f t="shared" si="2"/>
        <v>213.80889259407681</v>
      </c>
      <c r="Q48" s="73">
        <f t="shared" si="3"/>
        <v>-14.502000000000407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49</v>
      </c>
      <c r="B49">
        <f t="shared" si="8"/>
        <v>220</v>
      </c>
      <c r="C49">
        <v>4565.9920000000002</v>
      </c>
      <c r="D49" s="54">
        <f t="shared" si="5"/>
        <v>220</v>
      </c>
      <c r="E49">
        <f t="shared" si="6"/>
        <v>-19.421999999999571</v>
      </c>
      <c r="F49" s="59">
        <f t="shared" si="9"/>
        <v>218.80706976180505</v>
      </c>
      <c r="G49" s="55">
        <f t="shared" si="7"/>
        <v>-19.421999999999571</v>
      </c>
      <c r="O49" s="73"/>
      <c r="P49" s="74">
        <f t="shared" si="2"/>
        <v>218.80706976180505</v>
      </c>
      <c r="Q49" s="73">
        <f t="shared" si="3"/>
        <v>-14.367000000000189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50</v>
      </c>
      <c r="B50">
        <f t="shared" si="8"/>
        <v>225</v>
      </c>
      <c r="C50">
        <v>4566.2520000000004</v>
      </c>
      <c r="D50" s="54">
        <f t="shared" si="5"/>
        <v>225</v>
      </c>
      <c r="E50">
        <f t="shared" si="6"/>
        <v>-19.161999999999352</v>
      </c>
      <c r="F50" s="59">
        <f t="shared" si="9"/>
        <v>223.80030518585627</v>
      </c>
      <c r="G50" s="55">
        <f t="shared" si="7"/>
        <v>-19.161999999999352</v>
      </c>
      <c r="O50" s="73"/>
      <c r="P50" s="74">
        <f t="shared" si="2"/>
        <v>223.80030518585627</v>
      </c>
      <c r="Q50" s="73">
        <f t="shared" si="3"/>
        <v>-14.106999999999971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51</v>
      </c>
      <c r="B51">
        <f t="shared" si="8"/>
        <v>230</v>
      </c>
      <c r="C51">
        <v>4566.4840000000004</v>
      </c>
      <c r="D51" s="54">
        <f t="shared" si="5"/>
        <v>230</v>
      </c>
      <c r="E51">
        <f t="shared" si="6"/>
        <v>-18.929999999999382</v>
      </c>
      <c r="F51" s="59">
        <f t="shared" si="9"/>
        <v>228.7949198857105</v>
      </c>
      <c r="G51" s="55">
        <f t="shared" si="7"/>
        <v>-18.929999999999382</v>
      </c>
      <c r="O51" s="73"/>
      <c r="P51" s="74">
        <f t="shared" si="2"/>
        <v>228.7949198857105</v>
      </c>
      <c r="Q51" s="73">
        <f t="shared" si="3"/>
        <v>-13.875</v>
      </c>
      <c r="R51" s="73"/>
      <c r="S51" s="73"/>
      <c r="T51" s="73"/>
      <c r="U51" s="73"/>
      <c r="V51" s="73"/>
      <c r="W51" s="73"/>
      <c r="X51" s="74"/>
      <c r="Y51" s="74"/>
      <c r="Z51" s="80"/>
    </row>
    <row r="52" spans="1:26" ht="15.75" thickBot="1" x14ac:dyDescent="0.3">
      <c r="A52" t="s">
        <v>52</v>
      </c>
      <c r="B52">
        <f t="shared" si="8"/>
        <v>235</v>
      </c>
      <c r="C52">
        <v>4566.6710000000003</v>
      </c>
      <c r="D52" s="54">
        <f t="shared" si="5"/>
        <v>235</v>
      </c>
      <c r="E52">
        <f t="shared" si="6"/>
        <v>-18.742999999999483</v>
      </c>
      <c r="F52" s="59">
        <f t="shared" si="9"/>
        <v>233.79142176202356</v>
      </c>
      <c r="G52" s="55">
        <f t="shared" si="7"/>
        <v>-18.742999999999483</v>
      </c>
      <c r="H52" s="112" t="s">
        <v>175</v>
      </c>
      <c r="I52" s="123">
        <f>I53-B3</f>
        <v>233.70809940042946</v>
      </c>
      <c r="J52" s="113">
        <f>J53-0.5</f>
        <v>-5.5549999999993815</v>
      </c>
      <c r="M52" s="115">
        <f t="shared" ref="M52:M76" si="11">I52</f>
        <v>233.70809940042946</v>
      </c>
      <c r="N52" s="116">
        <f>Q52</f>
        <v>-13.688000000000102</v>
      </c>
      <c r="O52" s="83"/>
      <c r="P52" s="84">
        <f t="shared" si="2"/>
        <v>233.79142176202356</v>
      </c>
      <c r="Q52" s="83">
        <f t="shared" si="3"/>
        <v>-13.688000000000102</v>
      </c>
      <c r="R52" s="83"/>
      <c r="S52" s="83"/>
      <c r="T52" s="83"/>
      <c r="U52" s="83"/>
      <c r="V52" s="83"/>
      <c r="W52" s="83"/>
      <c r="X52" s="84"/>
      <c r="Y52" s="84"/>
      <c r="Z52" s="85"/>
    </row>
    <row r="53" spans="1:26" ht="15.75" thickBot="1" x14ac:dyDescent="0.3">
      <c r="A53" t="s">
        <v>53</v>
      </c>
      <c r="B53">
        <f t="shared" si="8"/>
        <v>240</v>
      </c>
      <c r="C53">
        <v>4567.58</v>
      </c>
      <c r="D53" s="54">
        <f t="shared" si="5"/>
        <v>240</v>
      </c>
      <c r="E53">
        <f t="shared" si="6"/>
        <v>-17.833999999999833</v>
      </c>
      <c r="F53" s="59">
        <f t="shared" si="9"/>
        <v>238.70809940042946</v>
      </c>
      <c r="G53" s="55">
        <f t="shared" si="7"/>
        <v>-17.833999999999833</v>
      </c>
      <c r="H53" s="54" t="s">
        <v>103</v>
      </c>
      <c r="I53" s="12">
        <f>F53</f>
        <v>238.70809940042946</v>
      </c>
      <c r="J53" s="55">
        <f t="shared" ref="J53:J76" si="12">G17</f>
        <v>-5.0549999999993815</v>
      </c>
      <c r="M53" s="81">
        <f t="shared" si="11"/>
        <v>238.70809940042946</v>
      </c>
      <c r="N53" s="116">
        <f t="shared" ref="N53:N76" si="13">Q53</f>
        <v>-12.779000000000451</v>
      </c>
      <c r="O53" s="68"/>
      <c r="P53" s="84">
        <f t="shared" si="2"/>
        <v>238.70809940042946</v>
      </c>
      <c r="Q53" s="83">
        <f t="shared" si="3"/>
        <v>-12.779000000000451</v>
      </c>
      <c r="R53" s="68"/>
      <c r="S53" s="68"/>
      <c r="T53" s="68"/>
      <c r="U53" s="68"/>
      <c r="V53" s="68"/>
      <c r="W53" s="68"/>
      <c r="X53" s="70"/>
      <c r="Y53" s="70"/>
      <c r="Z53" s="68"/>
    </row>
    <row r="54" spans="1:26" ht="15.75" thickBot="1" x14ac:dyDescent="0.3">
      <c r="A54" t="s">
        <v>54</v>
      </c>
      <c r="B54">
        <f t="shared" si="8"/>
        <v>245</v>
      </c>
      <c r="C54">
        <v>4568.0450000000001</v>
      </c>
      <c r="D54" s="54">
        <f t="shared" si="5"/>
        <v>245</v>
      </c>
      <c r="E54">
        <f t="shared" si="6"/>
        <v>-17.368999999999687</v>
      </c>
      <c r="F54" s="59">
        <f t="shared" si="9"/>
        <v>243.68642994389481</v>
      </c>
      <c r="G54" s="55">
        <f t="shared" si="7"/>
        <v>-17.368999999999687</v>
      </c>
      <c r="H54" s="54" t="s">
        <v>104</v>
      </c>
      <c r="I54" s="12">
        <f t="shared" ref="I54:I76" si="14">F54</f>
        <v>243.68642994389481</v>
      </c>
      <c r="J54" s="55">
        <f t="shared" si="12"/>
        <v>-5.5990000000001601</v>
      </c>
      <c r="M54" s="81">
        <f t="shared" si="11"/>
        <v>243.68642994389481</v>
      </c>
      <c r="N54" s="116">
        <f t="shared" si="13"/>
        <v>-12.314000000000306</v>
      </c>
      <c r="P54" s="84">
        <f t="shared" si="2"/>
        <v>243.68642994389481</v>
      </c>
      <c r="Q54" s="83">
        <f t="shared" si="3"/>
        <v>-12.314000000000306</v>
      </c>
      <c r="X54" s="12"/>
      <c r="Y54" s="12"/>
    </row>
    <row r="55" spans="1:26" ht="15.75" thickBot="1" x14ac:dyDescent="0.3">
      <c r="A55" t="s">
        <v>55</v>
      </c>
      <c r="B55">
        <f t="shared" si="8"/>
        <v>250</v>
      </c>
      <c r="C55">
        <v>4568.4930000000004</v>
      </c>
      <c r="D55" s="54">
        <f t="shared" si="5"/>
        <v>250</v>
      </c>
      <c r="E55">
        <f t="shared" si="6"/>
        <v>-16.920999999999367</v>
      </c>
      <c r="F55" s="59">
        <f t="shared" si="9"/>
        <v>248.6663190992877</v>
      </c>
      <c r="G55" s="55">
        <f t="shared" si="7"/>
        <v>-16.920999999999367</v>
      </c>
      <c r="H55" s="54" t="s">
        <v>105</v>
      </c>
      <c r="I55" s="12">
        <f t="shared" si="14"/>
        <v>248.6663190992877</v>
      </c>
      <c r="J55" s="55">
        <f t="shared" si="12"/>
        <v>-5.8779999999997017</v>
      </c>
      <c r="M55" s="81">
        <f t="shared" si="11"/>
        <v>248.6663190992877</v>
      </c>
      <c r="N55" s="116">
        <f t="shared" si="13"/>
        <v>-11.865999999999985</v>
      </c>
      <c r="P55" s="84">
        <f t="shared" si="2"/>
        <v>248.6663190992877</v>
      </c>
      <c r="Q55" s="83">
        <f t="shared" si="3"/>
        <v>-11.865999999999985</v>
      </c>
      <c r="X55" s="12"/>
      <c r="Y55" s="12"/>
    </row>
    <row r="56" spans="1:26" ht="15.75" thickBot="1" x14ac:dyDescent="0.3">
      <c r="A56" t="s">
        <v>56</v>
      </c>
      <c r="B56">
        <f t="shared" si="8"/>
        <v>255</v>
      </c>
      <c r="C56">
        <v>4569.3729999999996</v>
      </c>
      <c r="D56" s="54">
        <f t="shared" si="5"/>
        <v>255</v>
      </c>
      <c r="E56">
        <f t="shared" si="6"/>
        <v>-16.041000000000167</v>
      </c>
      <c r="F56" s="59">
        <f t="shared" si="9"/>
        <v>253.58826993203698</v>
      </c>
      <c r="G56" s="55">
        <f t="shared" si="7"/>
        <v>-16.041000000000167</v>
      </c>
      <c r="H56" s="54" t="s">
        <v>106</v>
      </c>
      <c r="I56" s="12">
        <f t="shared" si="14"/>
        <v>253.58826993203698</v>
      </c>
      <c r="J56" s="55">
        <f t="shared" si="12"/>
        <v>-6.331000000000131</v>
      </c>
      <c r="M56" s="81">
        <f t="shared" si="11"/>
        <v>253.58826993203698</v>
      </c>
      <c r="N56" s="116">
        <f t="shared" si="13"/>
        <v>-10.986000000000786</v>
      </c>
      <c r="P56" s="84">
        <f t="shared" si="2"/>
        <v>253.58826993203698</v>
      </c>
      <c r="Q56" s="83">
        <f t="shared" si="3"/>
        <v>-10.986000000000786</v>
      </c>
      <c r="X56" s="12"/>
      <c r="Y56" s="12"/>
    </row>
    <row r="57" spans="1:26" ht="15.75" thickBot="1" x14ac:dyDescent="0.3">
      <c r="A57" t="s">
        <v>57</v>
      </c>
      <c r="B57">
        <f t="shared" si="8"/>
        <v>260</v>
      </c>
      <c r="C57">
        <v>4570.5820000000003</v>
      </c>
      <c r="D57" s="54">
        <f t="shared" si="5"/>
        <v>260</v>
      </c>
      <c r="E57">
        <f t="shared" si="6"/>
        <v>-14.831999999999425</v>
      </c>
      <c r="F57" s="59">
        <f t="shared" si="9"/>
        <v>258.43990048268677</v>
      </c>
      <c r="G57" s="55">
        <f t="shared" si="7"/>
        <v>-14.831999999999425</v>
      </c>
      <c r="H57" s="54" t="s">
        <v>107</v>
      </c>
      <c r="I57" s="12">
        <f t="shared" si="14"/>
        <v>258.43990048268677</v>
      </c>
      <c r="J57" s="55">
        <f t="shared" si="12"/>
        <v>-6.6369999999997162</v>
      </c>
      <c r="M57" s="81">
        <f t="shared" si="11"/>
        <v>258.43990048268677</v>
      </c>
      <c r="N57" s="116">
        <f t="shared" si="13"/>
        <v>-9.7770000000000437</v>
      </c>
      <c r="P57" s="84">
        <f t="shared" si="2"/>
        <v>258.43990048268677</v>
      </c>
      <c r="Q57" s="83">
        <f t="shared" si="3"/>
        <v>-9.7770000000000437</v>
      </c>
      <c r="X57" s="12"/>
      <c r="Y57" s="12"/>
    </row>
    <row r="58" spans="1:26" ht="15.75" thickBot="1" x14ac:dyDescent="0.3">
      <c r="A58" t="s">
        <v>58</v>
      </c>
      <c r="B58">
        <f t="shared" si="8"/>
        <v>265</v>
      </c>
      <c r="C58">
        <v>4572.0330000000004</v>
      </c>
      <c r="D58" s="54">
        <f t="shared" si="5"/>
        <v>265</v>
      </c>
      <c r="E58">
        <f t="shared" si="6"/>
        <v>-13.380999999999403</v>
      </c>
      <c r="F58" s="59">
        <f t="shared" si="9"/>
        <v>263.22473057371406</v>
      </c>
      <c r="G58" s="55">
        <f t="shared" si="7"/>
        <v>-13.380999999999403</v>
      </c>
      <c r="H58" s="54" t="s">
        <v>108</v>
      </c>
      <c r="I58" s="12">
        <f t="shared" si="14"/>
        <v>263.22473057371406</v>
      </c>
      <c r="J58" s="55">
        <f t="shared" si="12"/>
        <v>-7.0850000000000364</v>
      </c>
      <c r="M58" s="81">
        <f t="shared" si="11"/>
        <v>263.22473057371406</v>
      </c>
      <c r="N58" s="116">
        <f t="shared" si="13"/>
        <v>-8.3260000000000218</v>
      </c>
      <c r="P58" s="84">
        <f t="shared" si="2"/>
        <v>263.22473057371406</v>
      </c>
      <c r="Q58" s="83">
        <f t="shared" si="3"/>
        <v>-8.3260000000000218</v>
      </c>
    </row>
    <row r="59" spans="1:26" ht="15.75" thickBot="1" x14ac:dyDescent="0.3">
      <c r="A59" t="s">
        <v>59</v>
      </c>
      <c r="B59">
        <f t="shared" si="8"/>
        <v>270</v>
      </c>
      <c r="C59">
        <v>4572.8829999999998</v>
      </c>
      <c r="D59" s="54">
        <f t="shared" si="5"/>
        <v>270</v>
      </c>
      <c r="E59">
        <f t="shared" si="6"/>
        <v>-12.530999999999949</v>
      </c>
      <c r="F59" s="59">
        <f t="shared" si="9"/>
        <v>268.15195088541122</v>
      </c>
      <c r="G59" s="55">
        <f t="shared" si="7"/>
        <v>-12.530999999999949</v>
      </c>
      <c r="H59" s="54" t="s">
        <v>109</v>
      </c>
      <c r="I59" s="12">
        <f t="shared" si="14"/>
        <v>268.15195088541122</v>
      </c>
      <c r="J59" s="55">
        <f t="shared" si="12"/>
        <v>-7.5549999999993815</v>
      </c>
      <c r="M59" s="81">
        <f t="shared" si="11"/>
        <v>268.15195088541122</v>
      </c>
      <c r="N59" s="116">
        <f t="shared" si="13"/>
        <v>-7.4760000000005675</v>
      </c>
      <c r="P59" s="84">
        <f t="shared" si="2"/>
        <v>268.15195088541122</v>
      </c>
      <c r="Q59" s="83">
        <f t="shared" si="3"/>
        <v>-7.4760000000005675</v>
      </c>
    </row>
    <row r="60" spans="1:26" ht="15.75" thickBot="1" x14ac:dyDescent="0.3">
      <c r="A60" t="s">
        <v>60</v>
      </c>
      <c r="B60">
        <f t="shared" si="8"/>
        <v>275</v>
      </c>
      <c r="C60">
        <v>4573.451</v>
      </c>
      <c r="D60" s="54">
        <f t="shared" si="5"/>
        <v>275</v>
      </c>
      <c r="E60">
        <f t="shared" si="6"/>
        <v>-11.962999999999738</v>
      </c>
      <c r="F60" s="59">
        <f t="shared" si="9"/>
        <v>273.119583722085</v>
      </c>
      <c r="G60" s="55">
        <f t="shared" si="7"/>
        <v>-11.962999999999738</v>
      </c>
      <c r="H60" s="54" t="s">
        <v>110</v>
      </c>
      <c r="I60" s="12">
        <f t="shared" si="14"/>
        <v>273.119583722085</v>
      </c>
      <c r="J60" s="55">
        <f t="shared" si="12"/>
        <v>-8.4200000000000728</v>
      </c>
      <c r="M60" s="81">
        <f t="shared" si="11"/>
        <v>273.119583722085</v>
      </c>
      <c r="N60" s="116">
        <f t="shared" si="13"/>
        <v>-6.9080000000003565</v>
      </c>
      <c r="P60" s="84">
        <f t="shared" si="2"/>
        <v>273.119583722085</v>
      </c>
      <c r="Q60" s="83">
        <f t="shared" si="3"/>
        <v>-6.9080000000003565</v>
      </c>
    </row>
    <row r="61" spans="1:26" ht="15.75" thickBot="1" x14ac:dyDescent="0.3">
      <c r="A61" t="s">
        <v>61</v>
      </c>
      <c r="B61">
        <f t="shared" si="8"/>
        <v>280</v>
      </c>
      <c r="C61">
        <v>4573.37</v>
      </c>
      <c r="D61" s="54">
        <f t="shared" si="5"/>
        <v>280</v>
      </c>
      <c r="E61">
        <f t="shared" si="6"/>
        <v>-12.043999999999869</v>
      </c>
      <c r="F61" s="59">
        <f t="shared" si="9"/>
        <v>278.11892757903263</v>
      </c>
      <c r="G61" s="55">
        <f t="shared" si="7"/>
        <v>-12.043999999999869</v>
      </c>
      <c r="H61" s="54" t="s">
        <v>111</v>
      </c>
      <c r="I61" s="12">
        <f t="shared" si="14"/>
        <v>278.11892757903263</v>
      </c>
      <c r="J61" s="55">
        <f t="shared" si="12"/>
        <v>-9.2899999999999636</v>
      </c>
      <c r="M61" s="81">
        <f t="shared" si="11"/>
        <v>278.11892757903263</v>
      </c>
      <c r="N61" s="116">
        <f t="shared" si="13"/>
        <v>-6.9890000000004875</v>
      </c>
      <c r="P61" s="84">
        <f t="shared" si="2"/>
        <v>278.11892757903263</v>
      </c>
      <c r="Q61" s="83">
        <f t="shared" si="3"/>
        <v>-6.9890000000004875</v>
      </c>
    </row>
    <row r="62" spans="1:26" ht="15.75" thickBot="1" x14ac:dyDescent="0.3">
      <c r="A62" t="s">
        <v>62</v>
      </c>
      <c r="B62">
        <f t="shared" si="8"/>
        <v>285</v>
      </c>
      <c r="C62">
        <v>4572.732</v>
      </c>
      <c r="D62" s="54">
        <f t="shared" si="5"/>
        <v>285</v>
      </c>
      <c r="E62">
        <f t="shared" si="6"/>
        <v>-12.681999999999789</v>
      </c>
      <c r="F62" s="59">
        <f t="shared" si="9"/>
        <v>283.07805613151038</v>
      </c>
      <c r="G62" s="55">
        <f t="shared" si="7"/>
        <v>-12.681999999999789</v>
      </c>
      <c r="H62" s="54" t="s">
        <v>112</v>
      </c>
      <c r="I62" s="12">
        <f t="shared" si="14"/>
        <v>283.07805613151038</v>
      </c>
      <c r="J62" s="55">
        <f t="shared" si="12"/>
        <v>-10.030999999999949</v>
      </c>
      <c r="M62" s="81">
        <f t="shared" si="11"/>
        <v>283.07805613151038</v>
      </c>
      <c r="N62" s="116">
        <f t="shared" si="13"/>
        <v>-7.6270000000004075</v>
      </c>
      <c r="P62" s="84">
        <f t="shared" si="2"/>
        <v>283.07805613151038</v>
      </c>
      <c r="Q62" s="83">
        <f t="shared" si="3"/>
        <v>-7.6270000000004075</v>
      </c>
    </row>
    <row r="63" spans="1:26" ht="15.75" thickBot="1" x14ac:dyDescent="0.3">
      <c r="A63" t="s">
        <v>63</v>
      </c>
      <c r="B63">
        <f t="shared" si="8"/>
        <v>290</v>
      </c>
      <c r="C63">
        <v>4574.2</v>
      </c>
      <c r="D63" s="54">
        <f t="shared" si="5"/>
        <v>290</v>
      </c>
      <c r="E63">
        <f t="shared" si="6"/>
        <v>-11.213999999999942</v>
      </c>
      <c r="F63" s="59">
        <f t="shared" si="9"/>
        <v>287.85769795909539</v>
      </c>
      <c r="G63" s="55">
        <f t="shared" si="7"/>
        <v>-11.213999999999942</v>
      </c>
      <c r="H63" s="54" t="s">
        <v>113</v>
      </c>
      <c r="I63" s="12">
        <f t="shared" si="14"/>
        <v>287.85769795909539</v>
      </c>
      <c r="J63" s="55">
        <f t="shared" si="12"/>
        <v>-10.936999999999898</v>
      </c>
      <c r="M63" s="81">
        <f t="shared" si="11"/>
        <v>287.85769795909539</v>
      </c>
      <c r="N63" s="116">
        <f t="shared" si="13"/>
        <v>-6.1590000000005602</v>
      </c>
      <c r="P63" s="84">
        <f t="shared" si="2"/>
        <v>287.85769795909539</v>
      </c>
      <c r="Q63" s="83">
        <f t="shared" si="3"/>
        <v>-6.1590000000005602</v>
      </c>
    </row>
    <row r="64" spans="1:26" ht="15.75" thickBot="1" x14ac:dyDescent="0.3">
      <c r="A64" t="s">
        <v>64</v>
      </c>
      <c r="B64">
        <f t="shared" si="8"/>
        <v>295</v>
      </c>
      <c r="C64">
        <v>4574.6629999999996</v>
      </c>
      <c r="D64" s="54">
        <f t="shared" si="5"/>
        <v>295</v>
      </c>
      <c r="E64">
        <f t="shared" si="6"/>
        <v>-10.751000000000204</v>
      </c>
      <c r="F64" s="59">
        <f t="shared" si="9"/>
        <v>292.83621490694242</v>
      </c>
      <c r="G64" s="55">
        <f t="shared" si="7"/>
        <v>-10.751000000000204</v>
      </c>
      <c r="H64" s="54" t="s">
        <v>114</v>
      </c>
      <c r="I64" s="12">
        <f t="shared" si="14"/>
        <v>292.83621490694242</v>
      </c>
      <c r="J64" s="55">
        <f t="shared" si="12"/>
        <v>-11.483999999999469</v>
      </c>
      <c r="M64" s="81">
        <f t="shared" si="11"/>
        <v>292.83621490694242</v>
      </c>
      <c r="N64" s="116">
        <f t="shared" si="13"/>
        <v>-5.6960000000008222</v>
      </c>
      <c r="P64" s="84">
        <f t="shared" si="2"/>
        <v>292.83621490694242</v>
      </c>
      <c r="Q64" s="83">
        <f t="shared" si="3"/>
        <v>-5.6960000000008222</v>
      </c>
    </row>
    <row r="65" spans="1:17" ht="15.75" thickBot="1" x14ac:dyDescent="0.3">
      <c r="A65" t="s">
        <v>65</v>
      </c>
      <c r="B65">
        <f t="shared" si="8"/>
        <v>300</v>
      </c>
      <c r="C65">
        <v>4578.13</v>
      </c>
      <c r="D65" s="54">
        <f t="shared" si="5"/>
        <v>300</v>
      </c>
      <c r="E65">
        <f t="shared" si="6"/>
        <v>-7.2839999999996508</v>
      </c>
      <c r="F65" s="59">
        <f t="shared" si="9"/>
        <v>296.43897926226686</v>
      </c>
      <c r="G65" s="55">
        <f t="shared" si="7"/>
        <v>-7.2839999999996508</v>
      </c>
      <c r="H65" s="54" t="s">
        <v>115</v>
      </c>
      <c r="I65" s="12">
        <f t="shared" si="14"/>
        <v>296.43897926226686</v>
      </c>
      <c r="J65" s="55">
        <f t="shared" si="12"/>
        <v>-12.480999999999767</v>
      </c>
      <c r="M65" s="81">
        <f t="shared" si="11"/>
        <v>296.43897926226686</v>
      </c>
      <c r="N65" s="116">
        <f t="shared" si="13"/>
        <v>-2.2290000000002692</v>
      </c>
      <c r="P65" s="84">
        <f t="shared" si="2"/>
        <v>296.43897926226686</v>
      </c>
      <c r="Q65" s="83">
        <f t="shared" si="3"/>
        <v>-2.2290000000002692</v>
      </c>
    </row>
    <row r="66" spans="1:17" ht="15.75" thickBot="1" x14ac:dyDescent="0.3">
      <c r="A66" t="s">
        <v>66</v>
      </c>
      <c r="B66">
        <f t="shared" si="8"/>
        <v>305</v>
      </c>
      <c r="C66">
        <v>4578.8090000000002</v>
      </c>
      <c r="D66" s="54">
        <f t="shared" si="5"/>
        <v>305</v>
      </c>
      <c r="E66">
        <f t="shared" si="6"/>
        <v>-6.6049999999995634</v>
      </c>
      <c r="F66" s="59">
        <f t="shared" si="9"/>
        <v>301.39266062061034</v>
      </c>
      <c r="G66" s="55">
        <f t="shared" si="7"/>
        <v>-6.6049999999995634</v>
      </c>
      <c r="H66" s="54" t="s">
        <v>116</v>
      </c>
      <c r="I66" s="12">
        <f t="shared" si="14"/>
        <v>301.39266062061034</v>
      </c>
      <c r="J66" s="55">
        <f t="shared" si="12"/>
        <v>-13.300000000000182</v>
      </c>
      <c r="M66" s="81">
        <f t="shared" si="11"/>
        <v>301.39266062061034</v>
      </c>
      <c r="N66" s="116">
        <f t="shared" si="13"/>
        <v>-1.5500000000001819</v>
      </c>
      <c r="P66" s="84">
        <f t="shared" si="2"/>
        <v>301.39266062061034</v>
      </c>
      <c r="Q66" s="83">
        <f t="shared" si="3"/>
        <v>-1.5500000000001819</v>
      </c>
    </row>
    <row r="67" spans="1:17" ht="15.75" thickBot="1" x14ac:dyDescent="0.3">
      <c r="A67" t="s">
        <v>67</v>
      </c>
      <c r="B67">
        <f t="shared" si="8"/>
        <v>310</v>
      </c>
      <c r="C67">
        <v>4578.2950000000001</v>
      </c>
      <c r="D67" s="54">
        <f t="shared" si="5"/>
        <v>310</v>
      </c>
      <c r="E67">
        <f t="shared" si="6"/>
        <v>-7.1189999999996871</v>
      </c>
      <c r="F67" s="59">
        <f t="shared" si="9"/>
        <v>306.36617084981464</v>
      </c>
      <c r="G67" s="55">
        <f t="shared" si="7"/>
        <v>-7.1189999999996871</v>
      </c>
      <c r="H67" s="54" t="s">
        <v>117</v>
      </c>
      <c r="I67" s="12">
        <f t="shared" si="14"/>
        <v>306.36617084981464</v>
      </c>
      <c r="J67" s="55">
        <f t="shared" si="12"/>
        <v>-13.773000000000138</v>
      </c>
      <c r="M67" s="81">
        <f t="shared" si="11"/>
        <v>306.36617084981464</v>
      </c>
      <c r="N67" s="116">
        <f t="shared" si="13"/>
        <v>-2.0640000000003056</v>
      </c>
      <c r="P67" s="84">
        <f t="shared" si="2"/>
        <v>306.36617084981464</v>
      </c>
      <c r="Q67" s="83">
        <f t="shared" si="3"/>
        <v>-2.0640000000003056</v>
      </c>
    </row>
    <row r="68" spans="1:17" ht="15.75" thickBot="1" x14ac:dyDescent="0.3">
      <c r="A68" t="s">
        <v>68</v>
      </c>
      <c r="B68">
        <f t="shared" si="8"/>
        <v>315</v>
      </c>
      <c r="C68">
        <v>4581.2359999999999</v>
      </c>
      <c r="D68" s="54">
        <f t="shared" si="5"/>
        <v>315</v>
      </c>
      <c r="E68">
        <f t="shared" si="6"/>
        <v>-4.1779999999998836</v>
      </c>
      <c r="F68" s="59">
        <f t="shared" si="9"/>
        <v>310.40974834999946</v>
      </c>
      <c r="G68" s="55">
        <f t="shared" si="7"/>
        <v>-4.1779999999998836</v>
      </c>
      <c r="H68" s="54" t="s">
        <v>118</v>
      </c>
      <c r="I68" s="12">
        <f t="shared" si="14"/>
        <v>310.40974834999946</v>
      </c>
      <c r="J68" s="55">
        <f t="shared" si="12"/>
        <v>-14.300999999999476</v>
      </c>
      <c r="M68" s="81">
        <f t="shared" si="11"/>
        <v>310.40974834999946</v>
      </c>
      <c r="N68" s="116">
        <f t="shared" si="13"/>
        <v>0.87699999999949796</v>
      </c>
      <c r="P68" s="84">
        <f t="shared" si="2"/>
        <v>310.40974834999946</v>
      </c>
      <c r="Q68" s="83">
        <f t="shared" si="3"/>
        <v>0.87699999999949796</v>
      </c>
    </row>
    <row r="69" spans="1:17" ht="15.75" thickBot="1" x14ac:dyDescent="0.3">
      <c r="A69" t="s">
        <v>69</v>
      </c>
      <c r="B69">
        <f t="shared" si="8"/>
        <v>320</v>
      </c>
      <c r="C69">
        <v>4583.7650000000003</v>
      </c>
      <c r="D69" s="54">
        <f t="shared" si="5"/>
        <v>320</v>
      </c>
      <c r="E69">
        <f t="shared" si="6"/>
        <v>-1.6489999999994325</v>
      </c>
      <c r="F69" s="59">
        <f t="shared" si="9"/>
        <v>314.72300222613495</v>
      </c>
      <c r="G69" s="55">
        <f t="shared" si="7"/>
        <v>-1.6489999999994325</v>
      </c>
      <c r="H69" s="54" t="s">
        <v>119</v>
      </c>
      <c r="I69" s="12">
        <f t="shared" si="14"/>
        <v>314.72300222613495</v>
      </c>
      <c r="J69" s="55">
        <f t="shared" si="12"/>
        <v>-15.306999999999789</v>
      </c>
      <c r="M69" s="81">
        <f t="shared" si="11"/>
        <v>314.72300222613495</v>
      </c>
      <c r="N69" s="116">
        <f t="shared" si="13"/>
        <v>3.4059999999999491</v>
      </c>
      <c r="P69" s="84">
        <f t="shared" ref="P69:P76" si="15">F69</f>
        <v>314.72300222613495</v>
      </c>
      <c r="Q69" s="83">
        <f t="shared" ref="Q69:Q76" si="16">G69-$S$1</f>
        <v>3.4059999999999491</v>
      </c>
    </row>
    <row r="70" spans="1:17" ht="15.75" thickBot="1" x14ac:dyDescent="0.3">
      <c r="A70" t="s">
        <v>70</v>
      </c>
      <c r="B70">
        <f t="shared" si="8"/>
        <v>325</v>
      </c>
      <c r="C70">
        <v>4581.5050000000001</v>
      </c>
      <c r="D70" s="54">
        <f t="shared" ref="D70:D76" si="17">B70</f>
        <v>325</v>
      </c>
      <c r="E70">
        <f t="shared" ref="E70:E76" si="18">C70-(MAX($C$5:$C$52))</f>
        <v>-3.9089999999996508</v>
      </c>
      <c r="F70" s="59">
        <f t="shared" si="9"/>
        <v>319.18309191133176</v>
      </c>
      <c r="G70" s="55">
        <f t="shared" ref="G70:G76" si="19">E70</f>
        <v>-3.9089999999996508</v>
      </c>
      <c r="H70" s="54" t="s">
        <v>120</v>
      </c>
      <c r="I70" s="12">
        <f t="shared" si="14"/>
        <v>319.18309191133176</v>
      </c>
      <c r="J70" s="55">
        <f t="shared" si="12"/>
        <v>-15.796999999999571</v>
      </c>
      <c r="M70" s="81">
        <f t="shared" si="11"/>
        <v>319.18309191133176</v>
      </c>
      <c r="N70" s="116">
        <f t="shared" si="13"/>
        <v>1.1459999999997308</v>
      </c>
      <c r="P70" s="84">
        <f t="shared" si="15"/>
        <v>319.18309191133176</v>
      </c>
      <c r="Q70" s="83">
        <f t="shared" si="16"/>
        <v>1.1459999999997308</v>
      </c>
    </row>
    <row r="71" spans="1:17" ht="15.75" thickBot="1" x14ac:dyDescent="0.3">
      <c r="A71" t="s">
        <v>71</v>
      </c>
      <c r="B71">
        <f t="shared" ref="B71:B76" si="20">B70+$B$2</f>
        <v>330</v>
      </c>
      <c r="C71">
        <v>4583.5420000000004</v>
      </c>
      <c r="D71" s="54">
        <f t="shared" si="17"/>
        <v>330</v>
      </c>
      <c r="E71">
        <f t="shared" si="18"/>
        <v>-1.8719999999993888</v>
      </c>
      <c r="F71" s="59">
        <f t="shared" ref="F71:F76" si="21">F70+(SQRT((D71-D70)^2-(E71-E70)^2))</f>
        <v>323.74934102849551</v>
      </c>
      <c r="G71" s="55">
        <f t="shared" si="19"/>
        <v>-1.8719999999993888</v>
      </c>
      <c r="H71" s="54" t="s">
        <v>121</v>
      </c>
      <c r="I71" s="12">
        <f t="shared" si="14"/>
        <v>323.74934102849551</v>
      </c>
      <c r="J71" s="55">
        <f t="shared" si="12"/>
        <v>-16.273999999999432</v>
      </c>
      <c r="M71" s="81">
        <f t="shared" si="11"/>
        <v>323.74934102849551</v>
      </c>
      <c r="N71" s="116">
        <f t="shared" si="13"/>
        <v>3.1829999999999927</v>
      </c>
      <c r="P71" s="84">
        <f t="shared" si="15"/>
        <v>323.74934102849551</v>
      </c>
      <c r="Q71" s="83">
        <f t="shared" si="16"/>
        <v>3.1829999999999927</v>
      </c>
    </row>
    <row r="72" spans="1:17" ht="15.75" thickBot="1" x14ac:dyDescent="0.3">
      <c r="A72" t="s">
        <v>72</v>
      </c>
      <c r="B72">
        <f t="shared" si="20"/>
        <v>335</v>
      </c>
      <c r="C72">
        <v>4584.59</v>
      </c>
      <c r="D72" s="54">
        <f t="shared" si="17"/>
        <v>335</v>
      </c>
      <c r="E72">
        <f t="shared" si="18"/>
        <v>-0.82399999999961437</v>
      </c>
      <c r="F72" s="59">
        <f t="shared" si="21"/>
        <v>328.63827710907589</v>
      </c>
      <c r="G72" s="55">
        <f t="shared" si="19"/>
        <v>-0.82399999999961437</v>
      </c>
      <c r="H72" s="54" t="s">
        <v>122</v>
      </c>
      <c r="I72" s="12">
        <f t="shared" si="14"/>
        <v>328.63827710907589</v>
      </c>
      <c r="J72" s="55">
        <f t="shared" si="12"/>
        <v>-17.001999999999498</v>
      </c>
      <c r="M72" s="81">
        <f t="shared" si="11"/>
        <v>328.63827710907589</v>
      </c>
      <c r="N72" s="116">
        <f t="shared" si="13"/>
        <v>4.2309999999997672</v>
      </c>
      <c r="P72" s="84">
        <f t="shared" si="15"/>
        <v>328.63827710907589</v>
      </c>
      <c r="Q72" s="83">
        <f t="shared" si="16"/>
        <v>4.2309999999997672</v>
      </c>
    </row>
    <row r="73" spans="1:17" ht="15.75" thickBot="1" x14ac:dyDescent="0.3">
      <c r="A73" t="s">
        <v>73</v>
      </c>
      <c r="B73">
        <f t="shared" si="20"/>
        <v>340</v>
      </c>
      <c r="C73">
        <v>4583.5429999999997</v>
      </c>
      <c r="D73" s="54">
        <f t="shared" si="17"/>
        <v>340</v>
      </c>
      <c r="E73">
        <f t="shared" si="18"/>
        <v>-1.8710000000000946</v>
      </c>
      <c r="F73" s="59">
        <f t="shared" si="21"/>
        <v>333.52742744425672</v>
      </c>
      <c r="G73" s="55">
        <f t="shared" si="19"/>
        <v>-1.8710000000000946</v>
      </c>
      <c r="H73" s="54" t="s">
        <v>123</v>
      </c>
      <c r="I73" s="12">
        <f t="shared" si="14"/>
        <v>333.52742744425672</v>
      </c>
      <c r="J73" s="55">
        <f t="shared" si="12"/>
        <v>-17.411999999999352</v>
      </c>
      <c r="M73" s="81">
        <f t="shared" si="11"/>
        <v>333.52742744425672</v>
      </c>
      <c r="N73" s="116">
        <f t="shared" si="13"/>
        <v>3.183999999999287</v>
      </c>
      <c r="P73" s="84">
        <f t="shared" si="15"/>
        <v>333.52742744425672</v>
      </c>
      <c r="Q73" s="83">
        <f t="shared" si="16"/>
        <v>3.183999999999287</v>
      </c>
    </row>
    <row r="74" spans="1:17" ht="15.75" thickBot="1" x14ac:dyDescent="0.3">
      <c r="A74" t="s">
        <v>74</v>
      </c>
      <c r="B74">
        <f t="shared" si="20"/>
        <v>345</v>
      </c>
      <c r="C74">
        <v>4583.5619999999999</v>
      </c>
      <c r="D74" s="54">
        <f t="shared" si="17"/>
        <v>345</v>
      </c>
      <c r="E74">
        <f t="shared" si="18"/>
        <v>-1.8519999999998618</v>
      </c>
      <c r="F74" s="59">
        <f t="shared" si="21"/>
        <v>338.52739134412639</v>
      </c>
      <c r="G74" s="55">
        <f t="shared" si="19"/>
        <v>-1.8519999999998618</v>
      </c>
      <c r="H74" s="54" t="s">
        <v>124</v>
      </c>
      <c r="I74" s="12">
        <f t="shared" si="14"/>
        <v>338.52739134412639</v>
      </c>
      <c r="J74" s="55">
        <f t="shared" si="12"/>
        <v>-17.912999999999556</v>
      </c>
      <c r="M74" s="81">
        <f t="shared" si="11"/>
        <v>338.52739134412639</v>
      </c>
      <c r="N74" s="116">
        <f t="shared" si="13"/>
        <v>3.2029999999995198</v>
      </c>
      <c r="P74" s="84">
        <f t="shared" si="15"/>
        <v>338.52739134412639</v>
      </c>
      <c r="Q74" s="83">
        <f t="shared" si="16"/>
        <v>3.2029999999995198</v>
      </c>
    </row>
    <row r="75" spans="1:17" ht="15.75" thickBot="1" x14ac:dyDescent="0.3">
      <c r="A75" t="s">
        <v>75</v>
      </c>
      <c r="B75">
        <f t="shared" si="20"/>
        <v>350</v>
      </c>
      <c r="C75">
        <v>4584.5079999999998</v>
      </c>
      <c r="D75" s="54">
        <f t="shared" si="17"/>
        <v>350</v>
      </c>
      <c r="E75">
        <f t="shared" si="18"/>
        <v>-0.90599999999994907</v>
      </c>
      <c r="F75" s="59">
        <f t="shared" si="21"/>
        <v>343.43708420621056</v>
      </c>
      <c r="G75" s="55">
        <f t="shared" si="19"/>
        <v>-0.90599999999994907</v>
      </c>
      <c r="H75" s="54" t="s">
        <v>125</v>
      </c>
      <c r="I75" s="12">
        <f t="shared" si="14"/>
        <v>343.43708420621056</v>
      </c>
      <c r="J75" s="55">
        <f t="shared" si="12"/>
        <v>-18.194999999999709</v>
      </c>
      <c r="M75" s="81">
        <f t="shared" si="11"/>
        <v>343.43708420621056</v>
      </c>
      <c r="N75" s="116">
        <f t="shared" si="13"/>
        <v>4.1489999999994325</v>
      </c>
      <c r="P75" s="84">
        <f t="shared" si="15"/>
        <v>343.43708420621056</v>
      </c>
      <c r="Q75" s="83">
        <f t="shared" si="16"/>
        <v>4.1489999999994325</v>
      </c>
    </row>
    <row r="76" spans="1:17" ht="15.75" thickBot="1" x14ac:dyDescent="0.3">
      <c r="A76" t="s">
        <v>76</v>
      </c>
      <c r="B76">
        <f t="shared" si="20"/>
        <v>355</v>
      </c>
      <c r="C76">
        <v>4585.9440000000004</v>
      </c>
      <c r="D76" s="54">
        <f t="shared" si="17"/>
        <v>355</v>
      </c>
      <c r="E76">
        <f t="shared" si="18"/>
        <v>0.53000000000065484</v>
      </c>
      <c r="F76" s="59">
        <f t="shared" si="21"/>
        <v>348.22643739844835</v>
      </c>
      <c r="G76" s="55">
        <f t="shared" si="19"/>
        <v>0.53000000000065484</v>
      </c>
      <c r="H76" s="54" t="s">
        <v>126</v>
      </c>
      <c r="I76" s="12">
        <f t="shared" si="14"/>
        <v>348.22643739844835</v>
      </c>
      <c r="J76" s="55">
        <f t="shared" si="12"/>
        <v>-18.456000000000131</v>
      </c>
      <c r="M76" s="82">
        <f t="shared" si="11"/>
        <v>348.22643739844835</v>
      </c>
      <c r="N76" s="116">
        <f t="shared" si="13"/>
        <v>5.5850000000000364</v>
      </c>
      <c r="P76" s="84">
        <f t="shared" si="15"/>
        <v>348.22643739844835</v>
      </c>
      <c r="Q76" s="83">
        <f t="shared" si="16"/>
        <v>5.5850000000000364</v>
      </c>
    </row>
    <row r="77" spans="1:17" x14ac:dyDescent="0.25">
      <c r="D77" s="56"/>
      <c r="E77" s="57"/>
      <c r="F77" s="108"/>
      <c r="I77" s="12"/>
    </row>
  </sheetData>
  <phoneticPr fontId="9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BADC-09D6-4E0F-8DC6-2E9B3CBAD123}">
  <dimension ref="A1:Z77"/>
  <sheetViews>
    <sheetView topLeftCell="A18" workbookViewId="0">
      <selection activeCell="P5" sqref="P5:Q52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322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MAX(J17:J40)</f>
        <v>-8.524000000000342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s="1" customFormat="1" ht="15.75" x14ac:dyDescent="0.25">
      <c r="A2" s="135" t="s">
        <v>332</v>
      </c>
      <c r="B2" s="136">
        <v>5</v>
      </c>
      <c r="D2" s="62"/>
      <c r="F2" s="62"/>
      <c r="G2" s="58"/>
      <c r="H2" s="62"/>
      <c r="M2" s="131"/>
      <c r="N2" s="132"/>
      <c r="O2" s="132"/>
      <c r="P2" s="133"/>
      <c r="Q2" s="132"/>
      <c r="R2" s="132"/>
      <c r="S2" s="132"/>
      <c r="T2" s="132"/>
      <c r="U2" s="67"/>
      <c r="V2" s="67"/>
      <c r="W2" s="67"/>
      <c r="X2" s="67"/>
      <c r="Y2" s="67"/>
      <c r="Z2" s="134"/>
    </row>
    <row r="3" spans="1:26" x14ac:dyDescent="0.25">
      <c r="A3" s="1" t="s">
        <v>175</v>
      </c>
      <c r="B3">
        <v>5</v>
      </c>
      <c r="C3" s="1"/>
      <c r="D3" s="62"/>
      <c r="E3" s="1"/>
      <c r="F3" s="62"/>
      <c r="G3" s="58"/>
      <c r="H3" s="62"/>
      <c r="I3" s="1"/>
      <c r="J3" s="119"/>
      <c r="K3" s="1"/>
      <c r="L3" s="1"/>
      <c r="M3" s="79" t="s">
        <v>328</v>
      </c>
      <c r="N3" s="72"/>
      <c r="O3" s="73"/>
      <c r="P3" s="71" t="s">
        <v>325</v>
      </c>
      <c r="Q3" s="73"/>
      <c r="R3" s="73"/>
      <c r="S3" s="73"/>
      <c r="T3" s="73"/>
      <c r="Z3" s="80"/>
    </row>
    <row r="4" spans="1:26" x14ac:dyDescent="0.25">
      <c r="A4" s="1" t="s">
        <v>175</v>
      </c>
      <c r="B4" s="109"/>
      <c r="C4" s="109"/>
      <c r="D4" s="110"/>
      <c r="E4" s="109"/>
      <c r="F4" s="110"/>
      <c r="G4" s="111"/>
      <c r="H4" s="120"/>
      <c r="I4" s="120"/>
      <c r="J4" s="121"/>
      <c r="K4" s="114"/>
      <c r="L4" s="114" t="s">
        <v>175</v>
      </c>
      <c r="M4" s="122"/>
      <c r="N4" s="120"/>
      <c r="O4" s="116"/>
      <c r="P4" s="71"/>
      <c r="Q4" s="116"/>
      <c r="R4" s="73"/>
      <c r="S4" s="73"/>
      <c r="T4" s="116"/>
      <c r="U4" s="116">
        <f>-B3</f>
        <v>-5</v>
      </c>
      <c r="V4" s="116">
        <f>N16</f>
        <v>-13.494999999999891</v>
      </c>
      <c r="W4" s="116"/>
      <c r="X4" s="117">
        <f t="shared" ref="X4:X28" si="0">M16-(MIN($M$17:$M$40))</f>
        <v>-5</v>
      </c>
      <c r="Y4" s="117">
        <f>V4</f>
        <v>-13.494999999999891</v>
      </c>
      <c r="Z4" s="118"/>
    </row>
    <row r="5" spans="1:26" x14ac:dyDescent="0.25">
      <c r="A5" t="s">
        <v>5</v>
      </c>
      <c r="B5">
        <v>0</v>
      </c>
      <c r="C5">
        <v>4515</v>
      </c>
      <c r="D5" s="54">
        <f>B5</f>
        <v>0</v>
      </c>
      <c r="E5">
        <f>C5-(MAX($C$5:$C$52))</f>
        <v>-25.768000000000029</v>
      </c>
      <c r="F5" s="54">
        <v>0</v>
      </c>
      <c r="G5" s="55">
        <f>E5</f>
        <v>-25.768000000000029</v>
      </c>
      <c r="J5" s="63"/>
      <c r="M5" s="15"/>
      <c r="O5" s="73"/>
      <c r="P5" s="117">
        <f t="shared" ref="P5:P52" si="1">F5</f>
        <v>0</v>
      </c>
      <c r="Q5" s="116">
        <f t="shared" ref="Q5:Q52" si="2">G5-$S$1</f>
        <v>-17.243999999999687</v>
      </c>
      <c r="R5" s="116"/>
      <c r="S5" s="116"/>
      <c r="T5" s="73"/>
      <c r="U5" s="73">
        <v>0</v>
      </c>
      <c r="V5" s="116">
        <f t="shared" ref="V5:V28" si="3">J17</f>
        <v>-21.519000000000233</v>
      </c>
      <c r="W5" s="73"/>
      <c r="X5" s="117">
        <f t="shared" si="0"/>
        <v>0</v>
      </c>
      <c r="Y5" s="117">
        <f t="shared" ref="Y5:Y28" si="4">V5</f>
        <v>-21.519000000000233</v>
      </c>
      <c r="Z5" s="80"/>
    </row>
    <row r="6" spans="1:26" x14ac:dyDescent="0.25">
      <c r="A6" t="s">
        <v>6</v>
      </c>
      <c r="B6">
        <f>B5+$B$2</f>
        <v>5</v>
      </c>
      <c r="C6">
        <v>4515.9560000000001</v>
      </c>
      <c r="D6" s="54">
        <f t="shared" ref="D6:D52" si="5">B6</f>
        <v>5</v>
      </c>
      <c r="E6">
        <f t="shared" ref="E6:E52" si="6">C6-(MAX($C$5:$C$52))</f>
        <v>-24.811999999999898</v>
      </c>
      <c r="F6" s="59">
        <f>F5+(SQRT((D6-D5)^2-(E6-E5)^2))</f>
        <v>4.9077554951321432</v>
      </c>
      <c r="G6" s="55">
        <f t="shared" ref="G6:G52" si="7">E6</f>
        <v>-24.811999999999898</v>
      </c>
      <c r="J6" s="63"/>
      <c r="M6" s="15"/>
      <c r="O6" s="73"/>
      <c r="P6" s="74">
        <f t="shared" si="1"/>
        <v>4.9077554951321432</v>
      </c>
      <c r="Q6" s="73">
        <f t="shared" si="2"/>
        <v>-16.287999999999556</v>
      </c>
      <c r="R6" s="73"/>
      <c r="S6" s="73"/>
      <c r="T6" s="73"/>
      <c r="U6" s="73">
        <f>U5+$B$2</f>
        <v>5</v>
      </c>
      <c r="V6" s="116">
        <f t="shared" si="3"/>
        <v>-21.140000000000327</v>
      </c>
      <c r="W6" s="73"/>
      <c r="X6" s="117">
        <f t="shared" si="0"/>
        <v>4.9856152077752753</v>
      </c>
      <c r="Y6" s="117">
        <f t="shared" si="4"/>
        <v>-21.140000000000327</v>
      </c>
      <c r="Z6" s="80"/>
    </row>
    <row r="7" spans="1:26" x14ac:dyDescent="0.25">
      <c r="A7" t="s">
        <v>7</v>
      </c>
      <c r="B7">
        <f t="shared" ref="B7:B52" si="8">B6+$B$2</f>
        <v>10</v>
      </c>
      <c r="C7">
        <v>4516.1580000000004</v>
      </c>
      <c r="D7" s="54">
        <f t="shared" si="5"/>
        <v>10</v>
      </c>
      <c r="E7">
        <f t="shared" si="6"/>
        <v>-24.609999999999673</v>
      </c>
      <c r="F7" s="59">
        <f t="shared" ref="F7:F52" si="9">F6+(SQRT((D7-D6)^2-(E7-E6)^2))</f>
        <v>9.9036734288055843</v>
      </c>
      <c r="G7" s="55">
        <f t="shared" si="7"/>
        <v>-24.609999999999673</v>
      </c>
      <c r="J7" s="63"/>
      <c r="M7" s="15"/>
      <c r="O7" s="73"/>
      <c r="P7" s="74">
        <f t="shared" si="1"/>
        <v>9.9036734288055843</v>
      </c>
      <c r="Q7" s="73">
        <f t="shared" si="2"/>
        <v>-16.085999999999331</v>
      </c>
      <c r="R7" s="73"/>
      <c r="S7" s="73"/>
      <c r="T7" s="73"/>
      <c r="U7" s="73">
        <f t="shared" ref="U7:U28" si="10">U6+$B$2</f>
        <v>10</v>
      </c>
      <c r="V7" s="116">
        <f t="shared" si="3"/>
        <v>-20.828999999999724</v>
      </c>
      <c r="W7" s="73"/>
      <c r="X7" s="117">
        <f t="shared" si="0"/>
        <v>9.9759337346831174</v>
      </c>
      <c r="Y7" s="117">
        <f t="shared" si="4"/>
        <v>-20.828999999999724</v>
      </c>
      <c r="Z7" s="80"/>
    </row>
    <row r="8" spans="1:26" x14ac:dyDescent="0.25">
      <c r="A8" t="s">
        <v>8</v>
      </c>
      <c r="B8">
        <f t="shared" si="8"/>
        <v>15</v>
      </c>
      <c r="C8">
        <v>4516.3739999999998</v>
      </c>
      <c r="D8" s="54">
        <f t="shared" si="5"/>
        <v>15</v>
      </c>
      <c r="E8">
        <f t="shared" si="6"/>
        <v>-24.394000000000233</v>
      </c>
      <c r="F8" s="59">
        <f t="shared" si="9"/>
        <v>14.8990056499897</v>
      </c>
      <c r="G8" s="55">
        <f t="shared" si="7"/>
        <v>-24.394000000000233</v>
      </c>
      <c r="J8" s="63"/>
      <c r="M8" s="15"/>
      <c r="O8" s="73"/>
      <c r="P8" s="74">
        <f t="shared" si="1"/>
        <v>14.8990056499897</v>
      </c>
      <c r="Q8" s="73">
        <f t="shared" si="2"/>
        <v>-15.869999999999891</v>
      </c>
      <c r="R8" s="73"/>
      <c r="S8" s="73"/>
      <c r="T8" s="73"/>
      <c r="U8" s="73">
        <f t="shared" si="10"/>
        <v>15</v>
      </c>
      <c r="V8" s="116">
        <f t="shared" si="3"/>
        <v>-20.208999999999833</v>
      </c>
      <c r="W8" s="73"/>
      <c r="X8" s="117">
        <f t="shared" si="0"/>
        <v>14.93734482428254</v>
      </c>
      <c r="Y8" s="117">
        <f t="shared" si="4"/>
        <v>-20.208999999999833</v>
      </c>
      <c r="Z8" s="80"/>
    </row>
    <row r="9" spans="1:26" x14ac:dyDescent="0.25">
      <c r="A9" t="s">
        <v>9</v>
      </c>
      <c r="B9">
        <f t="shared" si="8"/>
        <v>20</v>
      </c>
      <c r="C9">
        <v>4516.6369999999997</v>
      </c>
      <c r="D9" s="54">
        <f t="shared" si="5"/>
        <v>20</v>
      </c>
      <c r="E9">
        <f t="shared" si="6"/>
        <v>-24.131000000000313</v>
      </c>
      <c r="F9" s="59">
        <f t="shared" si="9"/>
        <v>19.892083959009099</v>
      </c>
      <c r="G9" s="55">
        <f t="shared" si="7"/>
        <v>-24.131000000000313</v>
      </c>
      <c r="J9" s="63"/>
      <c r="M9" s="15"/>
      <c r="O9" s="73"/>
      <c r="P9" s="74">
        <f t="shared" si="1"/>
        <v>19.892083959009099</v>
      </c>
      <c r="Q9" s="73">
        <f t="shared" si="2"/>
        <v>-15.606999999999971</v>
      </c>
      <c r="R9" s="73"/>
      <c r="S9" s="73"/>
      <c r="T9" s="73"/>
      <c r="U9" s="73">
        <f t="shared" si="10"/>
        <v>20</v>
      </c>
      <c r="V9" s="116">
        <f t="shared" si="3"/>
        <v>-19.672999999999774</v>
      </c>
      <c r="W9" s="73"/>
      <c r="X9" s="117">
        <f t="shared" si="0"/>
        <v>19.908532207594497</v>
      </c>
      <c r="Y9" s="117">
        <f t="shared" si="4"/>
        <v>-19.672999999999774</v>
      </c>
      <c r="Z9" s="80"/>
    </row>
    <row r="10" spans="1:26" x14ac:dyDescent="0.25">
      <c r="A10" t="s">
        <v>10</v>
      </c>
      <c r="B10">
        <f t="shared" si="8"/>
        <v>25</v>
      </c>
      <c r="C10">
        <v>4516.8239999999996</v>
      </c>
      <c r="D10" s="54">
        <f t="shared" si="5"/>
        <v>25</v>
      </c>
      <c r="E10">
        <f t="shared" si="6"/>
        <v>-23.944000000000415</v>
      </c>
      <c r="F10" s="59">
        <f t="shared" si="9"/>
        <v>24.888585835322171</v>
      </c>
      <c r="G10" s="55">
        <f t="shared" si="7"/>
        <v>-23.944000000000415</v>
      </c>
      <c r="J10" s="63"/>
      <c r="M10" s="15"/>
      <c r="O10" s="73"/>
      <c r="P10" s="74">
        <f t="shared" si="1"/>
        <v>24.888585835322171</v>
      </c>
      <c r="Q10" s="73">
        <f t="shared" si="2"/>
        <v>-15.420000000000073</v>
      </c>
      <c r="R10" s="73"/>
      <c r="S10" s="73"/>
      <c r="T10" s="73"/>
      <c r="U10" s="73">
        <f t="shared" si="10"/>
        <v>25</v>
      </c>
      <c r="V10" s="116">
        <f t="shared" si="3"/>
        <v>-19.355999999999767</v>
      </c>
      <c r="W10" s="73"/>
      <c r="X10" s="117">
        <f t="shared" si="0"/>
        <v>24.898473189209405</v>
      </c>
      <c r="Y10" s="117">
        <f t="shared" si="4"/>
        <v>-19.355999999999767</v>
      </c>
      <c r="Z10" s="80"/>
    </row>
    <row r="11" spans="1:26" x14ac:dyDescent="0.25">
      <c r="A11" t="s">
        <v>11</v>
      </c>
      <c r="B11">
        <f t="shared" si="8"/>
        <v>30</v>
      </c>
      <c r="C11">
        <v>4517.085</v>
      </c>
      <c r="D11" s="54">
        <f t="shared" si="5"/>
        <v>30</v>
      </c>
      <c r="E11">
        <f t="shared" si="6"/>
        <v>-23.682999999999993</v>
      </c>
      <c r="F11" s="59">
        <f t="shared" si="9"/>
        <v>29.88176908851845</v>
      </c>
      <c r="G11" s="55">
        <f t="shared" si="7"/>
        <v>-23.682999999999993</v>
      </c>
      <c r="J11" s="63"/>
      <c r="M11" s="15"/>
      <c r="O11" s="73"/>
      <c r="P11" s="74">
        <f t="shared" si="1"/>
        <v>29.88176908851845</v>
      </c>
      <c r="Q11" s="73">
        <f t="shared" si="2"/>
        <v>-15.158999999999651</v>
      </c>
      <c r="R11" s="73"/>
      <c r="S11" s="73"/>
      <c r="T11" s="73"/>
      <c r="U11" s="73">
        <f t="shared" si="10"/>
        <v>30</v>
      </c>
      <c r="V11" s="116">
        <f t="shared" si="3"/>
        <v>-18.890999999999622</v>
      </c>
      <c r="W11" s="73"/>
      <c r="X11" s="117">
        <f t="shared" si="0"/>
        <v>29.876803732674738</v>
      </c>
      <c r="Y11" s="117">
        <f t="shared" si="4"/>
        <v>-18.890999999999622</v>
      </c>
      <c r="Z11" s="80"/>
    </row>
    <row r="12" spans="1:26" x14ac:dyDescent="0.25">
      <c r="A12" t="s">
        <v>12</v>
      </c>
      <c r="B12">
        <f t="shared" si="8"/>
        <v>35</v>
      </c>
      <c r="C12">
        <v>4517.4790000000003</v>
      </c>
      <c r="D12" s="54">
        <f t="shared" si="5"/>
        <v>35</v>
      </c>
      <c r="E12">
        <f t="shared" si="6"/>
        <v>-23.28899999999976</v>
      </c>
      <c r="F12" s="59">
        <f t="shared" si="9"/>
        <v>34.866221315192895</v>
      </c>
      <c r="G12" s="55">
        <f t="shared" si="7"/>
        <v>-23.28899999999976</v>
      </c>
      <c r="J12" s="63"/>
      <c r="M12" s="15"/>
      <c r="O12" s="73"/>
      <c r="P12" s="74">
        <f t="shared" si="1"/>
        <v>34.866221315192895</v>
      </c>
      <c r="Q12" s="73">
        <f t="shared" si="2"/>
        <v>-14.764999999999418</v>
      </c>
      <c r="R12" s="73"/>
      <c r="S12" s="73"/>
      <c r="T12" s="73"/>
      <c r="U12" s="73">
        <f t="shared" si="10"/>
        <v>35</v>
      </c>
      <c r="V12" s="116">
        <f t="shared" si="3"/>
        <v>-17.975000000000364</v>
      </c>
      <c r="W12" s="73"/>
      <c r="X12" s="117">
        <f t="shared" si="0"/>
        <v>34.792182049752817</v>
      </c>
      <c r="Y12" s="117">
        <f t="shared" si="4"/>
        <v>-17.975000000000364</v>
      </c>
      <c r="Z12" s="80"/>
    </row>
    <row r="13" spans="1:26" x14ac:dyDescent="0.25">
      <c r="A13" t="s">
        <v>13</v>
      </c>
      <c r="B13">
        <f t="shared" si="8"/>
        <v>40</v>
      </c>
      <c r="C13">
        <v>4517.7569999999996</v>
      </c>
      <c r="D13" s="54">
        <f t="shared" si="5"/>
        <v>40</v>
      </c>
      <c r="E13">
        <f t="shared" si="6"/>
        <v>-23.011000000000422</v>
      </c>
      <c r="F13" s="59">
        <f t="shared" si="9"/>
        <v>39.858486933126336</v>
      </c>
      <c r="G13" s="55">
        <f t="shared" si="7"/>
        <v>-23.011000000000422</v>
      </c>
      <c r="J13" s="63"/>
      <c r="M13" s="15"/>
      <c r="O13" s="73"/>
      <c r="P13" s="74">
        <f t="shared" si="1"/>
        <v>39.858486933126336</v>
      </c>
      <c r="Q13" s="73">
        <f t="shared" si="2"/>
        <v>-14.48700000000008</v>
      </c>
      <c r="R13" s="73"/>
      <c r="S13" s="73"/>
      <c r="T13" s="73"/>
      <c r="U13" s="73">
        <f t="shared" si="10"/>
        <v>40</v>
      </c>
      <c r="V13" s="116">
        <f t="shared" si="3"/>
        <v>-17.570999999999913</v>
      </c>
      <c r="W13" s="73"/>
      <c r="X13" s="117">
        <f t="shared" si="0"/>
        <v>39.775833722973935</v>
      </c>
      <c r="Y13" s="117">
        <f t="shared" si="4"/>
        <v>-17.570999999999913</v>
      </c>
      <c r="Z13" s="80"/>
    </row>
    <row r="14" spans="1:26" x14ac:dyDescent="0.25">
      <c r="A14" t="s">
        <v>14</v>
      </c>
      <c r="B14">
        <f t="shared" si="8"/>
        <v>45</v>
      </c>
      <c r="C14">
        <v>4518.1679999999997</v>
      </c>
      <c r="D14" s="54">
        <f t="shared" si="5"/>
        <v>45</v>
      </c>
      <c r="E14">
        <f t="shared" si="6"/>
        <v>-22.600000000000364</v>
      </c>
      <c r="F14" s="59">
        <f t="shared" si="9"/>
        <v>44.841566202012189</v>
      </c>
      <c r="G14" s="55">
        <f t="shared" si="7"/>
        <v>-22.600000000000364</v>
      </c>
      <c r="J14" s="63"/>
      <c r="M14" s="15"/>
      <c r="O14" s="73"/>
      <c r="P14" s="74">
        <f t="shared" si="1"/>
        <v>44.841566202012189</v>
      </c>
      <c r="Q14" s="73">
        <f t="shared" si="2"/>
        <v>-14.076000000000022</v>
      </c>
      <c r="R14" s="73"/>
      <c r="S14" s="73"/>
      <c r="T14" s="73"/>
      <c r="U14" s="73">
        <f t="shared" si="10"/>
        <v>45</v>
      </c>
      <c r="V14" s="116">
        <f t="shared" si="3"/>
        <v>-16.988000000000284</v>
      </c>
      <c r="W14" s="73"/>
      <c r="X14" s="117">
        <f t="shared" si="0"/>
        <v>44.741728506394189</v>
      </c>
      <c r="Y14" s="117">
        <f t="shared" si="4"/>
        <v>-16.988000000000284</v>
      </c>
      <c r="Z14" s="80"/>
    </row>
    <row r="15" spans="1:26" x14ac:dyDescent="0.25">
      <c r="A15" t="s">
        <v>15</v>
      </c>
      <c r="B15">
        <f t="shared" si="8"/>
        <v>50</v>
      </c>
      <c r="C15">
        <v>4518.5969999999998</v>
      </c>
      <c r="D15" s="54">
        <f t="shared" si="5"/>
        <v>50</v>
      </c>
      <c r="E15">
        <f t="shared" si="6"/>
        <v>-22.171000000000276</v>
      </c>
      <c r="F15" s="59">
        <f t="shared" si="9"/>
        <v>49.823128105672517</v>
      </c>
      <c r="G15" s="55">
        <f t="shared" si="7"/>
        <v>-22.171000000000276</v>
      </c>
      <c r="J15" s="63"/>
      <c r="M15" s="15"/>
      <c r="O15" s="73"/>
      <c r="P15" s="74">
        <f t="shared" si="1"/>
        <v>49.823128105672517</v>
      </c>
      <c r="Q15" s="73">
        <f t="shared" si="2"/>
        <v>-13.646999999999935</v>
      </c>
      <c r="R15" s="73"/>
      <c r="S15" s="73"/>
      <c r="T15" s="73"/>
      <c r="U15" s="73">
        <f t="shared" si="10"/>
        <v>50</v>
      </c>
      <c r="V15" s="116">
        <f t="shared" si="3"/>
        <v>-16.367000000000189</v>
      </c>
      <c r="W15" s="73"/>
      <c r="X15" s="117">
        <f t="shared" si="0"/>
        <v>49.703014529191087</v>
      </c>
      <c r="Y15" s="117">
        <f t="shared" si="4"/>
        <v>-16.367000000000189</v>
      </c>
      <c r="Z15" s="80"/>
    </row>
    <row r="16" spans="1:26" x14ac:dyDescent="0.25">
      <c r="A16" t="s">
        <v>16</v>
      </c>
      <c r="B16">
        <f t="shared" si="8"/>
        <v>55</v>
      </c>
      <c r="C16">
        <v>4518.9719999999998</v>
      </c>
      <c r="D16" s="54">
        <f t="shared" si="5"/>
        <v>55</v>
      </c>
      <c r="E16">
        <f t="shared" si="6"/>
        <v>-21.796000000000276</v>
      </c>
      <c r="F16" s="59">
        <f t="shared" si="9"/>
        <v>54.8090457744673</v>
      </c>
      <c r="G16" s="55">
        <f t="shared" si="7"/>
        <v>-21.796000000000276</v>
      </c>
      <c r="H16" s="112" t="s">
        <v>175</v>
      </c>
      <c r="I16" s="123">
        <f>I17-B3</f>
        <v>54.801366978075897</v>
      </c>
      <c r="J16" s="113">
        <f>J17-0.5</f>
        <v>-22.019000000000233</v>
      </c>
      <c r="M16" s="115">
        <f t="shared" ref="M16:M40" si="11">I16</f>
        <v>54.801366978075897</v>
      </c>
      <c r="N16" s="116">
        <f>N17-0.5</f>
        <v>-13.494999999999891</v>
      </c>
      <c r="O16" s="73"/>
      <c r="P16" s="74">
        <f t="shared" si="1"/>
        <v>54.8090457744673</v>
      </c>
      <c r="Q16" s="73">
        <f t="shared" si="2"/>
        <v>-13.271999999999935</v>
      </c>
      <c r="R16" s="73"/>
      <c r="S16" s="73"/>
      <c r="T16" s="73"/>
      <c r="U16" s="73">
        <f t="shared" si="10"/>
        <v>55</v>
      </c>
      <c r="V16" s="116">
        <f t="shared" si="3"/>
        <v>-15.399000000000342</v>
      </c>
      <c r="W16" s="73"/>
      <c r="X16" s="117">
        <f t="shared" si="0"/>
        <v>54.608417264950951</v>
      </c>
      <c r="Y16" s="117">
        <f t="shared" si="4"/>
        <v>-15.399000000000342</v>
      </c>
      <c r="Z16" s="80"/>
    </row>
    <row r="17" spans="1:26" x14ac:dyDescent="0.25">
      <c r="A17" t="s">
        <v>17</v>
      </c>
      <c r="B17">
        <f t="shared" si="8"/>
        <v>60</v>
      </c>
      <c r="C17">
        <v>4519.2489999999998</v>
      </c>
      <c r="D17" s="54">
        <f t="shared" si="5"/>
        <v>60</v>
      </c>
      <c r="E17">
        <f t="shared" si="6"/>
        <v>-21.519000000000233</v>
      </c>
      <c r="F17" s="59">
        <f t="shared" si="9"/>
        <v>59.801366978075897</v>
      </c>
      <c r="G17" s="55">
        <f t="shared" si="7"/>
        <v>-21.519000000000233</v>
      </c>
      <c r="H17" s="54" t="s">
        <v>103</v>
      </c>
      <c r="I17" s="12">
        <f t="shared" ref="I17:I40" si="12">F17</f>
        <v>59.801366978075897</v>
      </c>
      <c r="J17" s="55">
        <f t="shared" ref="J17:J40" si="13">G17</f>
        <v>-21.519000000000233</v>
      </c>
      <c r="M17" s="81">
        <f t="shared" si="11"/>
        <v>59.801366978075897</v>
      </c>
      <c r="N17" s="73">
        <f t="shared" ref="N17:N40" si="14">J17-$S$1</f>
        <v>-12.994999999999891</v>
      </c>
      <c r="O17" s="73"/>
      <c r="P17" s="74">
        <f t="shared" si="1"/>
        <v>59.801366978075897</v>
      </c>
      <c r="Q17" s="73">
        <f t="shared" si="2"/>
        <v>-12.994999999999891</v>
      </c>
      <c r="R17" s="73"/>
      <c r="S17" s="73"/>
      <c r="T17" s="73"/>
      <c r="U17" s="73">
        <f t="shared" si="10"/>
        <v>60</v>
      </c>
      <c r="V17" s="116">
        <f t="shared" si="3"/>
        <v>-14.778000000000247</v>
      </c>
      <c r="W17" s="73"/>
      <c r="X17" s="117">
        <f t="shared" si="0"/>
        <v>59.569703287747849</v>
      </c>
      <c r="Y17" s="117">
        <f t="shared" si="4"/>
        <v>-14.778000000000247</v>
      </c>
      <c r="Z17" s="80"/>
    </row>
    <row r="18" spans="1:26" x14ac:dyDescent="0.25">
      <c r="A18" t="s">
        <v>18</v>
      </c>
      <c r="B18">
        <f t="shared" si="8"/>
        <v>65</v>
      </c>
      <c r="C18">
        <v>4519.6279999999997</v>
      </c>
      <c r="D18" s="54">
        <f t="shared" si="5"/>
        <v>65</v>
      </c>
      <c r="E18">
        <f t="shared" si="6"/>
        <v>-21.140000000000327</v>
      </c>
      <c r="F18" s="59">
        <f t="shared" si="9"/>
        <v>64.786982185851173</v>
      </c>
      <c r="G18" s="55">
        <f t="shared" si="7"/>
        <v>-21.140000000000327</v>
      </c>
      <c r="H18" s="54" t="s">
        <v>104</v>
      </c>
      <c r="I18" s="12">
        <f t="shared" si="12"/>
        <v>64.786982185851173</v>
      </c>
      <c r="J18" s="55">
        <f t="shared" si="13"/>
        <v>-21.140000000000327</v>
      </c>
      <c r="M18" s="81">
        <f t="shared" si="11"/>
        <v>64.786982185851173</v>
      </c>
      <c r="N18" s="73">
        <f t="shared" si="14"/>
        <v>-12.615999999999985</v>
      </c>
      <c r="O18" s="73"/>
      <c r="P18" s="74">
        <f t="shared" si="1"/>
        <v>64.786982185851173</v>
      </c>
      <c r="Q18" s="73">
        <f t="shared" si="2"/>
        <v>-12.615999999999985</v>
      </c>
      <c r="R18" s="73"/>
      <c r="S18" s="73"/>
      <c r="T18" s="73"/>
      <c r="U18" s="73">
        <f t="shared" si="10"/>
        <v>65</v>
      </c>
      <c r="V18" s="116">
        <f t="shared" si="3"/>
        <v>-14.051000000000386</v>
      </c>
      <c r="W18" s="73"/>
      <c r="X18" s="117">
        <f t="shared" si="0"/>
        <v>64.516568052424589</v>
      </c>
      <c r="Y18" s="117">
        <f t="shared" si="4"/>
        <v>-14.051000000000386</v>
      </c>
      <c r="Z18" s="80"/>
    </row>
    <row r="19" spans="1:26" x14ac:dyDescent="0.25">
      <c r="A19" t="s">
        <v>19</v>
      </c>
      <c r="B19">
        <f t="shared" si="8"/>
        <v>70</v>
      </c>
      <c r="C19">
        <v>4519.9390000000003</v>
      </c>
      <c r="D19" s="54">
        <f t="shared" si="5"/>
        <v>70</v>
      </c>
      <c r="E19">
        <f t="shared" si="6"/>
        <v>-20.828999999999724</v>
      </c>
      <c r="F19" s="59">
        <f t="shared" si="9"/>
        <v>69.777300712759015</v>
      </c>
      <c r="G19" s="55">
        <f t="shared" si="7"/>
        <v>-20.828999999999724</v>
      </c>
      <c r="H19" s="54" t="s">
        <v>105</v>
      </c>
      <c r="I19" s="12">
        <f t="shared" si="12"/>
        <v>69.777300712759015</v>
      </c>
      <c r="J19" s="55">
        <f t="shared" si="13"/>
        <v>-20.828999999999724</v>
      </c>
      <c r="M19" s="81">
        <f t="shared" si="11"/>
        <v>69.777300712759015</v>
      </c>
      <c r="N19" s="73">
        <f t="shared" si="14"/>
        <v>-12.304999999999382</v>
      </c>
      <c r="O19" s="73"/>
      <c r="P19" s="74">
        <f t="shared" si="1"/>
        <v>69.777300712759015</v>
      </c>
      <c r="Q19" s="73">
        <f t="shared" si="2"/>
        <v>-12.304999999999382</v>
      </c>
      <c r="R19" s="73"/>
      <c r="S19" s="73"/>
      <c r="T19" s="73"/>
      <c r="U19" s="73">
        <f t="shared" si="10"/>
        <v>70</v>
      </c>
      <c r="V19" s="116">
        <f t="shared" si="3"/>
        <v>-13.661000000000058</v>
      </c>
      <c r="W19" s="73"/>
      <c r="X19" s="117">
        <f t="shared" si="0"/>
        <v>69.501334847370941</v>
      </c>
      <c r="Y19" s="117">
        <f t="shared" si="4"/>
        <v>-13.661000000000058</v>
      </c>
      <c r="Z19" s="80"/>
    </row>
    <row r="20" spans="1:26" x14ac:dyDescent="0.25">
      <c r="A20" t="s">
        <v>20</v>
      </c>
      <c r="B20">
        <f t="shared" si="8"/>
        <v>75</v>
      </c>
      <c r="C20">
        <v>4520.5590000000002</v>
      </c>
      <c r="D20" s="54">
        <f t="shared" si="5"/>
        <v>75</v>
      </c>
      <c r="E20">
        <f t="shared" si="6"/>
        <v>-20.208999999999833</v>
      </c>
      <c r="F20" s="59">
        <f t="shared" si="9"/>
        <v>74.738711802358438</v>
      </c>
      <c r="G20" s="55">
        <f t="shared" si="7"/>
        <v>-20.208999999999833</v>
      </c>
      <c r="H20" s="54" t="s">
        <v>106</v>
      </c>
      <c r="I20" s="12">
        <f t="shared" si="12"/>
        <v>74.738711802358438</v>
      </c>
      <c r="J20" s="55">
        <f t="shared" si="13"/>
        <v>-20.208999999999833</v>
      </c>
      <c r="M20" s="81">
        <f t="shared" si="11"/>
        <v>74.738711802358438</v>
      </c>
      <c r="N20" s="73">
        <f t="shared" si="14"/>
        <v>-11.684999999999491</v>
      </c>
      <c r="O20" s="73"/>
      <c r="P20" s="74">
        <f t="shared" si="1"/>
        <v>74.738711802358438</v>
      </c>
      <c r="Q20" s="73">
        <f t="shared" si="2"/>
        <v>-11.684999999999491</v>
      </c>
      <c r="R20" s="73"/>
      <c r="S20" s="73"/>
      <c r="T20" s="73"/>
      <c r="U20" s="73">
        <f t="shared" si="10"/>
        <v>75</v>
      </c>
      <c r="V20" s="116">
        <f t="shared" si="3"/>
        <v>-13.140000000000327</v>
      </c>
      <c r="W20" s="73"/>
      <c r="X20" s="117">
        <f t="shared" si="0"/>
        <v>74.474116664422667</v>
      </c>
      <c r="Y20" s="117">
        <f t="shared" si="4"/>
        <v>-13.140000000000327</v>
      </c>
      <c r="Z20" s="80"/>
    </row>
    <row r="21" spans="1:26" x14ac:dyDescent="0.25">
      <c r="A21" t="s">
        <v>21</v>
      </c>
      <c r="B21">
        <f t="shared" si="8"/>
        <v>80</v>
      </c>
      <c r="C21">
        <v>4521.0950000000003</v>
      </c>
      <c r="D21" s="54">
        <f t="shared" si="5"/>
        <v>80</v>
      </c>
      <c r="E21">
        <f t="shared" si="6"/>
        <v>-19.672999999999774</v>
      </c>
      <c r="F21" s="59">
        <f t="shared" si="9"/>
        <v>79.709899185670395</v>
      </c>
      <c r="G21" s="55">
        <f t="shared" si="7"/>
        <v>-19.672999999999774</v>
      </c>
      <c r="H21" s="54" t="s">
        <v>107</v>
      </c>
      <c r="I21" s="12">
        <f t="shared" si="12"/>
        <v>79.709899185670395</v>
      </c>
      <c r="J21" s="55">
        <f t="shared" si="13"/>
        <v>-19.672999999999774</v>
      </c>
      <c r="M21" s="81">
        <f t="shared" si="11"/>
        <v>79.709899185670395</v>
      </c>
      <c r="N21" s="73">
        <f t="shared" si="14"/>
        <v>-11.148999999999432</v>
      </c>
      <c r="O21" s="73"/>
      <c r="P21" s="74">
        <f t="shared" si="1"/>
        <v>79.709899185670395</v>
      </c>
      <c r="Q21" s="73">
        <f t="shared" si="2"/>
        <v>-11.148999999999432</v>
      </c>
      <c r="R21" s="73"/>
      <c r="S21" s="73"/>
      <c r="T21" s="73"/>
      <c r="U21" s="73">
        <f t="shared" si="10"/>
        <v>80</v>
      </c>
      <c r="V21" s="116">
        <f t="shared" si="3"/>
        <v>-12.529000000000451</v>
      </c>
      <c r="W21" s="73"/>
      <c r="X21" s="117">
        <f t="shared" si="0"/>
        <v>79.436644145454892</v>
      </c>
      <c r="Y21" s="117">
        <f t="shared" si="4"/>
        <v>-12.529000000000451</v>
      </c>
      <c r="Z21" s="80"/>
    </row>
    <row r="22" spans="1:26" x14ac:dyDescent="0.25">
      <c r="A22" t="s">
        <v>22</v>
      </c>
      <c r="B22">
        <f t="shared" si="8"/>
        <v>85</v>
      </c>
      <c r="C22">
        <v>4521.4120000000003</v>
      </c>
      <c r="D22" s="54">
        <f t="shared" si="5"/>
        <v>85</v>
      </c>
      <c r="E22">
        <f t="shared" si="6"/>
        <v>-19.355999999999767</v>
      </c>
      <c r="F22" s="59">
        <f t="shared" si="9"/>
        <v>84.699840167285302</v>
      </c>
      <c r="G22" s="55">
        <f t="shared" si="7"/>
        <v>-19.355999999999767</v>
      </c>
      <c r="H22" s="54" t="s">
        <v>108</v>
      </c>
      <c r="I22" s="12">
        <f t="shared" si="12"/>
        <v>84.699840167285302</v>
      </c>
      <c r="J22" s="55">
        <f t="shared" si="13"/>
        <v>-19.355999999999767</v>
      </c>
      <c r="M22" s="81">
        <f t="shared" si="11"/>
        <v>84.699840167285302</v>
      </c>
      <c r="N22" s="73">
        <f t="shared" si="14"/>
        <v>-10.831999999999425</v>
      </c>
      <c r="O22" s="73"/>
      <c r="P22" s="74">
        <f t="shared" si="1"/>
        <v>84.699840167285302</v>
      </c>
      <c r="Q22" s="73">
        <f t="shared" si="2"/>
        <v>-10.831999999999425</v>
      </c>
      <c r="R22" s="73"/>
      <c r="S22" s="73"/>
      <c r="T22" s="73"/>
      <c r="U22" s="73">
        <f t="shared" si="10"/>
        <v>85</v>
      </c>
      <c r="V22" s="116">
        <f t="shared" si="3"/>
        <v>-12.011999999999716</v>
      </c>
      <c r="W22" s="73"/>
      <c r="X22" s="117">
        <f t="shared" si="0"/>
        <v>84.409843417553219</v>
      </c>
      <c r="Y22" s="117">
        <f t="shared" si="4"/>
        <v>-12.011999999999716</v>
      </c>
      <c r="Z22" s="80"/>
    </row>
    <row r="23" spans="1:26" x14ac:dyDescent="0.25">
      <c r="A23" t="s">
        <v>23</v>
      </c>
      <c r="B23">
        <f t="shared" si="8"/>
        <v>90</v>
      </c>
      <c r="C23">
        <v>4521.8770000000004</v>
      </c>
      <c r="D23" s="54">
        <f t="shared" si="5"/>
        <v>90</v>
      </c>
      <c r="E23">
        <f t="shared" si="6"/>
        <v>-18.890999999999622</v>
      </c>
      <c r="F23" s="59">
        <f t="shared" si="9"/>
        <v>89.678170710750635</v>
      </c>
      <c r="G23" s="55">
        <f t="shared" si="7"/>
        <v>-18.890999999999622</v>
      </c>
      <c r="H23" s="54" t="s">
        <v>109</v>
      </c>
      <c r="I23" s="12">
        <f t="shared" si="12"/>
        <v>89.678170710750635</v>
      </c>
      <c r="J23" s="55">
        <f t="shared" si="13"/>
        <v>-18.890999999999622</v>
      </c>
      <c r="M23" s="81">
        <f t="shared" si="11"/>
        <v>89.678170710750635</v>
      </c>
      <c r="N23" s="73">
        <f t="shared" si="14"/>
        <v>-10.36699999999928</v>
      </c>
      <c r="O23" s="73"/>
      <c r="P23" s="74">
        <f t="shared" si="1"/>
        <v>89.678170710750635</v>
      </c>
      <c r="Q23" s="73">
        <f t="shared" si="2"/>
        <v>-10.36699999999928</v>
      </c>
      <c r="R23" s="73"/>
      <c r="S23" s="73"/>
      <c r="T23" s="73"/>
      <c r="U23" s="73">
        <f t="shared" si="10"/>
        <v>90</v>
      </c>
      <c r="V23" s="116">
        <f t="shared" si="3"/>
        <v>-11.324999999999818</v>
      </c>
      <c r="W23" s="73"/>
      <c r="X23" s="117">
        <f t="shared" si="0"/>
        <v>89.362421635007252</v>
      </c>
      <c r="Y23" s="117">
        <f t="shared" si="4"/>
        <v>-11.324999999999818</v>
      </c>
      <c r="Z23" s="80"/>
    </row>
    <row r="24" spans="1:26" x14ac:dyDescent="0.25">
      <c r="A24" t="s">
        <v>24</v>
      </c>
      <c r="B24">
        <f t="shared" si="8"/>
        <v>95</v>
      </c>
      <c r="C24">
        <v>4522.7929999999997</v>
      </c>
      <c r="D24" s="54">
        <f t="shared" si="5"/>
        <v>95</v>
      </c>
      <c r="E24">
        <f t="shared" si="6"/>
        <v>-17.975000000000364</v>
      </c>
      <c r="F24" s="59">
        <f t="shared" si="9"/>
        <v>94.593549027828715</v>
      </c>
      <c r="G24" s="55">
        <f t="shared" si="7"/>
        <v>-17.975000000000364</v>
      </c>
      <c r="H24" s="54" t="s">
        <v>110</v>
      </c>
      <c r="I24" s="12">
        <f t="shared" si="12"/>
        <v>94.593549027828715</v>
      </c>
      <c r="J24" s="55">
        <f t="shared" si="13"/>
        <v>-17.975000000000364</v>
      </c>
      <c r="M24" s="81">
        <f t="shared" si="11"/>
        <v>94.593549027828715</v>
      </c>
      <c r="N24" s="73">
        <f t="shared" si="14"/>
        <v>-9.4510000000000218</v>
      </c>
      <c r="O24" s="73"/>
      <c r="P24" s="74">
        <f t="shared" si="1"/>
        <v>94.593549027828715</v>
      </c>
      <c r="Q24" s="73">
        <f t="shared" si="2"/>
        <v>-9.4510000000000218</v>
      </c>
      <c r="R24" s="73"/>
      <c r="S24" s="73"/>
      <c r="T24" s="73"/>
      <c r="U24" s="73">
        <f t="shared" si="10"/>
        <v>95</v>
      </c>
      <c r="V24" s="116">
        <f t="shared" si="3"/>
        <v>-10.837999999999738</v>
      </c>
      <c r="W24" s="73"/>
      <c r="X24" s="117">
        <f t="shared" si="0"/>
        <v>94.338648217469114</v>
      </c>
      <c r="Y24" s="117">
        <f t="shared" si="4"/>
        <v>-10.837999999999738</v>
      </c>
      <c r="Z24" s="80"/>
    </row>
    <row r="25" spans="1:26" x14ac:dyDescent="0.25">
      <c r="A25" t="s">
        <v>25</v>
      </c>
      <c r="B25">
        <f t="shared" si="8"/>
        <v>100</v>
      </c>
      <c r="C25">
        <v>4523.1970000000001</v>
      </c>
      <c r="D25" s="54">
        <f t="shared" si="5"/>
        <v>100</v>
      </c>
      <c r="E25">
        <f t="shared" si="6"/>
        <v>-17.570999999999913</v>
      </c>
      <c r="F25" s="59">
        <f t="shared" si="9"/>
        <v>99.577200701049833</v>
      </c>
      <c r="G25" s="55">
        <f t="shared" si="7"/>
        <v>-17.570999999999913</v>
      </c>
      <c r="H25" s="54" t="s">
        <v>111</v>
      </c>
      <c r="I25" s="12">
        <f t="shared" si="12"/>
        <v>99.577200701049833</v>
      </c>
      <c r="J25" s="55">
        <f t="shared" si="13"/>
        <v>-17.570999999999913</v>
      </c>
      <c r="M25" s="81">
        <f t="shared" si="11"/>
        <v>99.577200701049833</v>
      </c>
      <c r="N25" s="73">
        <f t="shared" si="14"/>
        <v>-9.0469999999995707</v>
      </c>
      <c r="O25" s="73"/>
      <c r="P25" s="74">
        <f t="shared" si="1"/>
        <v>99.577200701049833</v>
      </c>
      <c r="Q25" s="73">
        <f t="shared" si="2"/>
        <v>-9.0469999999995707</v>
      </c>
      <c r="R25" s="73"/>
      <c r="S25" s="73"/>
      <c r="T25" s="73"/>
      <c r="U25" s="73">
        <f t="shared" si="10"/>
        <v>100</v>
      </c>
      <c r="V25" s="116">
        <f t="shared" si="3"/>
        <v>-10.255000000000109</v>
      </c>
      <c r="W25" s="73"/>
      <c r="X25" s="117">
        <f t="shared" si="0"/>
        <v>99.304543000889367</v>
      </c>
      <c r="Y25" s="117">
        <f t="shared" si="4"/>
        <v>-10.255000000000109</v>
      </c>
      <c r="Z25" s="80"/>
    </row>
    <row r="26" spans="1:26" x14ac:dyDescent="0.25">
      <c r="A26" t="s">
        <v>26</v>
      </c>
      <c r="B26">
        <f t="shared" si="8"/>
        <v>105</v>
      </c>
      <c r="C26">
        <v>4523.78</v>
      </c>
      <c r="D26" s="54">
        <f t="shared" si="5"/>
        <v>105</v>
      </c>
      <c r="E26">
        <f t="shared" si="6"/>
        <v>-16.988000000000284</v>
      </c>
      <c r="F26" s="59">
        <f t="shared" si="9"/>
        <v>104.54309548447009</v>
      </c>
      <c r="G26" s="55">
        <f t="shared" si="7"/>
        <v>-16.988000000000284</v>
      </c>
      <c r="H26" s="54" t="s">
        <v>112</v>
      </c>
      <c r="I26" s="12">
        <f t="shared" si="12"/>
        <v>104.54309548447009</v>
      </c>
      <c r="J26" s="55">
        <f t="shared" si="13"/>
        <v>-16.988000000000284</v>
      </c>
      <c r="M26" s="81">
        <f t="shared" si="11"/>
        <v>104.54309548447009</v>
      </c>
      <c r="N26" s="73">
        <f t="shared" si="14"/>
        <v>-8.4639999999999418</v>
      </c>
      <c r="O26" s="73"/>
      <c r="P26" s="74">
        <f t="shared" si="1"/>
        <v>104.54309548447009</v>
      </c>
      <c r="Q26" s="73">
        <f t="shared" si="2"/>
        <v>-8.4639999999999418</v>
      </c>
      <c r="R26" s="73"/>
      <c r="S26" s="73"/>
      <c r="T26" s="73"/>
      <c r="U26" s="73">
        <f t="shared" si="10"/>
        <v>105</v>
      </c>
      <c r="V26" s="116">
        <f t="shared" si="3"/>
        <v>-9.7110000000002401</v>
      </c>
      <c r="W26" s="73"/>
      <c r="X26" s="117">
        <f t="shared" si="0"/>
        <v>104.27486130055593</v>
      </c>
      <c r="Y26" s="117">
        <f t="shared" si="4"/>
        <v>-9.7110000000002401</v>
      </c>
      <c r="Z26" s="80"/>
    </row>
    <row r="27" spans="1:26" x14ac:dyDescent="0.25">
      <c r="A27" t="s">
        <v>27</v>
      </c>
      <c r="B27">
        <f t="shared" si="8"/>
        <v>110</v>
      </c>
      <c r="C27">
        <v>4524.4009999999998</v>
      </c>
      <c r="D27" s="54">
        <f t="shared" si="5"/>
        <v>110</v>
      </c>
      <c r="E27">
        <f t="shared" si="6"/>
        <v>-16.367000000000189</v>
      </c>
      <c r="F27" s="59">
        <f t="shared" si="9"/>
        <v>109.50438150726698</v>
      </c>
      <c r="G27" s="55">
        <f t="shared" si="7"/>
        <v>-16.367000000000189</v>
      </c>
      <c r="H27" s="54" t="s">
        <v>113</v>
      </c>
      <c r="I27" s="12">
        <f t="shared" si="12"/>
        <v>109.50438150726698</v>
      </c>
      <c r="J27" s="55">
        <f t="shared" si="13"/>
        <v>-16.367000000000189</v>
      </c>
      <c r="M27" s="81">
        <f t="shared" si="11"/>
        <v>109.50438150726698</v>
      </c>
      <c r="N27" s="73">
        <f t="shared" si="14"/>
        <v>-7.8429999999998472</v>
      </c>
      <c r="O27" s="73"/>
      <c r="P27" s="74">
        <f t="shared" si="1"/>
        <v>109.50438150726698</v>
      </c>
      <c r="Q27" s="73">
        <f t="shared" si="2"/>
        <v>-7.8429999999998472</v>
      </c>
      <c r="R27" s="73"/>
      <c r="S27" s="73"/>
      <c r="T27" s="73"/>
      <c r="U27" s="73">
        <f t="shared" si="10"/>
        <v>110</v>
      </c>
      <c r="V27" s="116">
        <f t="shared" si="3"/>
        <v>-9.1319999999996071</v>
      </c>
      <c r="W27" s="73"/>
      <c r="X27" s="117">
        <f t="shared" si="0"/>
        <v>109.24122405412109</v>
      </c>
      <c r="Y27" s="117">
        <f t="shared" si="4"/>
        <v>-9.1319999999996071</v>
      </c>
      <c r="Z27" s="80"/>
    </row>
    <row r="28" spans="1:26" x14ac:dyDescent="0.25">
      <c r="A28" t="s">
        <v>28</v>
      </c>
      <c r="B28">
        <f t="shared" si="8"/>
        <v>115</v>
      </c>
      <c r="C28">
        <v>4525.3689999999997</v>
      </c>
      <c r="D28" s="54">
        <f t="shared" si="5"/>
        <v>115</v>
      </c>
      <c r="E28">
        <f t="shared" si="6"/>
        <v>-15.399000000000342</v>
      </c>
      <c r="F28" s="59">
        <f t="shared" si="9"/>
        <v>114.40978424302685</v>
      </c>
      <c r="G28" s="55">
        <f t="shared" si="7"/>
        <v>-15.399000000000342</v>
      </c>
      <c r="H28" s="54" t="s">
        <v>114</v>
      </c>
      <c r="I28" s="12">
        <f t="shared" si="12"/>
        <v>114.40978424302685</v>
      </c>
      <c r="J28" s="55">
        <f t="shared" si="13"/>
        <v>-15.399000000000342</v>
      </c>
      <c r="M28" s="81">
        <f t="shared" si="11"/>
        <v>114.40978424302685</v>
      </c>
      <c r="N28" s="73">
        <f t="shared" si="14"/>
        <v>-6.875</v>
      </c>
      <c r="O28" s="73"/>
      <c r="P28" s="74">
        <f t="shared" si="1"/>
        <v>114.40978424302685</v>
      </c>
      <c r="Q28" s="73">
        <f t="shared" si="2"/>
        <v>-6.875</v>
      </c>
      <c r="R28" s="73"/>
      <c r="S28" s="73"/>
      <c r="T28" s="73"/>
      <c r="U28" s="73">
        <f t="shared" si="10"/>
        <v>115</v>
      </c>
      <c r="V28" s="116">
        <f t="shared" si="3"/>
        <v>-8.524000000000342</v>
      </c>
      <c r="W28" s="73"/>
      <c r="X28" s="117">
        <f t="shared" si="0"/>
        <v>114.20411998291115</v>
      </c>
      <c r="Y28" s="117">
        <f t="shared" si="4"/>
        <v>-8.524000000000342</v>
      </c>
      <c r="Z28" s="80"/>
    </row>
    <row r="29" spans="1:26" x14ac:dyDescent="0.25">
      <c r="A29" t="s">
        <v>29</v>
      </c>
      <c r="B29">
        <f t="shared" si="8"/>
        <v>120</v>
      </c>
      <c r="C29">
        <v>4525.99</v>
      </c>
      <c r="D29" s="54">
        <f t="shared" si="5"/>
        <v>120</v>
      </c>
      <c r="E29">
        <f t="shared" si="6"/>
        <v>-14.778000000000247</v>
      </c>
      <c r="F29" s="59">
        <f t="shared" si="9"/>
        <v>119.37107026582375</v>
      </c>
      <c r="G29" s="55">
        <f t="shared" si="7"/>
        <v>-14.778000000000247</v>
      </c>
      <c r="H29" s="54" t="s">
        <v>115</v>
      </c>
      <c r="I29" s="12">
        <f t="shared" si="12"/>
        <v>119.37107026582375</v>
      </c>
      <c r="J29" s="55">
        <f t="shared" si="13"/>
        <v>-14.778000000000247</v>
      </c>
      <c r="M29" s="81">
        <f t="shared" si="11"/>
        <v>119.37107026582375</v>
      </c>
      <c r="N29" s="73">
        <f t="shared" si="14"/>
        <v>-6.2539999999999054</v>
      </c>
      <c r="O29" s="73"/>
      <c r="P29" s="74">
        <f t="shared" si="1"/>
        <v>119.37107026582375</v>
      </c>
      <c r="Q29" s="73">
        <f t="shared" si="2"/>
        <v>-6.2539999999999054</v>
      </c>
      <c r="R29" s="73"/>
      <c r="S29" s="73"/>
      <c r="T29" s="73"/>
      <c r="U29" s="126"/>
      <c r="V29" s="116"/>
      <c r="W29" s="126"/>
      <c r="X29" s="117"/>
      <c r="Y29" s="117"/>
      <c r="Z29" s="127"/>
    </row>
    <row r="30" spans="1:26" x14ac:dyDescent="0.25">
      <c r="A30" t="s">
        <v>30</v>
      </c>
      <c r="B30">
        <f t="shared" si="8"/>
        <v>125</v>
      </c>
      <c r="C30">
        <v>4526.7169999999996</v>
      </c>
      <c r="D30" s="54">
        <f t="shared" si="5"/>
        <v>125</v>
      </c>
      <c r="E30">
        <f t="shared" si="6"/>
        <v>-14.051000000000386</v>
      </c>
      <c r="F30" s="59">
        <f t="shared" si="9"/>
        <v>124.31793503050048</v>
      </c>
      <c r="G30" s="55">
        <f t="shared" si="7"/>
        <v>-14.051000000000386</v>
      </c>
      <c r="H30" s="54" t="s">
        <v>116</v>
      </c>
      <c r="I30" s="12">
        <f t="shared" si="12"/>
        <v>124.31793503050048</v>
      </c>
      <c r="J30" s="55">
        <f t="shared" si="13"/>
        <v>-14.051000000000386</v>
      </c>
      <c r="M30" s="81">
        <f t="shared" si="11"/>
        <v>124.31793503050048</v>
      </c>
      <c r="N30" s="73">
        <f t="shared" si="14"/>
        <v>-5.5270000000000437</v>
      </c>
      <c r="O30" s="73"/>
      <c r="P30" s="74">
        <f t="shared" si="1"/>
        <v>124.31793503050048</v>
      </c>
      <c r="Q30" s="73">
        <f t="shared" si="2"/>
        <v>-5.5270000000000437</v>
      </c>
      <c r="R30" s="73"/>
      <c r="S30" s="73"/>
      <c r="T30" s="73"/>
      <c r="V30" s="126"/>
      <c r="W30" s="126"/>
      <c r="Z30" s="127"/>
    </row>
    <row r="31" spans="1:26" x14ac:dyDescent="0.25">
      <c r="A31" t="s">
        <v>31</v>
      </c>
      <c r="B31">
        <f t="shared" si="8"/>
        <v>130</v>
      </c>
      <c r="C31">
        <v>4527.107</v>
      </c>
      <c r="D31" s="54">
        <f t="shared" si="5"/>
        <v>130</v>
      </c>
      <c r="E31">
        <f t="shared" si="6"/>
        <v>-13.661000000000058</v>
      </c>
      <c r="F31" s="59">
        <f t="shared" si="9"/>
        <v>129.30270182544683</v>
      </c>
      <c r="G31" s="55">
        <f t="shared" si="7"/>
        <v>-13.661000000000058</v>
      </c>
      <c r="H31" s="54" t="s">
        <v>117</v>
      </c>
      <c r="I31" s="12">
        <f t="shared" si="12"/>
        <v>129.30270182544683</v>
      </c>
      <c r="J31" s="55">
        <f t="shared" si="13"/>
        <v>-13.661000000000058</v>
      </c>
      <c r="M31" s="81">
        <f t="shared" si="11"/>
        <v>129.30270182544683</v>
      </c>
      <c r="N31" s="73">
        <f t="shared" si="14"/>
        <v>-5.1369999999997162</v>
      </c>
      <c r="O31" s="73"/>
      <c r="P31" s="74">
        <f t="shared" si="1"/>
        <v>129.30270182544683</v>
      </c>
      <c r="Q31" s="73">
        <f t="shared" si="2"/>
        <v>-5.1369999999997162</v>
      </c>
      <c r="R31" s="73"/>
      <c r="S31" s="73"/>
      <c r="T31" s="73"/>
      <c r="W31" s="126"/>
      <c r="Z31" s="127"/>
    </row>
    <row r="32" spans="1:26" x14ac:dyDescent="0.25">
      <c r="A32" t="s">
        <v>32</v>
      </c>
      <c r="B32">
        <f t="shared" si="8"/>
        <v>135</v>
      </c>
      <c r="C32">
        <v>4527.6279999999997</v>
      </c>
      <c r="D32" s="54">
        <f t="shared" si="5"/>
        <v>135</v>
      </c>
      <c r="E32">
        <f t="shared" si="6"/>
        <v>-13.140000000000327</v>
      </c>
      <c r="F32" s="59">
        <f t="shared" si="9"/>
        <v>134.27548364249856</v>
      </c>
      <c r="G32" s="55">
        <f t="shared" si="7"/>
        <v>-13.140000000000327</v>
      </c>
      <c r="H32" s="54" t="s">
        <v>118</v>
      </c>
      <c r="I32" s="12">
        <f t="shared" si="12"/>
        <v>134.27548364249856</v>
      </c>
      <c r="J32" s="55">
        <f t="shared" si="13"/>
        <v>-13.140000000000327</v>
      </c>
      <c r="M32" s="81">
        <f t="shared" si="11"/>
        <v>134.27548364249856</v>
      </c>
      <c r="N32" s="73">
        <f t="shared" si="14"/>
        <v>-4.6159999999999854</v>
      </c>
      <c r="O32" s="73"/>
      <c r="P32" s="74">
        <f t="shared" si="1"/>
        <v>134.27548364249856</v>
      </c>
      <c r="Q32" s="73">
        <f t="shared" si="2"/>
        <v>-4.6159999999999854</v>
      </c>
      <c r="R32" s="73"/>
      <c r="S32" s="73"/>
      <c r="T32" s="73"/>
      <c r="W32" s="126"/>
      <c r="Z32" s="127"/>
    </row>
    <row r="33" spans="1:26" x14ac:dyDescent="0.25">
      <c r="A33" t="s">
        <v>33</v>
      </c>
      <c r="B33">
        <f t="shared" si="8"/>
        <v>140</v>
      </c>
      <c r="C33">
        <v>4528.2389999999996</v>
      </c>
      <c r="D33" s="54">
        <f t="shared" si="5"/>
        <v>140</v>
      </c>
      <c r="E33">
        <f t="shared" si="6"/>
        <v>-12.529000000000451</v>
      </c>
      <c r="F33" s="59">
        <f t="shared" si="9"/>
        <v>139.23801112353078</v>
      </c>
      <c r="G33" s="55">
        <f t="shared" si="7"/>
        <v>-12.529000000000451</v>
      </c>
      <c r="H33" s="54" t="s">
        <v>119</v>
      </c>
      <c r="I33" s="12">
        <f t="shared" si="12"/>
        <v>139.23801112353078</v>
      </c>
      <c r="J33" s="55">
        <f t="shared" si="13"/>
        <v>-12.529000000000451</v>
      </c>
      <c r="M33" s="81">
        <f t="shared" si="11"/>
        <v>139.23801112353078</v>
      </c>
      <c r="N33" s="73">
        <f t="shared" si="14"/>
        <v>-4.0050000000001091</v>
      </c>
      <c r="O33" s="73"/>
      <c r="P33" s="74">
        <f t="shared" si="1"/>
        <v>139.23801112353078</v>
      </c>
      <c r="Q33" s="73">
        <f t="shared" si="2"/>
        <v>-4.0050000000001091</v>
      </c>
      <c r="R33" s="73"/>
      <c r="S33" s="73"/>
      <c r="T33" s="73"/>
      <c r="W33" s="126"/>
      <c r="Z33" s="127"/>
    </row>
    <row r="34" spans="1:26" x14ac:dyDescent="0.25">
      <c r="A34" t="s">
        <v>34</v>
      </c>
      <c r="B34">
        <f t="shared" si="8"/>
        <v>145</v>
      </c>
      <c r="C34">
        <v>4528.7560000000003</v>
      </c>
      <c r="D34" s="54">
        <f t="shared" si="5"/>
        <v>145</v>
      </c>
      <c r="E34">
        <f t="shared" si="6"/>
        <v>-12.011999999999716</v>
      </c>
      <c r="F34" s="59">
        <f t="shared" si="9"/>
        <v>144.21121039562911</v>
      </c>
      <c r="G34" s="55">
        <f t="shared" si="7"/>
        <v>-12.011999999999716</v>
      </c>
      <c r="H34" s="54" t="s">
        <v>120</v>
      </c>
      <c r="I34" s="12">
        <f t="shared" si="12"/>
        <v>144.21121039562911</v>
      </c>
      <c r="J34" s="55">
        <f t="shared" si="13"/>
        <v>-12.011999999999716</v>
      </c>
      <c r="M34" s="81">
        <f t="shared" si="11"/>
        <v>144.21121039562911</v>
      </c>
      <c r="N34" s="73">
        <f t="shared" si="14"/>
        <v>-3.4879999999993743</v>
      </c>
      <c r="O34" s="73"/>
      <c r="P34" s="74">
        <f t="shared" si="1"/>
        <v>144.21121039562911</v>
      </c>
      <c r="Q34" s="73">
        <f t="shared" si="2"/>
        <v>-3.4879999999993743</v>
      </c>
      <c r="R34" s="73"/>
      <c r="S34" s="73"/>
      <c r="T34" s="73"/>
      <c r="W34" s="126"/>
      <c r="Z34" s="127"/>
    </row>
    <row r="35" spans="1:26" x14ac:dyDescent="0.25">
      <c r="A35" t="s">
        <v>35</v>
      </c>
      <c r="B35">
        <f t="shared" si="8"/>
        <v>150</v>
      </c>
      <c r="C35">
        <v>4529.4430000000002</v>
      </c>
      <c r="D35" s="54">
        <f t="shared" si="5"/>
        <v>150</v>
      </c>
      <c r="E35">
        <f t="shared" si="6"/>
        <v>-11.324999999999818</v>
      </c>
      <c r="F35" s="59">
        <f t="shared" si="9"/>
        <v>149.16378861308314</v>
      </c>
      <c r="G35" s="55">
        <f t="shared" si="7"/>
        <v>-11.324999999999818</v>
      </c>
      <c r="H35" s="54" t="s">
        <v>121</v>
      </c>
      <c r="I35" s="12">
        <f t="shared" si="12"/>
        <v>149.16378861308314</v>
      </c>
      <c r="J35" s="55">
        <f t="shared" si="13"/>
        <v>-11.324999999999818</v>
      </c>
      <c r="M35" s="81">
        <f t="shared" si="11"/>
        <v>149.16378861308314</v>
      </c>
      <c r="N35" s="73">
        <f t="shared" si="14"/>
        <v>-2.8009999999994761</v>
      </c>
      <c r="O35" s="73"/>
      <c r="P35" s="74">
        <f t="shared" si="1"/>
        <v>149.16378861308314</v>
      </c>
      <c r="Q35" s="73">
        <f t="shared" si="2"/>
        <v>-2.8009999999994761</v>
      </c>
      <c r="R35" s="73"/>
      <c r="S35" s="73"/>
      <c r="T35" s="73"/>
      <c r="W35" s="126"/>
      <c r="Z35" s="127"/>
    </row>
    <row r="36" spans="1:26" x14ac:dyDescent="0.25">
      <c r="A36" t="s">
        <v>36</v>
      </c>
      <c r="B36">
        <f t="shared" si="8"/>
        <v>155</v>
      </c>
      <c r="C36">
        <v>4529.93</v>
      </c>
      <c r="D36" s="54">
        <f t="shared" si="5"/>
        <v>155</v>
      </c>
      <c r="E36">
        <f t="shared" si="6"/>
        <v>-10.837999999999738</v>
      </c>
      <c r="F36" s="59">
        <f t="shared" si="9"/>
        <v>154.140015195545</v>
      </c>
      <c r="G36" s="55">
        <f t="shared" si="7"/>
        <v>-10.837999999999738</v>
      </c>
      <c r="H36" s="54" t="s">
        <v>122</v>
      </c>
      <c r="I36" s="12">
        <f t="shared" si="12"/>
        <v>154.140015195545</v>
      </c>
      <c r="J36" s="55">
        <f t="shared" si="13"/>
        <v>-10.837999999999738</v>
      </c>
      <c r="M36" s="81">
        <f t="shared" si="11"/>
        <v>154.140015195545</v>
      </c>
      <c r="N36" s="73">
        <f t="shared" si="14"/>
        <v>-2.3139999999993961</v>
      </c>
      <c r="O36" s="73"/>
      <c r="P36" s="74">
        <f t="shared" si="1"/>
        <v>154.140015195545</v>
      </c>
      <c r="Q36" s="73">
        <f t="shared" si="2"/>
        <v>-2.3139999999993961</v>
      </c>
      <c r="R36" s="73"/>
      <c r="S36" s="73"/>
      <c r="T36" s="73"/>
      <c r="W36" s="126"/>
      <c r="Z36" s="127"/>
    </row>
    <row r="37" spans="1:26" x14ac:dyDescent="0.25">
      <c r="A37" t="s">
        <v>37</v>
      </c>
      <c r="B37">
        <f t="shared" si="8"/>
        <v>160</v>
      </c>
      <c r="C37">
        <v>4530.5129999999999</v>
      </c>
      <c r="D37" s="54">
        <f t="shared" si="5"/>
        <v>160</v>
      </c>
      <c r="E37">
        <f t="shared" si="6"/>
        <v>-10.255000000000109</v>
      </c>
      <c r="F37" s="59">
        <f t="shared" si="9"/>
        <v>159.10590997896526</v>
      </c>
      <c r="G37" s="55">
        <f t="shared" si="7"/>
        <v>-10.255000000000109</v>
      </c>
      <c r="H37" s="54" t="s">
        <v>123</v>
      </c>
      <c r="I37" s="12">
        <f t="shared" si="12"/>
        <v>159.10590997896526</v>
      </c>
      <c r="J37" s="55">
        <f t="shared" si="13"/>
        <v>-10.255000000000109</v>
      </c>
      <c r="M37" s="81">
        <f t="shared" si="11"/>
        <v>159.10590997896526</v>
      </c>
      <c r="N37" s="73">
        <f t="shared" si="14"/>
        <v>-1.7309999999997672</v>
      </c>
      <c r="O37" s="73"/>
      <c r="P37" s="74">
        <f t="shared" si="1"/>
        <v>159.10590997896526</v>
      </c>
      <c r="Q37" s="73">
        <f t="shared" si="2"/>
        <v>-1.7309999999997672</v>
      </c>
      <c r="R37" s="73"/>
      <c r="S37" s="73"/>
      <c r="T37" s="73"/>
      <c r="W37" s="126"/>
      <c r="Z37" s="127"/>
    </row>
    <row r="38" spans="1:26" x14ac:dyDescent="0.25">
      <c r="A38" t="s">
        <v>38</v>
      </c>
      <c r="B38">
        <f t="shared" si="8"/>
        <v>165</v>
      </c>
      <c r="C38">
        <v>4531.0569999999998</v>
      </c>
      <c r="D38" s="54">
        <f t="shared" si="5"/>
        <v>165</v>
      </c>
      <c r="E38">
        <f t="shared" si="6"/>
        <v>-9.7110000000002401</v>
      </c>
      <c r="F38" s="59">
        <f t="shared" si="9"/>
        <v>164.07622827863182</v>
      </c>
      <c r="G38" s="55">
        <f t="shared" si="7"/>
        <v>-9.7110000000002401</v>
      </c>
      <c r="H38" s="54" t="s">
        <v>124</v>
      </c>
      <c r="I38" s="12">
        <f t="shared" si="12"/>
        <v>164.07622827863182</v>
      </c>
      <c r="J38" s="55">
        <f t="shared" si="13"/>
        <v>-9.7110000000002401</v>
      </c>
      <c r="M38" s="81">
        <f t="shared" si="11"/>
        <v>164.07622827863182</v>
      </c>
      <c r="N38" s="73">
        <f t="shared" si="14"/>
        <v>-1.1869999999998981</v>
      </c>
      <c r="O38" s="73"/>
      <c r="P38" s="74">
        <f t="shared" si="1"/>
        <v>164.07622827863182</v>
      </c>
      <c r="Q38" s="73">
        <f t="shared" si="2"/>
        <v>-1.1869999999998981</v>
      </c>
      <c r="R38" s="73"/>
      <c r="S38" s="73"/>
      <c r="T38" s="73"/>
      <c r="W38" s="126"/>
      <c r="Z38" s="127"/>
    </row>
    <row r="39" spans="1:26" x14ac:dyDescent="0.25">
      <c r="A39" t="s">
        <v>39</v>
      </c>
      <c r="B39">
        <f t="shared" si="8"/>
        <v>170</v>
      </c>
      <c r="C39">
        <v>4531.6360000000004</v>
      </c>
      <c r="D39" s="54">
        <f t="shared" si="5"/>
        <v>170</v>
      </c>
      <c r="E39">
        <f t="shared" si="6"/>
        <v>-9.1319999999996071</v>
      </c>
      <c r="F39" s="59">
        <f t="shared" si="9"/>
        <v>169.04259103219698</v>
      </c>
      <c r="G39" s="55">
        <f t="shared" si="7"/>
        <v>-9.1319999999996071</v>
      </c>
      <c r="H39" s="54" t="s">
        <v>125</v>
      </c>
      <c r="I39" s="12">
        <f t="shared" si="12"/>
        <v>169.04259103219698</v>
      </c>
      <c r="J39" s="55">
        <f t="shared" si="13"/>
        <v>-9.1319999999996071</v>
      </c>
      <c r="M39" s="81">
        <f t="shared" si="11"/>
        <v>169.04259103219698</v>
      </c>
      <c r="N39" s="73">
        <f t="shared" si="14"/>
        <v>-0.60799999999926513</v>
      </c>
      <c r="O39" s="73"/>
      <c r="P39" s="74">
        <f t="shared" si="1"/>
        <v>169.04259103219698</v>
      </c>
      <c r="Q39" s="73">
        <f t="shared" si="2"/>
        <v>-0.60799999999926513</v>
      </c>
      <c r="R39" s="73"/>
      <c r="S39" s="73"/>
      <c r="T39" s="73"/>
      <c r="W39" s="126"/>
      <c r="Z39" s="127"/>
    </row>
    <row r="40" spans="1:26" x14ac:dyDescent="0.25">
      <c r="A40" t="s">
        <v>40</v>
      </c>
      <c r="B40">
        <f t="shared" si="8"/>
        <v>175</v>
      </c>
      <c r="C40">
        <v>4532.2439999999997</v>
      </c>
      <c r="D40" s="54">
        <f t="shared" si="5"/>
        <v>175</v>
      </c>
      <c r="E40">
        <f t="shared" si="6"/>
        <v>-8.524000000000342</v>
      </c>
      <c r="F40" s="59">
        <f t="shared" si="9"/>
        <v>174.00548696098704</v>
      </c>
      <c r="G40" s="55">
        <f t="shared" si="7"/>
        <v>-8.524000000000342</v>
      </c>
      <c r="H40" s="54" t="s">
        <v>126</v>
      </c>
      <c r="I40" s="12">
        <f t="shared" si="12"/>
        <v>174.00548696098704</v>
      </c>
      <c r="J40" s="55">
        <f t="shared" si="13"/>
        <v>-8.524000000000342</v>
      </c>
      <c r="M40" s="124">
        <f t="shared" si="11"/>
        <v>174.00548696098704</v>
      </c>
      <c r="N40" s="125">
        <f t="shared" si="14"/>
        <v>0</v>
      </c>
      <c r="O40" s="73"/>
      <c r="P40" s="74">
        <f t="shared" si="1"/>
        <v>174.00548696098704</v>
      </c>
      <c r="Q40" s="73">
        <f t="shared" si="2"/>
        <v>0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41</v>
      </c>
      <c r="B41">
        <f t="shared" si="8"/>
        <v>180</v>
      </c>
      <c r="C41">
        <v>4532.88</v>
      </c>
      <c r="D41" s="54">
        <f t="shared" si="5"/>
        <v>180</v>
      </c>
      <c r="E41">
        <f t="shared" si="6"/>
        <v>-7.88799999999992</v>
      </c>
      <c r="F41" s="59">
        <f t="shared" si="9"/>
        <v>178.9648724067857</v>
      </c>
      <c r="G41" s="55">
        <f t="shared" si="7"/>
        <v>-7.88799999999992</v>
      </c>
      <c r="M41" s="15"/>
      <c r="O41" s="73"/>
      <c r="P41" s="74">
        <f t="shared" si="1"/>
        <v>178.9648724067857</v>
      </c>
      <c r="Q41" s="73">
        <f t="shared" si="2"/>
        <v>0.63600000000042201</v>
      </c>
      <c r="R41" s="73"/>
      <c r="S41" s="73"/>
      <c r="T41" s="73"/>
      <c r="U41" s="126"/>
      <c r="V41" s="126"/>
      <c r="W41" s="126"/>
      <c r="X41" s="128"/>
      <c r="Y41" s="128"/>
      <c r="Z41" s="127"/>
    </row>
    <row r="42" spans="1:26" x14ac:dyDescent="0.25">
      <c r="A42" t="s">
        <v>42</v>
      </c>
      <c r="B42">
        <f t="shared" si="8"/>
        <v>185</v>
      </c>
      <c r="C42">
        <v>4533.5630000000001</v>
      </c>
      <c r="D42" s="54">
        <f t="shared" si="5"/>
        <v>185</v>
      </c>
      <c r="E42">
        <f t="shared" si="6"/>
        <v>-7.2049999999999272</v>
      </c>
      <c r="F42" s="59">
        <f t="shared" si="9"/>
        <v>183.91800384053548</v>
      </c>
      <c r="G42" s="55">
        <f t="shared" si="7"/>
        <v>-7.2049999999999272</v>
      </c>
      <c r="M42" s="15"/>
      <c r="O42" s="73"/>
      <c r="P42" s="74">
        <f t="shared" si="1"/>
        <v>183.91800384053548</v>
      </c>
      <c r="Q42" s="73">
        <f t="shared" si="2"/>
        <v>1.3190000000004147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43</v>
      </c>
      <c r="B43">
        <f t="shared" si="8"/>
        <v>190</v>
      </c>
      <c r="C43">
        <v>4534.1480000000001</v>
      </c>
      <c r="D43" s="54">
        <f t="shared" si="5"/>
        <v>190</v>
      </c>
      <c r="E43">
        <f t="shared" si="6"/>
        <v>-6.6199999999998909</v>
      </c>
      <c r="F43" s="59">
        <f t="shared" si="9"/>
        <v>188.88366341404634</v>
      </c>
      <c r="G43" s="55">
        <f t="shared" si="7"/>
        <v>-6.6199999999998909</v>
      </c>
      <c r="M43" s="15"/>
      <c r="O43" s="73"/>
      <c r="P43" s="74">
        <f t="shared" si="1"/>
        <v>188.88366341404634</v>
      </c>
      <c r="Q43" s="73">
        <f t="shared" si="2"/>
        <v>1.9040000000004511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44</v>
      </c>
      <c r="B44">
        <f t="shared" si="8"/>
        <v>195</v>
      </c>
      <c r="C44">
        <v>4534.8620000000001</v>
      </c>
      <c r="D44" s="54">
        <f t="shared" si="5"/>
        <v>195</v>
      </c>
      <c r="E44">
        <f t="shared" si="6"/>
        <v>-5.9059999999999491</v>
      </c>
      <c r="F44" s="59">
        <f t="shared" si="9"/>
        <v>193.83242123798561</v>
      </c>
      <c r="G44" s="55">
        <f t="shared" si="7"/>
        <v>-5.9059999999999491</v>
      </c>
      <c r="M44" s="15"/>
      <c r="O44" s="73"/>
      <c r="P44" s="74">
        <f t="shared" si="1"/>
        <v>193.83242123798561</v>
      </c>
      <c r="Q44" s="73">
        <f t="shared" si="2"/>
        <v>2.6180000000003929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45</v>
      </c>
      <c r="B45">
        <f t="shared" si="8"/>
        <v>200</v>
      </c>
      <c r="C45">
        <v>4535.5690000000004</v>
      </c>
      <c r="D45" s="54">
        <f t="shared" si="5"/>
        <v>200</v>
      </c>
      <c r="E45">
        <f t="shared" si="6"/>
        <v>-5.1989999999996144</v>
      </c>
      <c r="F45" s="59">
        <f t="shared" si="9"/>
        <v>198.78218395957131</v>
      </c>
      <c r="G45" s="55">
        <f t="shared" si="7"/>
        <v>-5.1989999999996144</v>
      </c>
      <c r="M45" s="15"/>
      <c r="O45" s="73"/>
      <c r="P45" s="74">
        <f t="shared" si="1"/>
        <v>198.78218395957131</v>
      </c>
      <c r="Q45" s="73">
        <f t="shared" si="2"/>
        <v>3.3250000000007276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46</v>
      </c>
      <c r="B46">
        <f t="shared" si="8"/>
        <v>205</v>
      </c>
      <c r="C46">
        <v>4536.2349999999997</v>
      </c>
      <c r="D46" s="54">
        <f t="shared" si="5"/>
        <v>205</v>
      </c>
      <c r="E46">
        <f t="shared" si="6"/>
        <v>-4.5330000000003565</v>
      </c>
      <c r="F46" s="59">
        <f t="shared" si="9"/>
        <v>203.73762985272774</v>
      </c>
      <c r="G46" s="55">
        <f t="shared" si="7"/>
        <v>-4.5330000000003565</v>
      </c>
      <c r="M46" s="15"/>
      <c r="O46" s="73"/>
      <c r="P46" s="74">
        <f t="shared" si="1"/>
        <v>203.73762985272774</v>
      </c>
      <c r="Q46" s="73">
        <f t="shared" si="2"/>
        <v>3.9909999999999854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47</v>
      </c>
      <c r="B47">
        <f t="shared" si="8"/>
        <v>210</v>
      </c>
      <c r="C47">
        <v>4537.0079999999998</v>
      </c>
      <c r="D47" s="54">
        <f t="shared" si="5"/>
        <v>210</v>
      </c>
      <c r="E47">
        <f t="shared" si="6"/>
        <v>-3.7600000000002183</v>
      </c>
      <c r="F47" s="59">
        <f t="shared" si="9"/>
        <v>208.67751558015098</v>
      </c>
      <c r="G47" s="55">
        <f t="shared" si="7"/>
        <v>-3.7600000000002183</v>
      </c>
      <c r="M47" s="15"/>
      <c r="O47" s="73"/>
      <c r="P47" s="74">
        <f t="shared" si="1"/>
        <v>208.67751558015098</v>
      </c>
      <c r="Q47" s="73">
        <f t="shared" si="2"/>
        <v>4.7640000000001237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48</v>
      </c>
      <c r="B48">
        <f t="shared" si="8"/>
        <v>215</v>
      </c>
      <c r="C48">
        <v>4537.7070000000003</v>
      </c>
      <c r="D48" s="54">
        <f t="shared" si="5"/>
        <v>215</v>
      </c>
      <c r="E48">
        <f t="shared" si="6"/>
        <v>-3.0609999999996944</v>
      </c>
      <c r="F48" s="59">
        <f t="shared" si="9"/>
        <v>213.62841438743834</v>
      </c>
      <c r="G48" s="55">
        <f t="shared" si="7"/>
        <v>-3.0609999999996944</v>
      </c>
      <c r="M48" s="15"/>
      <c r="O48" s="73"/>
      <c r="P48" s="74">
        <f t="shared" si="1"/>
        <v>213.62841438743834</v>
      </c>
      <c r="Q48" s="73">
        <f t="shared" si="2"/>
        <v>5.4630000000006476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49</v>
      </c>
      <c r="B49">
        <f t="shared" si="8"/>
        <v>220</v>
      </c>
      <c r="C49">
        <v>4538.5919999999996</v>
      </c>
      <c r="D49" s="54">
        <f t="shared" si="5"/>
        <v>220</v>
      </c>
      <c r="E49">
        <f t="shared" si="6"/>
        <v>-2.1760000000003856</v>
      </c>
      <c r="F49" s="59">
        <f t="shared" si="9"/>
        <v>218.54946864440413</v>
      </c>
      <c r="G49" s="55">
        <f t="shared" si="7"/>
        <v>-2.1760000000003856</v>
      </c>
      <c r="M49" s="15"/>
      <c r="O49" s="73"/>
      <c r="P49" s="74">
        <f t="shared" si="1"/>
        <v>218.54946864440413</v>
      </c>
      <c r="Q49" s="73">
        <f t="shared" si="2"/>
        <v>6.3479999999999563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50</v>
      </c>
      <c r="B50">
        <f t="shared" si="8"/>
        <v>225</v>
      </c>
      <c r="C50">
        <v>4539.4740000000002</v>
      </c>
      <c r="D50" s="54">
        <f t="shared" si="5"/>
        <v>225</v>
      </c>
      <c r="E50">
        <f t="shared" si="6"/>
        <v>-1.293999999999869</v>
      </c>
      <c r="F50" s="59">
        <f t="shared" si="9"/>
        <v>223.47106147599828</v>
      </c>
      <c r="G50" s="55">
        <f t="shared" si="7"/>
        <v>-1.293999999999869</v>
      </c>
      <c r="M50" s="15"/>
      <c r="O50" s="73"/>
      <c r="P50" s="74">
        <f t="shared" si="1"/>
        <v>223.47106147599828</v>
      </c>
      <c r="Q50" s="73">
        <f t="shared" si="2"/>
        <v>7.2300000000004729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51</v>
      </c>
      <c r="B51">
        <f t="shared" si="8"/>
        <v>230</v>
      </c>
      <c r="C51">
        <v>4540.1229999999996</v>
      </c>
      <c r="D51" s="54">
        <f t="shared" si="5"/>
        <v>230</v>
      </c>
      <c r="E51">
        <f t="shared" si="6"/>
        <v>-0.64500000000043656</v>
      </c>
      <c r="F51" s="59">
        <f t="shared" si="9"/>
        <v>228.42876245528302</v>
      </c>
      <c r="G51" s="55">
        <f t="shared" si="7"/>
        <v>-0.64500000000043656</v>
      </c>
      <c r="M51" s="15"/>
      <c r="O51" s="73"/>
      <c r="P51" s="74">
        <f t="shared" si="1"/>
        <v>228.42876245528302</v>
      </c>
      <c r="Q51" s="73">
        <f t="shared" si="2"/>
        <v>7.8789999999999054</v>
      </c>
      <c r="R51" s="73"/>
      <c r="S51" s="73"/>
      <c r="T51" s="73"/>
      <c r="U51" s="73"/>
      <c r="V51" s="73"/>
      <c r="W51" s="73"/>
      <c r="X51" s="74"/>
      <c r="Y51" s="74"/>
      <c r="Z51" s="80"/>
    </row>
    <row r="52" spans="1:26" ht="15.75" thickBot="1" x14ac:dyDescent="0.3">
      <c r="A52" t="s">
        <v>52</v>
      </c>
      <c r="B52">
        <f t="shared" si="8"/>
        <v>235</v>
      </c>
      <c r="C52">
        <v>4540.768</v>
      </c>
      <c r="D52" s="54">
        <f t="shared" si="5"/>
        <v>235</v>
      </c>
      <c r="E52">
        <f t="shared" si="6"/>
        <v>0</v>
      </c>
      <c r="F52" s="59">
        <f t="shared" si="9"/>
        <v>233.38698542324235</v>
      </c>
      <c r="G52" s="55">
        <f t="shared" si="7"/>
        <v>0</v>
      </c>
      <c r="M52" s="16"/>
      <c r="N52" s="47"/>
      <c r="O52" s="83"/>
      <c r="P52" s="84">
        <f t="shared" si="1"/>
        <v>233.38698542324235</v>
      </c>
      <c r="Q52" s="83">
        <f t="shared" si="2"/>
        <v>8.524000000000342</v>
      </c>
      <c r="R52" s="83"/>
      <c r="S52" s="83"/>
      <c r="T52" s="83"/>
      <c r="U52" s="83"/>
      <c r="V52" s="83"/>
      <c r="W52" s="83"/>
      <c r="X52" s="84"/>
      <c r="Y52" s="84"/>
      <c r="Z52" s="85"/>
    </row>
    <row r="53" spans="1:26" x14ac:dyDescent="0.25">
      <c r="D53" s="54"/>
      <c r="F53" s="107"/>
      <c r="G53" s="55"/>
      <c r="H53" s="62"/>
      <c r="I53" s="12"/>
      <c r="J53" s="55"/>
      <c r="X53" s="12"/>
      <c r="Y53" s="12"/>
    </row>
    <row r="54" spans="1:26" x14ac:dyDescent="0.25">
      <c r="D54" s="54"/>
      <c r="F54" s="107"/>
      <c r="G54" s="55"/>
      <c r="H54" s="54"/>
      <c r="I54" s="12"/>
      <c r="J54" s="55"/>
      <c r="X54" s="12"/>
      <c r="Y54" s="12"/>
    </row>
    <row r="55" spans="1:26" x14ac:dyDescent="0.25">
      <c r="D55" s="54"/>
      <c r="F55" s="107"/>
      <c r="G55" s="55"/>
      <c r="H55" s="54"/>
      <c r="I55" s="12"/>
      <c r="J55" s="55"/>
      <c r="X55" s="12"/>
      <c r="Y55" s="12"/>
    </row>
    <row r="56" spans="1:26" x14ac:dyDescent="0.25">
      <c r="D56" s="54"/>
      <c r="F56" s="107"/>
      <c r="G56" s="55"/>
      <c r="H56" s="54"/>
      <c r="I56" s="12"/>
      <c r="J56" s="55"/>
      <c r="X56" s="12"/>
      <c r="Y56" s="12"/>
    </row>
    <row r="57" spans="1:26" x14ac:dyDescent="0.25">
      <c r="D57" s="54"/>
      <c r="F57" s="107"/>
      <c r="G57" s="55"/>
      <c r="H57" s="54"/>
      <c r="I57" s="12"/>
      <c r="J57" s="55"/>
      <c r="X57" s="12"/>
      <c r="Y57" s="12"/>
    </row>
    <row r="58" spans="1:26" x14ac:dyDescent="0.25">
      <c r="D58" s="54"/>
      <c r="F58" s="107"/>
      <c r="G58" s="55"/>
      <c r="H58" s="54"/>
      <c r="I58" s="12"/>
      <c r="J58" s="55"/>
    </row>
    <row r="59" spans="1:26" x14ac:dyDescent="0.25">
      <c r="D59" s="54"/>
      <c r="F59" s="107"/>
      <c r="G59" s="55"/>
      <c r="H59" s="65"/>
      <c r="I59" s="64"/>
      <c r="J59" s="66"/>
    </row>
    <row r="60" spans="1:26" x14ac:dyDescent="0.25">
      <c r="D60" s="54"/>
      <c r="F60" s="107"/>
      <c r="G60" s="55"/>
      <c r="I60" s="12"/>
    </row>
    <row r="61" spans="1:26" x14ac:dyDescent="0.25">
      <c r="D61" s="54"/>
      <c r="F61" s="107"/>
      <c r="G61" s="55"/>
      <c r="I61" s="12"/>
    </row>
    <row r="62" spans="1:26" x14ac:dyDescent="0.25">
      <c r="D62" s="54"/>
      <c r="F62" s="107"/>
      <c r="G62" s="55"/>
      <c r="I62" s="12"/>
    </row>
    <row r="63" spans="1:26" x14ac:dyDescent="0.25">
      <c r="D63" s="54"/>
      <c r="F63" s="107"/>
      <c r="G63" s="55"/>
      <c r="I63" s="12"/>
    </row>
    <row r="64" spans="1:26" x14ac:dyDescent="0.25">
      <c r="D64" s="54"/>
      <c r="F64" s="107"/>
      <c r="G64" s="55"/>
      <c r="I64" s="12"/>
    </row>
    <row r="65" spans="4:9" x14ac:dyDescent="0.25">
      <c r="D65" s="54"/>
      <c r="F65" s="107"/>
      <c r="G65" s="55"/>
      <c r="I65" s="12"/>
    </row>
    <row r="66" spans="4:9" x14ac:dyDescent="0.25">
      <c r="D66" s="54"/>
      <c r="F66" s="107"/>
      <c r="G66" s="55"/>
      <c r="I66" s="12"/>
    </row>
    <row r="67" spans="4:9" x14ac:dyDescent="0.25">
      <c r="D67" s="54"/>
      <c r="F67" s="107"/>
      <c r="G67" s="55"/>
      <c r="I67" s="12"/>
    </row>
    <row r="68" spans="4:9" x14ac:dyDescent="0.25">
      <c r="D68" s="54"/>
      <c r="F68" s="107"/>
      <c r="G68" s="55"/>
      <c r="I68" s="12"/>
    </row>
    <row r="69" spans="4:9" x14ac:dyDescent="0.25">
      <c r="D69" s="54"/>
      <c r="F69" s="107"/>
      <c r="G69" s="55"/>
      <c r="I69" s="12"/>
    </row>
    <row r="70" spans="4:9" x14ac:dyDescent="0.25">
      <c r="D70" s="54"/>
      <c r="F70" s="107"/>
      <c r="G70" s="55"/>
      <c r="I70" s="12"/>
    </row>
    <row r="71" spans="4:9" x14ac:dyDescent="0.25">
      <c r="D71" s="54"/>
      <c r="F71" s="107"/>
      <c r="G71" s="55"/>
      <c r="I71" s="12"/>
    </row>
    <row r="72" spans="4:9" x14ac:dyDescent="0.25">
      <c r="D72" s="54"/>
      <c r="F72" s="107"/>
      <c r="G72" s="55"/>
      <c r="I72" s="12"/>
    </row>
    <row r="73" spans="4:9" x14ac:dyDescent="0.25">
      <c r="D73" s="54"/>
      <c r="F73" s="107"/>
      <c r="G73" s="55"/>
      <c r="I73" s="12"/>
    </row>
    <row r="74" spans="4:9" x14ac:dyDescent="0.25">
      <c r="D74" s="54"/>
      <c r="F74" s="107"/>
      <c r="G74" s="55"/>
      <c r="I74" s="12"/>
    </row>
    <row r="75" spans="4:9" x14ac:dyDescent="0.25">
      <c r="D75" s="54"/>
      <c r="F75" s="107"/>
      <c r="G75" s="55"/>
      <c r="I75" s="12"/>
    </row>
    <row r="76" spans="4:9" x14ac:dyDescent="0.25">
      <c r="D76" s="54"/>
      <c r="F76" s="107"/>
      <c r="G76" s="55"/>
      <c r="I76" s="12"/>
    </row>
    <row r="77" spans="4:9" x14ac:dyDescent="0.25">
      <c r="D77" s="56"/>
      <c r="E77" s="57"/>
      <c r="F77" s="108"/>
      <c r="I77" s="12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DF40-565A-43C8-A0E7-C2F9BE59EDCA}">
  <dimension ref="A1:Z77"/>
  <sheetViews>
    <sheetView topLeftCell="A30" workbookViewId="0">
      <selection activeCell="A16" sqref="A16:XFD16"/>
    </sheetView>
  </sheetViews>
  <sheetFormatPr defaultRowHeight="15" x14ac:dyDescent="0.25"/>
  <cols>
    <col min="1" max="1" width="14.42578125" customWidth="1"/>
    <col min="7" max="7" width="13" customWidth="1"/>
    <col min="10" max="10" width="11.140625" customWidth="1"/>
    <col min="13" max="13" width="8.7109375" style="12"/>
    <col min="16" max="16" width="8.7109375" style="12"/>
  </cols>
  <sheetData>
    <row r="1" spans="1:26" s="1" customFormat="1" ht="23.25" x14ac:dyDescent="0.35">
      <c r="A1" s="51" t="s">
        <v>322</v>
      </c>
      <c r="B1" s="1" t="s">
        <v>216</v>
      </c>
      <c r="D1" s="52" t="s">
        <v>302</v>
      </c>
      <c r="E1" s="53"/>
      <c r="F1" s="52" t="s">
        <v>324</v>
      </c>
      <c r="G1" s="53"/>
      <c r="H1" s="52" t="s">
        <v>323</v>
      </c>
      <c r="I1" s="61"/>
      <c r="J1" s="53"/>
      <c r="M1" s="75" t="s">
        <v>303</v>
      </c>
      <c r="N1" s="76"/>
      <c r="O1" s="76"/>
      <c r="P1" s="77"/>
      <c r="Q1" s="76"/>
      <c r="R1" s="76" t="s">
        <v>304</v>
      </c>
      <c r="S1" s="76">
        <f>MAX(J17:J40)</f>
        <v>-1.1460000000001855</v>
      </c>
      <c r="T1" s="76"/>
      <c r="U1" s="76" t="s">
        <v>327</v>
      </c>
      <c r="V1" s="76"/>
      <c r="W1" s="76"/>
      <c r="X1" s="76" t="s">
        <v>329</v>
      </c>
      <c r="Y1" s="76"/>
      <c r="Z1" s="78"/>
    </row>
    <row r="2" spans="1:26" s="1" customFormat="1" ht="15.75" x14ac:dyDescent="0.25">
      <c r="A2" s="135" t="s">
        <v>332</v>
      </c>
      <c r="B2" s="136">
        <v>2</v>
      </c>
      <c r="D2" s="62"/>
      <c r="F2" s="62"/>
      <c r="G2" s="58"/>
      <c r="H2" s="62"/>
      <c r="M2" s="131"/>
      <c r="N2" s="132"/>
      <c r="O2" s="132"/>
      <c r="P2" s="133"/>
      <c r="Q2" s="132"/>
      <c r="R2" s="132"/>
      <c r="S2" s="132"/>
      <c r="T2" s="132"/>
      <c r="U2" s="67"/>
      <c r="V2" s="67"/>
      <c r="W2" s="67"/>
      <c r="X2" s="67"/>
      <c r="Y2" s="67"/>
      <c r="Z2" s="134"/>
    </row>
    <row r="3" spans="1:26" x14ac:dyDescent="0.25">
      <c r="A3" s="1" t="s">
        <v>175</v>
      </c>
      <c r="B3">
        <v>5</v>
      </c>
      <c r="C3" s="1"/>
      <c r="D3" s="62"/>
      <c r="E3" s="1"/>
      <c r="F3" s="62"/>
      <c r="G3" s="58"/>
      <c r="H3" s="62"/>
      <c r="I3" s="1"/>
      <c r="J3" s="119"/>
      <c r="K3" s="1"/>
      <c r="L3" s="1"/>
      <c r="M3" s="79" t="s">
        <v>328</v>
      </c>
      <c r="N3" s="72"/>
      <c r="O3" s="73"/>
      <c r="P3" s="71" t="s">
        <v>325</v>
      </c>
      <c r="Q3" s="73"/>
      <c r="R3" s="73"/>
      <c r="S3" s="73"/>
      <c r="T3" s="73"/>
      <c r="Z3" s="80"/>
    </row>
    <row r="4" spans="1:26" x14ac:dyDescent="0.25">
      <c r="A4" s="1" t="s">
        <v>175</v>
      </c>
      <c r="B4" s="109"/>
      <c r="C4" s="109"/>
      <c r="D4" s="110"/>
      <c r="E4" s="109"/>
      <c r="F4" s="110"/>
      <c r="G4" s="111"/>
      <c r="H4" s="120"/>
      <c r="I4" s="120"/>
      <c r="J4" s="121"/>
      <c r="K4" s="114"/>
      <c r="L4" s="114" t="s">
        <v>175</v>
      </c>
      <c r="M4" s="122"/>
      <c r="N4" s="120"/>
      <c r="O4" s="116"/>
      <c r="P4" s="71"/>
      <c r="Q4" s="116"/>
      <c r="R4" s="73"/>
      <c r="S4" s="73"/>
      <c r="T4" s="116"/>
      <c r="U4" s="116">
        <f>-B3</f>
        <v>-5</v>
      </c>
      <c r="V4" s="116">
        <f>N16</f>
        <v>-4.36200000000008</v>
      </c>
      <c r="W4" s="116"/>
      <c r="X4" s="117">
        <f t="shared" ref="X4:X29" si="0">M16-(MIN($M$17:$M$40))</f>
        <v>-5</v>
      </c>
      <c r="Y4" s="117">
        <f>V4</f>
        <v>-4.36200000000008</v>
      </c>
      <c r="Z4" s="118"/>
    </row>
    <row r="5" spans="1:26" x14ac:dyDescent="0.25">
      <c r="A5" t="s">
        <v>5</v>
      </c>
      <c r="B5">
        <v>0</v>
      </c>
      <c r="C5" s="142">
        <v>3548.0509999999999</v>
      </c>
      <c r="D5" s="54">
        <f>B5</f>
        <v>0</v>
      </c>
      <c r="E5">
        <f>C5-(MAX($C$5:$C$52))</f>
        <v>-7.6970000000001164</v>
      </c>
      <c r="F5" s="54">
        <v>0</v>
      </c>
      <c r="G5" s="55">
        <f>E5</f>
        <v>-7.6970000000001164</v>
      </c>
      <c r="J5" s="63"/>
      <c r="M5" s="15"/>
      <c r="O5" s="73"/>
      <c r="P5" s="117">
        <f t="shared" ref="P5:P52" si="1">F5</f>
        <v>0</v>
      </c>
      <c r="Q5" s="116">
        <f t="shared" ref="Q5:Q52" si="2">G5-$S$1</f>
        <v>-6.5509999999999309</v>
      </c>
      <c r="R5" s="116"/>
      <c r="S5" s="116"/>
      <c r="T5" s="73"/>
      <c r="U5" s="73">
        <v>0</v>
      </c>
      <c r="V5" s="116">
        <f t="shared" ref="V5:V29" si="3">J17</f>
        <v>-5.0080000000002656</v>
      </c>
      <c r="W5" s="73"/>
      <c r="X5" s="117">
        <f t="shared" si="0"/>
        <v>0</v>
      </c>
      <c r="Y5" s="117">
        <f t="shared" ref="Y5:Y29" si="4">V5</f>
        <v>-5.0080000000002656</v>
      </c>
      <c r="Z5" s="80"/>
    </row>
    <row r="6" spans="1:26" x14ac:dyDescent="0.25">
      <c r="A6" t="s">
        <v>6</v>
      </c>
      <c r="B6">
        <f>B5+$B$2</f>
        <v>2</v>
      </c>
      <c r="C6" s="142">
        <v>3548.2640000000001</v>
      </c>
      <c r="D6" s="54">
        <f t="shared" ref="D6:D52" si="5">B6</f>
        <v>2</v>
      </c>
      <c r="E6">
        <f t="shared" ref="E6:E52" si="6">C6-(MAX($C$5:$C$52))</f>
        <v>-7.4839999999999236</v>
      </c>
      <c r="F6" s="59">
        <f>F5+(SQRT((D6-D5)^2-(E6-E5)^2))</f>
        <v>1.9886254046451075</v>
      </c>
      <c r="G6" s="55">
        <f t="shared" ref="G6:G52" si="7">E6</f>
        <v>-7.4839999999999236</v>
      </c>
      <c r="J6" s="63"/>
      <c r="M6" s="15"/>
      <c r="O6" s="73"/>
      <c r="P6" s="74">
        <f t="shared" si="1"/>
        <v>1.9886254046451075</v>
      </c>
      <c r="Q6" s="73">
        <f t="shared" si="2"/>
        <v>-6.3379999999997381</v>
      </c>
      <c r="R6" s="73"/>
      <c r="S6" s="73"/>
      <c r="T6" s="73"/>
      <c r="U6" s="73">
        <f>U5+$B$2</f>
        <v>2</v>
      </c>
      <c r="V6" s="116">
        <f t="shared" si="3"/>
        <v>-4.7919999999999163</v>
      </c>
      <c r="W6" s="73"/>
      <c r="X6" s="117">
        <f t="shared" si="0"/>
        <v>1.9883017879587221</v>
      </c>
      <c r="Y6" s="117">
        <f t="shared" si="4"/>
        <v>-4.7919999999999163</v>
      </c>
      <c r="Z6" s="80"/>
    </row>
    <row r="7" spans="1:26" x14ac:dyDescent="0.25">
      <c r="A7" t="s">
        <v>7</v>
      </c>
      <c r="B7">
        <f t="shared" ref="B7:B52" si="8">B6+$B$2</f>
        <v>4</v>
      </c>
      <c r="C7" s="142">
        <v>3548.4760000000001</v>
      </c>
      <c r="D7" s="54">
        <f t="shared" si="5"/>
        <v>4</v>
      </c>
      <c r="E7">
        <f t="shared" si="6"/>
        <v>-7.2719999999999345</v>
      </c>
      <c r="F7" s="59">
        <f t="shared" ref="F7:F52" si="9">F6+(SQRT((D7-D6)^2-(E7-E6)^2))</f>
        <v>3.9773576641511488</v>
      </c>
      <c r="G7" s="55">
        <f t="shared" si="7"/>
        <v>-7.2719999999999345</v>
      </c>
      <c r="J7" s="63"/>
      <c r="M7" s="15"/>
      <c r="O7" s="73"/>
      <c r="P7" s="74">
        <f t="shared" si="1"/>
        <v>3.9773576641511488</v>
      </c>
      <c r="Q7" s="73">
        <f t="shared" si="2"/>
        <v>-6.125999999999749</v>
      </c>
      <c r="R7" s="73"/>
      <c r="S7" s="73"/>
      <c r="T7" s="73"/>
      <c r="U7" s="73">
        <f t="shared" ref="U7:U28" si="10">U6+$B$2</f>
        <v>4</v>
      </c>
      <c r="V7" s="116">
        <f t="shared" si="3"/>
        <v>-4.6959999999999127</v>
      </c>
      <c r="W7" s="73"/>
      <c r="X7" s="117">
        <f t="shared" si="0"/>
        <v>3.9859964593236938</v>
      </c>
      <c r="Y7" s="117">
        <f t="shared" si="4"/>
        <v>-4.6959999999999127</v>
      </c>
      <c r="Z7" s="80"/>
    </row>
    <row r="8" spans="1:26" x14ac:dyDescent="0.25">
      <c r="A8" t="s">
        <v>8</v>
      </c>
      <c r="B8">
        <f t="shared" si="8"/>
        <v>6</v>
      </c>
      <c r="C8" s="142">
        <v>3548.7260000000001</v>
      </c>
      <c r="D8" s="54">
        <f t="shared" si="5"/>
        <v>6</v>
      </c>
      <c r="E8">
        <f t="shared" si="6"/>
        <v>-7.0219999999999345</v>
      </c>
      <c r="F8" s="59">
        <f t="shared" si="9"/>
        <v>5.961671147449592</v>
      </c>
      <c r="G8" s="55">
        <f t="shared" si="7"/>
        <v>-7.0219999999999345</v>
      </c>
      <c r="J8" s="63"/>
      <c r="M8" s="15"/>
      <c r="O8" s="73"/>
      <c r="P8" s="74">
        <f t="shared" si="1"/>
        <v>5.961671147449592</v>
      </c>
      <c r="Q8" s="73">
        <f t="shared" si="2"/>
        <v>-5.875999999999749</v>
      </c>
      <c r="R8" s="73"/>
      <c r="S8" s="73"/>
      <c r="T8" s="73"/>
      <c r="U8" s="73">
        <f t="shared" si="10"/>
        <v>6</v>
      </c>
      <c r="V8" s="116">
        <f t="shared" si="3"/>
        <v>-4.318000000000211</v>
      </c>
      <c r="W8" s="73"/>
      <c r="X8" s="117">
        <f t="shared" si="0"/>
        <v>5.9499506339418851</v>
      </c>
      <c r="Y8" s="117">
        <f t="shared" si="4"/>
        <v>-4.318000000000211</v>
      </c>
      <c r="Z8" s="80"/>
    </row>
    <row r="9" spans="1:26" x14ac:dyDescent="0.25">
      <c r="A9" t="s">
        <v>9</v>
      </c>
      <c r="B9">
        <f t="shared" si="8"/>
        <v>8</v>
      </c>
      <c r="C9" s="142">
        <v>3548.9749999999999</v>
      </c>
      <c r="D9" s="54">
        <f t="shared" si="5"/>
        <v>8</v>
      </c>
      <c r="E9">
        <f t="shared" si="6"/>
        <v>-6.7730000000001382</v>
      </c>
      <c r="F9" s="59">
        <f t="shared" si="9"/>
        <v>7.9461103629460261</v>
      </c>
      <c r="G9" s="55">
        <f t="shared" si="7"/>
        <v>-6.7730000000001382</v>
      </c>
      <c r="J9" s="63"/>
      <c r="M9" s="15"/>
      <c r="O9" s="73"/>
      <c r="P9" s="74">
        <f t="shared" si="1"/>
        <v>7.9461103629460261</v>
      </c>
      <c r="Q9" s="73">
        <f t="shared" si="2"/>
        <v>-5.6269999999999527</v>
      </c>
      <c r="R9" s="73"/>
      <c r="S9" s="73"/>
      <c r="T9" s="73"/>
      <c r="U9" s="73">
        <f t="shared" si="10"/>
        <v>8</v>
      </c>
      <c r="V9" s="116">
        <f t="shared" si="3"/>
        <v>-4.0599999999999454</v>
      </c>
      <c r="W9" s="73"/>
      <c r="X9" s="117">
        <f t="shared" si="0"/>
        <v>7.933239821125607</v>
      </c>
      <c r="Y9" s="117">
        <f t="shared" si="4"/>
        <v>-4.0599999999999454</v>
      </c>
      <c r="Z9" s="80"/>
    </row>
    <row r="10" spans="1:26" x14ac:dyDescent="0.25">
      <c r="A10" t="s">
        <v>10</v>
      </c>
      <c r="B10">
        <f t="shared" si="8"/>
        <v>10</v>
      </c>
      <c r="C10" s="142">
        <v>3549.2420000000002</v>
      </c>
      <c r="D10" s="54">
        <f t="shared" si="5"/>
        <v>10</v>
      </c>
      <c r="E10">
        <f t="shared" si="6"/>
        <v>-6.5059999999998581</v>
      </c>
      <c r="F10" s="59">
        <f t="shared" si="9"/>
        <v>9.9282079891995494</v>
      </c>
      <c r="G10" s="55">
        <f t="shared" si="7"/>
        <v>-6.5059999999998581</v>
      </c>
      <c r="J10" s="63"/>
      <c r="M10" s="15"/>
      <c r="O10" s="73"/>
      <c r="P10" s="74">
        <f t="shared" si="1"/>
        <v>9.9282079891995494</v>
      </c>
      <c r="Q10" s="73">
        <f t="shared" si="2"/>
        <v>-5.3599999999996726</v>
      </c>
      <c r="R10" s="73"/>
      <c r="S10" s="73"/>
      <c r="T10" s="73"/>
      <c r="U10" s="73">
        <f t="shared" si="10"/>
        <v>10</v>
      </c>
      <c r="V10" s="116">
        <f t="shared" si="3"/>
        <v>-3.8380000000001928</v>
      </c>
      <c r="W10" s="73"/>
      <c r="X10" s="117">
        <f t="shared" si="0"/>
        <v>9.9208806337474726</v>
      </c>
      <c r="Y10" s="117">
        <f t="shared" si="4"/>
        <v>-3.8380000000001928</v>
      </c>
      <c r="Z10" s="80"/>
    </row>
    <row r="11" spans="1:26" x14ac:dyDescent="0.25">
      <c r="A11" t="s">
        <v>11</v>
      </c>
      <c r="B11">
        <f t="shared" si="8"/>
        <v>12</v>
      </c>
      <c r="C11" s="142">
        <v>3549.5030000000002</v>
      </c>
      <c r="D11" s="54">
        <f t="shared" si="5"/>
        <v>12</v>
      </c>
      <c r="E11">
        <f t="shared" si="6"/>
        <v>-6.2449999999998909</v>
      </c>
      <c r="F11" s="59">
        <f t="shared" si="9"/>
        <v>11.911104607785607</v>
      </c>
      <c r="G11" s="55">
        <f t="shared" si="7"/>
        <v>-6.2449999999998909</v>
      </c>
      <c r="J11" s="63"/>
      <c r="M11" s="15"/>
      <c r="O11" s="73"/>
      <c r="P11" s="74">
        <f t="shared" si="1"/>
        <v>11.911104607785607</v>
      </c>
      <c r="Q11" s="73">
        <f t="shared" si="2"/>
        <v>-5.0989999999997053</v>
      </c>
      <c r="R11" s="73"/>
      <c r="S11" s="73"/>
      <c r="T11" s="73"/>
      <c r="U11" s="73">
        <f t="shared" si="10"/>
        <v>12</v>
      </c>
      <c r="V11" s="116">
        <f t="shared" si="3"/>
        <v>-3.7440000000001419</v>
      </c>
      <c r="W11" s="73"/>
      <c r="X11" s="117">
        <f t="shared" si="0"/>
        <v>11.918670412477958</v>
      </c>
      <c r="Y11" s="117">
        <f t="shared" si="4"/>
        <v>-3.7440000000001419</v>
      </c>
      <c r="Z11" s="80"/>
    </row>
    <row r="12" spans="1:26" x14ac:dyDescent="0.25">
      <c r="A12" t="s">
        <v>12</v>
      </c>
      <c r="B12">
        <f t="shared" si="8"/>
        <v>14</v>
      </c>
      <c r="C12" s="142">
        <v>3549.8009999999999</v>
      </c>
      <c r="D12" s="54">
        <f t="shared" si="5"/>
        <v>14</v>
      </c>
      <c r="E12">
        <f t="shared" si="6"/>
        <v>-5.9470000000001164</v>
      </c>
      <c r="F12" s="59">
        <f t="shared" si="9"/>
        <v>13.888778999590318</v>
      </c>
      <c r="G12" s="55">
        <f t="shared" si="7"/>
        <v>-5.9470000000001164</v>
      </c>
      <c r="J12" s="63"/>
      <c r="M12" s="15"/>
      <c r="O12" s="73"/>
      <c r="P12" s="74">
        <f t="shared" si="1"/>
        <v>13.888778999590318</v>
      </c>
      <c r="Q12" s="73">
        <f t="shared" si="2"/>
        <v>-4.8009999999999309</v>
      </c>
      <c r="R12" s="73"/>
      <c r="S12" s="73"/>
      <c r="T12" s="73"/>
      <c r="U12" s="73">
        <f t="shared" si="10"/>
        <v>14</v>
      </c>
      <c r="V12" s="116">
        <f t="shared" si="3"/>
        <v>-3.5970000000002074</v>
      </c>
      <c r="W12" s="73"/>
      <c r="X12" s="117">
        <f t="shared" si="0"/>
        <v>13.913260846627288</v>
      </c>
      <c r="Y12" s="117">
        <f t="shared" si="4"/>
        <v>-3.5970000000002074</v>
      </c>
      <c r="Z12" s="80"/>
    </row>
    <row r="13" spans="1:26" x14ac:dyDescent="0.25">
      <c r="A13" t="s">
        <v>13</v>
      </c>
      <c r="B13">
        <f t="shared" si="8"/>
        <v>16</v>
      </c>
      <c r="C13" s="142">
        <v>3549.9780000000001</v>
      </c>
      <c r="D13" s="54">
        <f t="shared" si="5"/>
        <v>16</v>
      </c>
      <c r="E13">
        <f t="shared" si="6"/>
        <v>-5.7699999999999818</v>
      </c>
      <c r="F13" s="59">
        <f t="shared" si="9"/>
        <v>15.880931353201847</v>
      </c>
      <c r="G13" s="55">
        <f t="shared" si="7"/>
        <v>-5.7699999999999818</v>
      </c>
      <c r="J13" s="63"/>
      <c r="M13" s="15"/>
      <c r="O13" s="73"/>
      <c r="P13" s="74">
        <f t="shared" si="1"/>
        <v>15.880931353201847</v>
      </c>
      <c r="Q13" s="73">
        <f t="shared" si="2"/>
        <v>-4.6239999999997963</v>
      </c>
      <c r="R13" s="73"/>
      <c r="S13" s="73"/>
      <c r="T13" s="73"/>
      <c r="U13" s="73">
        <f t="shared" si="10"/>
        <v>16</v>
      </c>
      <c r="V13" s="116">
        <f t="shared" si="3"/>
        <v>-3.4090000000001055</v>
      </c>
      <c r="W13" s="73"/>
      <c r="X13" s="117">
        <f t="shared" si="0"/>
        <v>15.904405241190368</v>
      </c>
      <c r="Y13" s="117">
        <f t="shared" si="4"/>
        <v>-3.4090000000001055</v>
      </c>
      <c r="Z13" s="80"/>
    </row>
    <row r="14" spans="1:26" x14ac:dyDescent="0.25">
      <c r="A14" t="s">
        <v>14</v>
      </c>
      <c r="B14">
        <f t="shared" si="8"/>
        <v>18</v>
      </c>
      <c r="C14" s="142">
        <v>3550.2240000000002</v>
      </c>
      <c r="D14" s="54">
        <f t="shared" si="5"/>
        <v>18</v>
      </c>
      <c r="E14">
        <f t="shared" si="6"/>
        <v>-5.5239999999998872</v>
      </c>
      <c r="F14" s="59">
        <f t="shared" si="9"/>
        <v>17.865744694551594</v>
      </c>
      <c r="G14" s="55">
        <f t="shared" si="7"/>
        <v>-5.5239999999998872</v>
      </c>
      <c r="J14" s="63"/>
      <c r="M14" s="15"/>
      <c r="O14" s="73"/>
      <c r="P14" s="74">
        <f t="shared" si="1"/>
        <v>17.865744694551594</v>
      </c>
      <c r="Q14" s="73">
        <f t="shared" si="2"/>
        <v>-4.3779999999997017</v>
      </c>
      <c r="R14" s="73"/>
      <c r="S14" s="73"/>
      <c r="T14" s="73"/>
      <c r="U14" s="73">
        <f t="shared" si="10"/>
        <v>18</v>
      </c>
      <c r="V14" s="116">
        <f t="shared" si="3"/>
        <v>-3.3360000000002401</v>
      </c>
      <c r="W14" s="73"/>
      <c r="X14" s="117">
        <f t="shared" si="0"/>
        <v>17.903072547172037</v>
      </c>
      <c r="Y14" s="117">
        <f t="shared" si="4"/>
        <v>-3.3360000000002401</v>
      </c>
      <c r="Z14" s="80"/>
    </row>
    <row r="15" spans="1:26" x14ac:dyDescent="0.25">
      <c r="A15" t="s">
        <v>15</v>
      </c>
      <c r="B15">
        <f t="shared" si="8"/>
        <v>20</v>
      </c>
      <c r="C15" s="142">
        <v>3550.377</v>
      </c>
      <c r="D15" s="54">
        <f t="shared" si="5"/>
        <v>20</v>
      </c>
      <c r="E15">
        <f t="shared" si="6"/>
        <v>-5.3710000000000946</v>
      </c>
      <c r="F15" s="59">
        <f t="shared" si="9"/>
        <v>19.859883857197989</v>
      </c>
      <c r="G15" s="55">
        <f t="shared" si="7"/>
        <v>-5.3710000000000946</v>
      </c>
      <c r="J15" s="63"/>
      <c r="M15" s="15"/>
      <c r="O15" s="73"/>
      <c r="P15" s="74">
        <f t="shared" si="1"/>
        <v>19.859883857197989</v>
      </c>
      <c r="Q15" s="73">
        <f t="shared" si="2"/>
        <v>-4.2249999999999091</v>
      </c>
      <c r="R15" s="73"/>
      <c r="S15" s="73"/>
      <c r="T15" s="73"/>
      <c r="U15" s="73">
        <f t="shared" si="10"/>
        <v>20</v>
      </c>
      <c r="V15" s="116">
        <f t="shared" si="3"/>
        <v>-3.1730000000002292</v>
      </c>
      <c r="W15" s="73"/>
      <c r="X15" s="117">
        <f t="shared" si="0"/>
        <v>19.896419230516408</v>
      </c>
      <c r="Y15" s="117">
        <f t="shared" si="4"/>
        <v>-3.1730000000002292</v>
      </c>
      <c r="Z15" s="80"/>
    </row>
    <row r="16" spans="1:26" x14ac:dyDescent="0.25">
      <c r="A16" t="s">
        <v>16</v>
      </c>
      <c r="B16">
        <f t="shared" si="8"/>
        <v>22</v>
      </c>
      <c r="C16" s="142">
        <v>3550.5079999999998</v>
      </c>
      <c r="D16" s="54">
        <f t="shared" si="5"/>
        <v>22</v>
      </c>
      <c r="E16">
        <f t="shared" si="6"/>
        <v>-5.2400000000002365</v>
      </c>
      <c r="F16" s="59">
        <f t="shared" si="9"/>
        <v>21.855588995739261</v>
      </c>
      <c r="G16" s="55">
        <f t="shared" si="7"/>
        <v>-5.2400000000002365</v>
      </c>
      <c r="H16" s="112" t="s">
        <v>175</v>
      </c>
      <c r="I16" s="123">
        <f>I17-B3</f>
        <v>18.842087422620089</v>
      </c>
      <c r="J16" s="113">
        <f>J17-0.5</f>
        <v>-5.5080000000002656</v>
      </c>
      <c r="M16" s="115">
        <f t="shared" ref="M16:M41" si="11">I16</f>
        <v>18.842087422620089</v>
      </c>
      <c r="N16" s="116">
        <f>N17-0.5</f>
        <v>-4.36200000000008</v>
      </c>
      <c r="O16" s="73"/>
      <c r="P16" s="74">
        <f t="shared" si="1"/>
        <v>21.855588995739261</v>
      </c>
      <c r="Q16" s="73">
        <f t="shared" si="2"/>
        <v>-4.0940000000000509</v>
      </c>
      <c r="R16" s="73"/>
      <c r="S16" s="73"/>
      <c r="T16" s="73"/>
      <c r="U16" s="73">
        <f t="shared" si="10"/>
        <v>22</v>
      </c>
      <c r="V16" s="116">
        <f t="shared" si="3"/>
        <v>-3.012000000000171</v>
      </c>
      <c r="W16" s="73"/>
      <c r="X16" s="117">
        <f t="shared" si="0"/>
        <v>21.889928447951824</v>
      </c>
      <c r="Y16" s="117">
        <f t="shared" si="4"/>
        <v>-3.012000000000171</v>
      </c>
      <c r="Z16" s="80"/>
    </row>
    <row r="17" spans="1:26" x14ac:dyDescent="0.25">
      <c r="A17" t="s">
        <v>17</v>
      </c>
      <c r="B17">
        <f t="shared" si="8"/>
        <v>24</v>
      </c>
      <c r="C17" s="142">
        <v>3550.74</v>
      </c>
      <c r="D17" s="54">
        <f t="shared" si="5"/>
        <v>24</v>
      </c>
      <c r="E17">
        <f t="shared" si="6"/>
        <v>-5.0080000000002656</v>
      </c>
      <c r="F17" s="59">
        <f t="shared" si="9"/>
        <v>23.842087422620089</v>
      </c>
      <c r="G17" s="55">
        <f t="shared" si="7"/>
        <v>-5.0080000000002656</v>
      </c>
      <c r="H17" s="54" t="s">
        <v>103</v>
      </c>
      <c r="I17" s="12">
        <f t="shared" ref="I17:I40" si="12">F17</f>
        <v>23.842087422620089</v>
      </c>
      <c r="J17" s="55">
        <f t="shared" ref="J17:J40" si="13">G17</f>
        <v>-5.0080000000002656</v>
      </c>
      <c r="M17" s="81">
        <f t="shared" si="11"/>
        <v>23.842087422620089</v>
      </c>
      <c r="N17" s="73">
        <f>J17-$S$1</f>
        <v>-3.86200000000008</v>
      </c>
      <c r="O17" s="73"/>
      <c r="P17" s="74">
        <f t="shared" si="1"/>
        <v>23.842087422620089</v>
      </c>
      <c r="Q17" s="73">
        <f t="shared" si="2"/>
        <v>-3.86200000000008</v>
      </c>
      <c r="R17" s="73"/>
      <c r="S17" s="73"/>
      <c r="T17" s="73"/>
      <c r="U17" s="73">
        <f t="shared" si="10"/>
        <v>24</v>
      </c>
      <c r="V17" s="116">
        <f t="shared" si="3"/>
        <v>-2.73700000000008</v>
      </c>
      <c r="W17" s="73"/>
      <c r="X17" s="117">
        <f t="shared" si="0"/>
        <v>23.870931981517565</v>
      </c>
      <c r="Y17" s="117">
        <f t="shared" si="4"/>
        <v>-2.73700000000008</v>
      </c>
      <c r="Z17" s="80"/>
    </row>
    <row r="18" spans="1:26" x14ac:dyDescent="0.25">
      <c r="A18" t="s">
        <v>18</v>
      </c>
      <c r="B18">
        <f t="shared" si="8"/>
        <v>26</v>
      </c>
      <c r="C18" s="142">
        <v>3550.9560000000001</v>
      </c>
      <c r="D18" s="54">
        <f t="shared" si="5"/>
        <v>26</v>
      </c>
      <c r="E18">
        <f t="shared" si="6"/>
        <v>-4.7919999999999163</v>
      </c>
      <c r="F18" s="59">
        <f t="shared" si="9"/>
        <v>25.830389210578812</v>
      </c>
      <c r="G18" s="55">
        <f t="shared" si="7"/>
        <v>-4.7919999999999163</v>
      </c>
      <c r="H18" s="54" t="s">
        <v>104</v>
      </c>
      <c r="I18" s="12">
        <f t="shared" si="12"/>
        <v>25.830389210578812</v>
      </c>
      <c r="J18" s="55">
        <f t="shared" si="13"/>
        <v>-4.7919999999999163</v>
      </c>
      <c r="M18" s="81">
        <f t="shared" si="11"/>
        <v>25.830389210578812</v>
      </c>
      <c r="N18" s="73">
        <f t="shared" ref="N18:N41" si="14">J18-$S$1</f>
        <v>-3.6459999999997308</v>
      </c>
      <c r="O18" s="73"/>
      <c r="P18" s="74">
        <f t="shared" si="1"/>
        <v>25.830389210578812</v>
      </c>
      <c r="Q18" s="73">
        <f t="shared" si="2"/>
        <v>-3.6459999999997308</v>
      </c>
      <c r="R18" s="73"/>
      <c r="S18" s="73"/>
      <c r="T18" s="73"/>
      <c r="U18" s="73">
        <f t="shared" si="10"/>
        <v>26</v>
      </c>
      <c r="V18" s="116">
        <f t="shared" si="3"/>
        <v>-2.6030000000000655</v>
      </c>
      <c r="W18" s="73"/>
      <c r="X18" s="117">
        <f t="shared" si="0"/>
        <v>25.866437932398192</v>
      </c>
      <c r="Y18" s="117">
        <f t="shared" si="4"/>
        <v>-2.6030000000000655</v>
      </c>
      <c r="Z18" s="80"/>
    </row>
    <row r="19" spans="1:26" x14ac:dyDescent="0.25">
      <c r="A19" t="s">
        <v>19</v>
      </c>
      <c r="B19">
        <f t="shared" si="8"/>
        <v>28</v>
      </c>
      <c r="C19" s="142">
        <v>3551.0520000000001</v>
      </c>
      <c r="D19" s="54">
        <f t="shared" si="5"/>
        <v>28</v>
      </c>
      <c r="E19">
        <f t="shared" si="6"/>
        <v>-4.6959999999999127</v>
      </c>
      <c r="F19" s="59">
        <f t="shared" si="9"/>
        <v>27.828083881943783</v>
      </c>
      <c r="G19" s="55">
        <f t="shared" si="7"/>
        <v>-4.6959999999999127</v>
      </c>
      <c r="H19" s="54" t="s">
        <v>105</v>
      </c>
      <c r="I19" s="12">
        <f t="shared" si="12"/>
        <v>27.828083881943783</v>
      </c>
      <c r="J19" s="55">
        <f t="shared" si="13"/>
        <v>-4.6959999999999127</v>
      </c>
      <c r="M19" s="81">
        <f t="shared" si="11"/>
        <v>27.828083881943783</v>
      </c>
      <c r="N19" s="73">
        <f t="shared" si="14"/>
        <v>-3.5499999999997272</v>
      </c>
      <c r="O19" s="73"/>
      <c r="P19" s="74">
        <f t="shared" si="1"/>
        <v>27.828083881943783</v>
      </c>
      <c r="Q19" s="73">
        <f t="shared" si="2"/>
        <v>-3.5499999999997272</v>
      </c>
      <c r="R19" s="73"/>
      <c r="S19" s="73"/>
      <c r="T19" s="73"/>
      <c r="U19" s="73">
        <f t="shared" si="10"/>
        <v>28</v>
      </c>
      <c r="V19" s="116">
        <f t="shared" si="3"/>
        <v>-2.4389999999998508</v>
      </c>
      <c r="W19" s="73"/>
      <c r="X19" s="117">
        <f t="shared" si="0"/>
        <v>27.859702591192885</v>
      </c>
      <c r="Y19" s="117">
        <f t="shared" si="4"/>
        <v>-2.4389999999998508</v>
      </c>
      <c r="Z19" s="80"/>
    </row>
    <row r="20" spans="1:26" x14ac:dyDescent="0.25">
      <c r="A20" t="s">
        <v>20</v>
      </c>
      <c r="B20">
        <f t="shared" si="8"/>
        <v>30</v>
      </c>
      <c r="C20" s="142">
        <v>3551.43</v>
      </c>
      <c r="D20" s="54">
        <f t="shared" si="5"/>
        <v>30</v>
      </c>
      <c r="E20">
        <f t="shared" si="6"/>
        <v>-4.318000000000211</v>
      </c>
      <c r="F20" s="59">
        <f t="shared" si="9"/>
        <v>29.792038056561974</v>
      </c>
      <c r="G20" s="55">
        <f t="shared" si="7"/>
        <v>-4.318000000000211</v>
      </c>
      <c r="H20" s="54" t="s">
        <v>106</v>
      </c>
      <c r="I20" s="12">
        <f t="shared" si="12"/>
        <v>29.792038056561974</v>
      </c>
      <c r="J20" s="55">
        <f t="shared" si="13"/>
        <v>-4.318000000000211</v>
      </c>
      <c r="M20" s="81">
        <f t="shared" si="11"/>
        <v>29.792038056561974</v>
      </c>
      <c r="N20" s="73">
        <f t="shared" si="14"/>
        <v>-3.1720000000000255</v>
      </c>
      <c r="O20" s="73"/>
      <c r="P20" s="74">
        <f t="shared" si="1"/>
        <v>29.792038056561974</v>
      </c>
      <c r="Q20" s="73">
        <f t="shared" si="2"/>
        <v>-3.1720000000000255</v>
      </c>
      <c r="R20" s="73"/>
      <c r="S20" s="73"/>
      <c r="T20" s="73"/>
      <c r="U20" s="73">
        <f t="shared" si="10"/>
        <v>30</v>
      </c>
      <c r="V20" s="116">
        <f t="shared" si="3"/>
        <v>-2.2240000000001601</v>
      </c>
      <c r="W20" s="73"/>
      <c r="X20" s="117">
        <f t="shared" si="0"/>
        <v>29.848112760147004</v>
      </c>
      <c r="Y20" s="117">
        <f t="shared" si="4"/>
        <v>-2.2240000000001601</v>
      </c>
      <c r="Z20" s="80"/>
    </row>
    <row r="21" spans="1:26" x14ac:dyDescent="0.25">
      <c r="A21" t="s">
        <v>21</v>
      </c>
      <c r="B21">
        <f t="shared" si="8"/>
        <v>32</v>
      </c>
      <c r="C21" s="142">
        <v>3551.6880000000001</v>
      </c>
      <c r="D21" s="54">
        <f t="shared" si="5"/>
        <v>32</v>
      </c>
      <c r="E21">
        <f t="shared" si="6"/>
        <v>-4.0599999999999454</v>
      </c>
      <c r="F21" s="59">
        <f t="shared" si="9"/>
        <v>31.775327243745696</v>
      </c>
      <c r="G21" s="55">
        <f t="shared" si="7"/>
        <v>-4.0599999999999454</v>
      </c>
      <c r="H21" s="54" t="s">
        <v>107</v>
      </c>
      <c r="I21" s="12">
        <f t="shared" si="12"/>
        <v>31.775327243745696</v>
      </c>
      <c r="J21" s="55">
        <f t="shared" si="13"/>
        <v>-4.0599999999999454</v>
      </c>
      <c r="M21" s="81">
        <f t="shared" si="11"/>
        <v>31.775327243745696</v>
      </c>
      <c r="N21" s="73">
        <f t="shared" si="14"/>
        <v>-2.9139999999997599</v>
      </c>
      <c r="O21" s="73"/>
      <c r="P21" s="74">
        <f t="shared" si="1"/>
        <v>31.775327243745696</v>
      </c>
      <c r="Q21" s="73">
        <f t="shared" si="2"/>
        <v>-2.9139999999997599</v>
      </c>
      <c r="R21" s="73"/>
      <c r="S21" s="73"/>
      <c r="T21" s="73"/>
      <c r="U21" s="73">
        <f t="shared" si="10"/>
        <v>32</v>
      </c>
      <c r="V21" s="116">
        <f t="shared" si="3"/>
        <v>-2.0889999999999418</v>
      </c>
      <c r="W21" s="73"/>
      <c r="X21" s="117">
        <f t="shared" si="0"/>
        <v>31.84355130843656</v>
      </c>
      <c r="Y21" s="117">
        <f t="shared" si="4"/>
        <v>-2.0889999999999418</v>
      </c>
      <c r="Z21" s="80"/>
    </row>
    <row r="22" spans="1:26" x14ac:dyDescent="0.25">
      <c r="A22" t="s">
        <v>22</v>
      </c>
      <c r="B22">
        <f t="shared" si="8"/>
        <v>34</v>
      </c>
      <c r="C22" s="142">
        <v>3551.91</v>
      </c>
      <c r="D22" s="54">
        <f t="shared" si="5"/>
        <v>34</v>
      </c>
      <c r="E22">
        <f t="shared" si="6"/>
        <v>-3.8380000000001928</v>
      </c>
      <c r="F22" s="59">
        <f t="shared" si="9"/>
        <v>33.762968056367562</v>
      </c>
      <c r="G22" s="55">
        <f t="shared" si="7"/>
        <v>-3.8380000000001928</v>
      </c>
      <c r="H22" s="54" t="s">
        <v>108</v>
      </c>
      <c r="I22" s="12">
        <f t="shared" si="12"/>
        <v>33.762968056367562</v>
      </c>
      <c r="J22" s="55">
        <f t="shared" si="13"/>
        <v>-3.8380000000001928</v>
      </c>
      <c r="M22" s="81">
        <f t="shared" si="11"/>
        <v>33.762968056367562</v>
      </c>
      <c r="N22" s="73">
        <f t="shared" si="14"/>
        <v>-2.6920000000000073</v>
      </c>
      <c r="O22" s="73"/>
      <c r="P22" s="74">
        <f t="shared" si="1"/>
        <v>33.762968056367562</v>
      </c>
      <c r="Q22" s="73">
        <f t="shared" si="2"/>
        <v>-2.6920000000000073</v>
      </c>
      <c r="R22" s="73"/>
      <c r="S22" s="73"/>
      <c r="T22" s="73"/>
      <c r="U22" s="73">
        <f t="shared" si="10"/>
        <v>34</v>
      </c>
      <c r="V22" s="116">
        <f t="shared" si="3"/>
        <v>-1.9459999999999127</v>
      </c>
      <c r="W22" s="73"/>
      <c r="X22" s="117">
        <f t="shared" si="0"/>
        <v>33.838432507906845</v>
      </c>
      <c r="Y22" s="117">
        <f t="shared" si="4"/>
        <v>-1.9459999999999127</v>
      </c>
      <c r="Z22" s="80"/>
    </row>
    <row r="23" spans="1:26" x14ac:dyDescent="0.25">
      <c r="A23" t="s">
        <v>23</v>
      </c>
      <c r="B23">
        <f t="shared" si="8"/>
        <v>36</v>
      </c>
      <c r="C23" s="142">
        <v>3552.0039999999999</v>
      </c>
      <c r="D23" s="54">
        <f t="shared" si="5"/>
        <v>36</v>
      </c>
      <c r="E23">
        <f t="shared" si="6"/>
        <v>-3.7440000000001419</v>
      </c>
      <c r="F23" s="59">
        <f t="shared" si="9"/>
        <v>35.760757835098048</v>
      </c>
      <c r="G23" s="55">
        <f t="shared" si="7"/>
        <v>-3.7440000000001419</v>
      </c>
      <c r="H23" s="54" t="s">
        <v>109</v>
      </c>
      <c r="I23" s="12">
        <f t="shared" si="12"/>
        <v>35.760757835098048</v>
      </c>
      <c r="J23" s="55">
        <f t="shared" si="13"/>
        <v>-3.7440000000001419</v>
      </c>
      <c r="M23" s="81">
        <f t="shared" si="11"/>
        <v>35.760757835098048</v>
      </c>
      <c r="N23" s="73">
        <f t="shared" si="14"/>
        <v>-2.5979999999999563</v>
      </c>
      <c r="O23" s="73"/>
      <c r="P23" s="74">
        <f t="shared" si="1"/>
        <v>35.760757835098048</v>
      </c>
      <c r="Q23" s="73">
        <f t="shared" si="2"/>
        <v>-2.5979999999999563</v>
      </c>
      <c r="R23" s="73"/>
      <c r="S23" s="73"/>
      <c r="T23" s="73"/>
      <c r="U23" s="73">
        <f t="shared" si="10"/>
        <v>36</v>
      </c>
      <c r="V23" s="116">
        <f t="shared" si="3"/>
        <v>-1.7989999999999782</v>
      </c>
      <c r="W23" s="73"/>
      <c r="X23" s="117">
        <f t="shared" si="0"/>
        <v>35.833022942056175</v>
      </c>
      <c r="Y23" s="117">
        <f t="shared" si="4"/>
        <v>-1.7989999999999782</v>
      </c>
      <c r="Z23" s="80"/>
    </row>
    <row r="24" spans="1:26" x14ac:dyDescent="0.25">
      <c r="A24" t="s">
        <v>24</v>
      </c>
      <c r="B24">
        <f t="shared" si="8"/>
        <v>38</v>
      </c>
      <c r="C24" s="142">
        <v>3552.1509999999998</v>
      </c>
      <c r="D24" s="54">
        <f t="shared" si="5"/>
        <v>38</v>
      </c>
      <c r="E24">
        <f t="shared" si="6"/>
        <v>-3.5970000000002074</v>
      </c>
      <c r="F24" s="59">
        <f t="shared" si="9"/>
        <v>37.755348269247378</v>
      </c>
      <c r="G24" s="55">
        <f t="shared" si="7"/>
        <v>-3.5970000000002074</v>
      </c>
      <c r="H24" s="54" t="s">
        <v>110</v>
      </c>
      <c r="I24" s="12">
        <f t="shared" si="12"/>
        <v>37.755348269247378</v>
      </c>
      <c r="J24" s="55">
        <f t="shared" si="13"/>
        <v>-3.5970000000002074</v>
      </c>
      <c r="M24" s="81">
        <f t="shared" si="11"/>
        <v>37.755348269247378</v>
      </c>
      <c r="N24" s="73">
        <f t="shared" si="14"/>
        <v>-2.4510000000000218</v>
      </c>
      <c r="O24" s="73"/>
      <c r="P24" s="74">
        <f t="shared" si="1"/>
        <v>37.755348269247378</v>
      </c>
      <c r="Q24" s="73">
        <f t="shared" si="2"/>
        <v>-2.4510000000000218</v>
      </c>
      <c r="R24" s="73"/>
      <c r="S24" s="73"/>
      <c r="T24" s="73"/>
      <c r="U24" s="73">
        <f t="shared" si="10"/>
        <v>38</v>
      </c>
      <c r="V24" s="116">
        <f t="shared" si="3"/>
        <v>-1.668999999999869</v>
      </c>
      <c r="W24" s="73"/>
      <c r="X24" s="117">
        <f t="shared" si="0"/>
        <v>37.828793469947591</v>
      </c>
      <c r="Y24" s="117">
        <f t="shared" si="4"/>
        <v>-1.668999999999869</v>
      </c>
      <c r="Z24" s="80"/>
    </row>
    <row r="25" spans="1:26" x14ac:dyDescent="0.25">
      <c r="A25" t="s">
        <v>25</v>
      </c>
      <c r="B25">
        <f t="shared" si="8"/>
        <v>40</v>
      </c>
      <c r="C25" s="142">
        <v>3552.3389999999999</v>
      </c>
      <c r="D25" s="54">
        <f t="shared" si="5"/>
        <v>40</v>
      </c>
      <c r="E25">
        <f t="shared" si="6"/>
        <v>-3.4090000000001055</v>
      </c>
      <c r="F25" s="59">
        <f t="shared" si="9"/>
        <v>39.746492663810457</v>
      </c>
      <c r="G25" s="55">
        <f t="shared" si="7"/>
        <v>-3.4090000000001055</v>
      </c>
      <c r="H25" s="54" t="s">
        <v>111</v>
      </c>
      <c r="I25" s="12">
        <f t="shared" si="12"/>
        <v>39.746492663810457</v>
      </c>
      <c r="J25" s="55">
        <f t="shared" si="13"/>
        <v>-3.4090000000001055</v>
      </c>
      <c r="M25" s="81">
        <f t="shared" si="11"/>
        <v>39.746492663810457</v>
      </c>
      <c r="N25" s="73">
        <f t="shared" si="14"/>
        <v>-2.26299999999992</v>
      </c>
      <c r="O25" s="73"/>
      <c r="P25" s="74">
        <f t="shared" si="1"/>
        <v>39.746492663810457</v>
      </c>
      <c r="Q25" s="73">
        <f t="shared" si="2"/>
        <v>-2.26299999999992</v>
      </c>
      <c r="R25" s="73"/>
      <c r="S25" s="73"/>
      <c r="T25" s="73"/>
      <c r="U25" s="73">
        <f t="shared" si="10"/>
        <v>40</v>
      </c>
      <c r="V25" s="116">
        <f t="shared" si="3"/>
        <v>-1.625</v>
      </c>
      <c r="W25" s="73"/>
      <c r="X25" s="117">
        <f t="shared" si="0"/>
        <v>39.828309411369418</v>
      </c>
      <c r="Y25" s="117">
        <f t="shared" si="4"/>
        <v>-1.625</v>
      </c>
      <c r="Z25" s="80"/>
    </row>
    <row r="26" spans="1:26" x14ac:dyDescent="0.25">
      <c r="A26" t="s">
        <v>26</v>
      </c>
      <c r="B26">
        <f t="shared" si="8"/>
        <v>42</v>
      </c>
      <c r="C26" s="142">
        <v>3552.4119999999998</v>
      </c>
      <c r="D26" s="54">
        <f t="shared" si="5"/>
        <v>42</v>
      </c>
      <c r="E26">
        <f t="shared" si="6"/>
        <v>-3.3360000000002401</v>
      </c>
      <c r="F26" s="59">
        <f t="shared" si="9"/>
        <v>41.745159969792127</v>
      </c>
      <c r="G26" s="55">
        <f t="shared" si="7"/>
        <v>-3.3360000000002401</v>
      </c>
      <c r="H26" s="54" t="s">
        <v>112</v>
      </c>
      <c r="I26" s="12">
        <f t="shared" si="12"/>
        <v>41.745159969792127</v>
      </c>
      <c r="J26" s="55">
        <f t="shared" si="13"/>
        <v>-3.3360000000002401</v>
      </c>
      <c r="M26" s="81">
        <f t="shared" si="11"/>
        <v>41.745159969792127</v>
      </c>
      <c r="N26" s="73">
        <f t="shared" si="14"/>
        <v>-2.1900000000000546</v>
      </c>
      <c r="O26" s="73"/>
      <c r="P26" s="74">
        <f t="shared" si="1"/>
        <v>41.745159969792127</v>
      </c>
      <c r="Q26" s="73">
        <f t="shared" si="2"/>
        <v>-2.1900000000000546</v>
      </c>
      <c r="R26" s="73"/>
      <c r="S26" s="73"/>
      <c r="T26" s="73"/>
      <c r="U26" s="73">
        <f t="shared" si="10"/>
        <v>42</v>
      </c>
      <c r="V26" s="116">
        <f t="shared" si="3"/>
        <v>-1.38799999999992</v>
      </c>
      <c r="W26" s="73"/>
      <c r="X26" s="117">
        <f t="shared" si="0"/>
        <v>41.81421751599057</v>
      </c>
      <c r="Y26" s="117">
        <f t="shared" si="4"/>
        <v>-1.38799999999992</v>
      </c>
      <c r="Z26" s="80"/>
    </row>
    <row r="27" spans="1:26" x14ac:dyDescent="0.25">
      <c r="A27" t="s">
        <v>27</v>
      </c>
      <c r="B27">
        <f t="shared" si="8"/>
        <v>44</v>
      </c>
      <c r="C27" s="142">
        <v>3552.5749999999998</v>
      </c>
      <c r="D27" s="54">
        <f t="shared" si="5"/>
        <v>44</v>
      </c>
      <c r="E27">
        <f t="shared" si="6"/>
        <v>-3.1730000000002292</v>
      </c>
      <c r="F27" s="59">
        <f t="shared" si="9"/>
        <v>43.738506653136497</v>
      </c>
      <c r="G27" s="55">
        <f t="shared" si="7"/>
        <v>-3.1730000000002292</v>
      </c>
      <c r="H27" s="54" t="s">
        <v>113</v>
      </c>
      <c r="I27" s="12">
        <f t="shared" si="12"/>
        <v>43.738506653136497</v>
      </c>
      <c r="J27" s="55">
        <f t="shared" si="13"/>
        <v>-3.1730000000002292</v>
      </c>
      <c r="M27" s="81">
        <f t="shared" si="11"/>
        <v>43.738506653136497</v>
      </c>
      <c r="N27" s="73">
        <f t="shared" si="14"/>
        <v>-2.0270000000000437</v>
      </c>
      <c r="O27" s="73"/>
      <c r="P27" s="74">
        <f t="shared" si="1"/>
        <v>43.738506653136497</v>
      </c>
      <c r="Q27" s="73">
        <f t="shared" si="2"/>
        <v>-2.0270000000000437</v>
      </c>
      <c r="R27" s="73"/>
      <c r="S27" s="73"/>
      <c r="T27" s="73"/>
      <c r="U27" s="73">
        <f t="shared" si="10"/>
        <v>44</v>
      </c>
      <c r="V27" s="116">
        <f t="shared" si="3"/>
        <v>-1.2590000000000146</v>
      </c>
      <c r="W27" s="73"/>
      <c r="X27" s="117">
        <f t="shared" si="0"/>
        <v>43.81005293004656</v>
      </c>
      <c r="Y27" s="117">
        <f t="shared" si="4"/>
        <v>-1.2590000000000146</v>
      </c>
      <c r="Z27" s="80"/>
    </row>
    <row r="28" spans="1:26" x14ac:dyDescent="0.25">
      <c r="A28" t="s">
        <v>28</v>
      </c>
      <c r="B28">
        <f t="shared" si="8"/>
        <v>46</v>
      </c>
      <c r="C28" s="142">
        <v>3552.7359999999999</v>
      </c>
      <c r="D28" s="54">
        <f t="shared" si="5"/>
        <v>46</v>
      </c>
      <c r="E28">
        <f t="shared" si="6"/>
        <v>-3.012000000000171</v>
      </c>
      <c r="F28" s="59">
        <f t="shared" si="9"/>
        <v>45.732015870571914</v>
      </c>
      <c r="G28" s="55">
        <f t="shared" si="7"/>
        <v>-3.012000000000171</v>
      </c>
      <c r="H28" s="54" t="s">
        <v>114</v>
      </c>
      <c r="I28" s="12">
        <f t="shared" si="12"/>
        <v>45.732015870571914</v>
      </c>
      <c r="J28" s="55">
        <f t="shared" si="13"/>
        <v>-3.012000000000171</v>
      </c>
      <c r="M28" s="81">
        <f t="shared" si="11"/>
        <v>45.732015870571914</v>
      </c>
      <c r="N28" s="73">
        <f t="shared" si="14"/>
        <v>-1.8659999999999854</v>
      </c>
      <c r="O28" s="73"/>
      <c r="P28" s="74">
        <f t="shared" si="1"/>
        <v>45.732015870571914</v>
      </c>
      <c r="Q28" s="73">
        <f t="shared" si="2"/>
        <v>-1.8659999999999854</v>
      </c>
      <c r="R28" s="73"/>
      <c r="S28" s="73"/>
      <c r="T28" s="73"/>
      <c r="U28" s="73">
        <f t="shared" si="10"/>
        <v>46</v>
      </c>
      <c r="V28" s="116">
        <f t="shared" si="3"/>
        <v>-1.1460000000001855</v>
      </c>
      <c r="W28" s="73"/>
      <c r="X28" s="117">
        <f t="shared" si="0"/>
        <v>45.806858128357113</v>
      </c>
      <c r="Y28" s="117">
        <f t="shared" si="4"/>
        <v>-1.1460000000001855</v>
      </c>
      <c r="Z28" s="80"/>
    </row>
    <row r="29" spans="1:26" x14ac:dyDescent="0.25">
      <c r="A29" t="s">
        <v>29</v>
      </c>
      <c r="B29">
        <f t="shared" si="8"/>
        <v>48</v>
      </c>
      <c r="C29" s="142">
        <v>3553.011</v>
      </c>
      <c r="D29" s="54">
        <f t="shared" si="5"/>
        <v>48</v>
      </c>
      <c r="E29">
        <f t="shared" si="6"/>
        <v>-2.73700000000008</v>
      </c>
      <c r="F29" s="59">
        <f t="shared" si="9"/>
        <v>47.713019404137654</v>
      </c>
      <c r="G29" s="55">
        <f t="shared" si="7"/>
        <v>-2.73700000000008</v>
      </c>
      <c r="H29" s="54" t="s">
        <v>115</v>
      </c>
      <c r="I29" s="12">
        <f t="shared" si="12"/>
        <v>47.713019404137654</v>
      </c>
      <c r="J29" s="55">
        <f t="shared" si="13"/>
        <v>-2.73700000000008</v>
      </c>
      <c r="M29" s="81">
        <f t="shared" si="11"/>
        <v>47.713019404137654</v>
      </c>
      <c r="N29" s="73">
        <f t="shared" si="14"/>
        <v>-1.5909999999998945</v>
      </c>
      <c r="O29" s="73"/>
      <c r="P29" s="74">
        <f t="shared" si="1"/>
        <v>47.713019404137654</v>
      </c>
      <c r="Q29" s="73">
        <f t="shared" si="2"/>
        <v>-1.5909999999998945</v>
      </c>
      <c r="R29" s="73"/>
      <c r="S29" s="73"/>
      <c r="T29" s="73"/>
      <c r="U29" s="73">
        <f>U28+B3</f>
        <v>51</v>
      </c>
      <c r="V29" s="116">
        <f t="shared" si="3"/>
        <v>-1.0779999999999745</v>
      </c>
      <c r="W29" s="126"/>
      <c r="X29" s="117">
        <f t="shared" si="0"/>
        <v>50.806858128357113</v>
      </c>
      <c r="Y29" s="117">
        <f t="shared" si="4"/>
        <v>-1.0779999999999745</v>
      </c>
      <c r="Z29" s="127"/>
    </row>
    <row r="30" spans="1:26" x14ac:dyDescent="0.25">
      <c r="A30" t="s">
        <v>30</v>
      </c>
      <c r="B30">
        <f t="shared" si="8"/>
        <v>50</v>
      </c>
      <c r="C30" s="142">
        <v>3553.145</v>
      </c>
      <c r="D30" s="54">
        <f t="shared" si="5"/>
        <v>50</v>
      </c>
      <c r="E30">
        <f t="shared" si="6"/>
        <v>-2.6030000000000655</v>
      </c>
      <c r="F30" s="59">
        <f t="shared" si="9"/>
        <v>49.708525355018281</v>
      </c>
      <c r="G30" s="55">
        <f t="shared" si="7"/>
        <v>-2.6030000000000655</v>
      </c>
      <c r="H30" s="54" t="s">
        <v>116</v>
      </c>
      <c r="I30" s="12">
        <f t="shared" si="12"/>
        <v>49.708525355018281</v>
      </c>
      <c r="J30" s="55">
        <f t="shared" si="13"/>
        <v>-2.6030000000000655</v>
      </c>
      <c r="M30" s="81">
        <f t="shared" si="11"/>
        <v>49.708525355018281</v>
      </c>
      <c r="N30" s="73">
        <f t="shared" si="14"/>
        <v>-1.4569999999998799</v>
      </c>
      <c r="O30" s="73"/>
      <c r="P30" s="74">
        <f t="shared" si="1"/>
        <v>49.708525355018281</v>
      </c>
      <c r="Q30" s="73">
        <f t="shared" si="2"/>
        <v>-1.4569999999998799</v>
      </c>
      <c r="R30" s="73"/>
      <c r="S30" s="73"/>
      <c r="T30" s="73"/>
      <c r="U30" s="73"/>
      <c r="V30" s="116"/>
      <c r="W30" s="126"/>
      <c r="X30" s="117"/>
      <c r="Y30" s="117"/>
      <c r="Z30" s="127"/>
    </row>
    <row r="31" spans="1:26" x14ac:dyDescent="0.25">
      <c r="A31" t="s">
        <v>31</v>
      </c>
      <c r="B31">
        <f t="shared" si="8"/>
        <v>52</v>
      </c>
      <c r="C31" s="142">
        <v>3553.3090000000002</v>
      </c>
      <c r="D31" s="54">
        <f t="shared" si="5"/>
        <v>52</v>
      </c>
      <c r="E31">
        <f t="shared" si="6"/>
        <v>-2.4389999999998508</v>
      </c>
      <c r="F31" s="59">
        <f t="shared" si="9"/>
        <v>51.701790013812975</v>
      </c>
      <c r="G31" s="55">
        <f t="shared" si="7"/>
        <v>-2.4389999999998508</v>
      </c>
      <c r="H31" s="54" t="s">
        <v>117</v>
      </c>
      <c r="I31" s="12">
        <f t="shared" si="12"/>
        <v>51.701790013812975</v>
      </c>
      <c r="J31" s="55">
        <f t="shared" si="13"/>
        <v>-2.4389999999998508</v>
      </c>
      <c r="M31" s="81">
        <f t="shared" si="11"/>
        <v>51.701790013812975</v>
      </c>
      <c r="N31" s="73">
        <f t="shared" si="14"/>
        <v>-1.2929999999996653</v>
      </c>
      <c r="O31" s="73"/>
      <c r="P31" s="74">
        <f t="shared" si="1"/>
        <v>51.701790013812975</v>
      </c>
      <c r="Q31" s="73">
        <f t="shared" si="2"/>
        <v>-1.2929999999996653</v>
      </c>
      <c r="R31" s="73"/>
      <c r="S31" s="73"/>
      <c r="T31" s="73"/>
      <c r="U31" s="73"/>
      <c r="V31" s="116"/>
      <c r="W31" s="126"/>
      <c r="X31" s="117"/>
      <c r="Y31" s="117"/>
      <c r="Z31" s="127"/>
    </row>
    <row r="32" spans="1:26" x14ac:dyDescent="0.25">
      <c r="A32" t="s">
        <v>32</v>
      </c>
      <c r="B32">
        <f t="shared" si="8"/>
        <v>54</v>
      </c>
      <c r="C32" s="142">
        <v>3553.5239999999999</v>
      </c>
      <c r="D32" s="54">
        <f t="shared" si="5"/>
        <v>54</v>
      </c>
      <c r="E32">
        <f t="shared" si="6"/>
        <v>-2.2240000000001601</v>
      </c>
      <c r="F32" s="59">
        <f t="shared" si="9"/>
        <v>53.690200182767093</v>
      </c>
      <c r="G32" s="55">
        <f t="shared" si="7"/>
        <v>-2.2240000000001601</v>
      </c>
      <c r="H32" s="54" t="s">
        <v>118</v>
      </c>
      <c r="I32" s="12">
        <f t="shared" si="12"/>
        <v>53.690200182767093</v>
      </c>
      <c r="J32" s="55">
        <f t="shared" si="13"/>
        <v>-2.2240000000001601</v>
      </c>
      <c r="M32" s="81">
        <f t="shared" si="11"/>
        <v>53.690200182767093</v>
      </c>
      <c r="N32" s="73">
        <f t="shared" si="14"/>
        <v>-1.0779999999999745</v>
      </c>
      <c r="O32" s="73"/>
      <c r="P32" s="74">
        <f t="shared" si="1"/>
        <v>53.690200182767093</v>
      </c>
      <c r="Q32" s="73">
        <f t="shared" si="2"/>
        <v>-1.0779999999999745</v>
      </c>
      <c r="R32" s="73"/>
      <c r="S32" s="73"/>
      <c r="T32" s="73"/>
      <c r="W32" s="126"/>
      <c r="Z32" s="127"/>
    </row>
    <row r="33" spans="1:26" x14ac:dyDescent="0.25">
      <c r="A33" t="s">
        <v>33</v>
      </c>
      <c r="B33">
        <f t="shared" si="8"/>
        <v>56</v>
      </c>
      <c r="C33" s="142">
        <v>3553.6590000000001</v>
      </c>
      <c r="D33" s="54">
        <f t="shared" si="5"/>
        <v>56</v>
      </c>
      <c r="E33">
        <f t="shared" si="6"/>
        <v>-2.0889999999999418</v>
      </c>
      <c r="F33" s="59">
        <f t="shared" si="9"/>
        <v>55.685638731056649</v>
      </c>
      <c r="G33" s="55">
        <f t="shared" si="7"/>
        <v>-2.0889999999999418</v>
      </c>
      <c r="H33" s="54" t="s">
        <v>119</v>
      </c>
      <c r="I33" s="12">
        <f t="shared" si="12"/>
        <v>55.685638731056649</v>
      </c>
      <c r="J33" s="55">
        <f t="shared" si="13"/>
        <v>-2.0889999999999418</v>
      </c>
      <c r="M33" s="81">
        <f t="shared" si="11"/>
        <v>55.685638731056649</v>
      </c>
      <c r="N33" s="73">
        <f t="shared" si="14"/>
        <v>-0.94299999999975626</v>
      </c>
      <c r="O33" s="73"/>
      <c r="P33" s="74">
        <f t="shared" si="1"/>
        <v>55.685638731056649</v>
      </c>
      <c r="Q33" s="73">
        <f t="shared" si="2"/>
        <v>-0.94299999999975626</v>
      </c>
      <c r="R33" s="73"/>
      <c r="S33" s="73"/>
      <c r="T33" s="73"/>
      <c r="W33" s="126"/>
      <c r="Z33" s="127"/>
    </row>
    <row r="34" spans="1:26" x14ac:dyDescent="0.25">
      <c r="A34" t="s">
        <v>34</v>
      </c>
      <c r="B34">
        <f t="shared" si="8"/>
        <v>58</v>
      </c>
      <c r="C34" s="142">
        <v>3553.8020000000001</v>
      </c>
      <c r="D34" s="54">
        <f t="shared" si="5"/>
        <v>58</v>
      </c>
      <c r="E34">
        <f t="shared" si="6"/>
        <v>-1.9459999999999127</v>
      </c>
      <c r="F34" s="59">
        <f t="shared" si="9"/>
        <v>57.680519930526934</v>
      </c>
      <c r="G34" s="55">
        <f t="shared" si="7"/>
        <v>-1.9459999999999127</v>
      </c>
      <c r="H34" s="54" t="s">
        <v>120</v>
      </c>
      <c r="I34" s="12">
        <f t="shared" si="12"/>
        <v>57.680519930526934</v>
      </c>
      <c r="J34" s="55">
        <f t="shared" si="13"/>
        <v>-1.9459999999999127</v>
      </c>
      <c r="M34" s="81">
        <f t="shared" si="11"/>
        <v>57.680519930526934</v>
      </c>
      <c r="N34" s="73">
        <f t="shared" si="14"/>
        <v>-0.79999999999972715</v>
      </c>
      <c r="O34" s="73"/>
      <c r="P34" s="74">
        <f t="shared" si="1"/>
        <v>57.680519930526934</v>
      </c>
      <c r="Q34" s="73">
        <f t="shared" si="2"/>
        <v>-0.79999999999972715</v>
      </c>
      <c r="R34" s="73"/>
      <c r="S34" s="73"/>
      <c r="T34" s="73"/>
      <c r="W34" s="126"/>
      <c r="Z34" s="127"/>
    </row>
    <row r="35" spans="1:26" x14ac:dyDescent="0.25">
      <c r="A35" t="s">
        <v>35</v>
      </c>
      <c r="B35">
        <f t="shared" si="8"/>
        <v>60</v>
      </c>
      <c r="C35" s="142">
        <v>3553.9490000000001</v>
      </c>
      <c r="D35" s="54">
        <f t="shared" si="5"/>
        <v>60</v>
      </c>
      <c r="E35">
        <f t="shared" si="6"/>
        <v>-1.7989999999999782</v>
      </c>
      <c r="F35" s="59">
        <f t="shared" si="9"/>
        <v>59.675110364676264</v>
      </c>
      <c r="G35" s="55">
        <f t="shared" si="7"/>
        <v>-1.7989999999999782</v>
      </c>
      <c r="H35" s="54" t="s">
        <v>121</v>
      </c>
      <c r="I35" s="12">
        <f t="shared" si="12"/>
        <v>59.675110364676264</v>
      </c>
      <c r="J35" s="55">
        <f t="shared" si="13"/>
        <v>-1.7989999999999782</v>
      </c>
      <c r="M35" s="81">
        <f t="shared" si="11"/>
        <v>59.675110364676264</v>
      </c>
      <c r="N35" s="73">
        <f t="shared" si="14"/>
        <v>-0.65299999999979264</v>
      </c>
      <c r="O35" s="73"/>
      <c r="P35" s="74">
        <f t="shared" si="1"/>
        <v>59.675110364676264</v>
      </c>
      <c r="Q35" s="73">
        <f t="shared" si="2"/>
        <v>-0.65299999999979264</v>
      </c>
      <c r="R35" s="73"/>
      <c r="S35" s="73"/>
      <c r="T35" s="73"/>
      <c r="W35" s="126"/>
      <c r="Z35" s="127"/>
    </row>
    <row r="36" spans="1:26" x14ac:dyDescent="0.25">
      <c r="A36" t="s">
        <v>36</v>
      </c>
      <c r="B36">
        <f t="shared" si="8"/>
        <v>62</v>
      </c>
      <c r="C36" s="142">
        <v>3554.0790000000002</v>
      </c>
      <c r="D36" s="54">
        <f t="shared" si="5"/>
        <v>62</v>
      </c>
      <c r="E36">
        <f t="shared" si="6"/>
        <v>-1.668999999999869</v>
      </c>
      <c r="F36" s="59">
        <f t="shared" si="9"/>
        <v>61.670880892567681</v>
      </c>
      <c r="G36" s="55">
        <f t="shared" si="7"/>
        <v>-1.668999999999869</v>
      </c>
      <c r="H36" s="54" t="s">
        <v>122</v>
      </c>
      <c r="I36" s="12">
        <f t="shared" si="12"/>
        <v>61.670880892567681</v>
      </c>
      <c r="J36" s="55">
        <f t="shared" si="13"/>
        <v>-1.668999999999869</v>
      </c>
      <c r="M36" s="81">
        <f t="shared" si="11"/>
        <v>61.670880892567681</v>
      </c>
      <c r="N36" s="73">
        <f t="shared" si="14"/>
        <v>-0.5229999999996835</v>
      </c>
      <c r="O36" s="73"/>
      <c r="P36" s="74">
        <f t="shared" si="1"/>
        <v>61.670880892567681</v>
      </c>
      <c r="Q36" s="73">
        <f t="shared" si="2"/>
        <v>-0.5229999999996835</v>
      </c>
      <c r="R36" s="73"/>
      <c r="S36" s="73"/>
      <c r="T36" s="73"/>
      <c r="W36" s="126"/>
      <c r="Z36" s="127"/>
    </row>
    <row r="37" spans="1:26" x14ac:dyDescent="0.25">
      <c r="A37" t="s">
        <v>37</v>
      </c>
      <c r="B37">
        <f t="shared" si="8"/>
        <v>64</v>
      </c>
      <c r="C37" s="142">
        <v>3554.123</v>
      </c>
      <c r="D37" s="54">
        <f t="shared" si="5"/>
        <v>64</v>
      </c>
      <c r="E37">
        <f t="shared" si="6"/>
        <v>-1.625</v>
      </c>
      <c r="F37" s="59">
        <f t="shared" si="9"/>
        <v>63.670396833989507</v>
      </c>
      <c r="G37" s="55">
        <f t="shared" si="7"/>
        <v>-1.625</v>
      </c>
      <c r="H37" s="54" t="s">
        <v>123</v>
      </c>
      <c r="I37" s="12">
        <f t="shared" si="12"/>
        <v>63.670396833989507</v>
      </c>
      <c r="J37" s="55">
        <f t="shared" si="13"/>
        <v>-1.625</v>
      </c>
      <c r="M37" s="81">
        <f t="shared" si="11"/>
        <v>63.670396833989507</v>
      </c>
      <c r="N37" s="73">
        <f t="shared" si="14"/>
        <v>-0.47899999999981446</v>
      </c>
      <c r="O37" s="73"/>
      <c r="P37" s="74">
        <f t="shared" si="1"/>
        <v>63.670396833989507</v>
      </c>
      <c r="Q37" s="73">
        <f t="shared" si="2"/>
        <v>-0.47899999999981446</v>
      </c>
      <c r="R37" s="73"/>
      <c r="S37" s="73"/>
      <c r="T37" s="73"/>
      <c r="W37" s="126"/>
      <c r="Z37" s="127"/>
    </row>
    <row r="38" spans="1:26" x14ac:dyDescent="0.25">
      <c r="A38" t="s">
        <v>38</v>
      </c>
      <c r="B38">
        <f t="shared" si="8"/>
        <v>66</v>
      </c>
      <c r="C38" s="142">
        <v>3554.36</v>
      </c>
      <c r="D38" s="54">
        <f t="shared" si="5"/>
        <v>66</v>
      </c>
      <c r="E38">
        <f t="shared" si="6"/>
        <v>-1.38799999999992</v>
      </c>
      <c r="F38" s="59">
        <f t="shared" si="9"/>
        <v>65.65630493861066</v>
      </c>
      <c r="G38" s="55">
        <f t="shared" si="7"/>
        <v>-1.38799999999992</v>
      </c>
      <c r="H38" s="54" t="s">
        <v>124</v>
      </c>
      <c r="I38" s="12">
        <f t="shared" si="12"/>
        <v>65.65630493861066</v>
      </c>
      <c r="J38" s="55">
        <f t="shared" si="13"/>
        <v>-1.38799999999992</v>
      </c>
      <c r="M38" s="81">
        <f t="shared" si="11"/>
        <v>65.65630493861066</v>
      </c>
      <c r="N38" s="73">
        <f t="shared" si="14"/>
        <v>-0.24199999999973443</v>
      </c>
      <c r="O38" s="73"/>
      <c r="P38" s="74">
        <f t="shared" si="1"/>
        <v>65.65630493861066</v>
      </c>
      <c r="Q38" s="73">
        <f t="shared" si="2"/>
        <v>-0.24199999999973443</v>
      </c>
      <c r="R38" s="73"/>
      <c r="S38" s="73"/>
      <c r="T38" s="73"/>
      <c r="W38" s="126"/>
      <c r="Z38" s="127"/>
    </row>
    <row r="39" spans="1:26" x14ac:dyDescent="0.25">
      <c r="A39" t="s">
        <v>39</v>
      </c>
      <c r="B39">
        <f t="shared" si="8"/>
        <v>68</v>
      </c>
      <c r="C39" s="142">
        <v>3554.489</v>
      </c>
      <c r="D39" s="54">
        <f t="shared" si="5"/>
        <v>68</v>
      </c>
      <c r="E39">
        <f t="shared" si="6"/>
        <v>-1.2590000000000146</v>
      </c>
      <c r="F39" s="59">
        <f t="shared" si="9"/>
        <v>67.652140352666649</v>
      </c>
      <c r="G39" s="55">
        <f t="shared" si="7"/>
        <v>-1.2590000000000146</v>
      </c>
      <c r="H39" s="54" t="s">
        <v>125</v>
      </c>
      <c r="I39" s="12">
        <f t="shared" si="12"/>
        <v>67.652140352666649</v>
      </c>
      <c r="J39" s="55">
        <f t="shared" si="13"/>
        <v>-1.2590000000000146</v>
      </c>
      <c r="M39" s="81">
        <f t="shared" si="11"/>
        <v>67.652140352666649</v>
      </c>
      <c r="N39" s="73">
        <f t="shared" si="14"/>
        <v>-0.11299999999982901</v>
      </c>
      <c r="O39" s="73"/>
      <c r="P39" s="74">
        <f t="shared" si="1"/>
        <v>67.652140352666649</v>
      </c>
      <c r="Q39" s="73">
        <f t="shared" si="2"/>
        <v>-0.11299999999982901</v>
      </c>
      <c r="R39" s="73"/>
      <c r="S39" s="73"/>
      <c r="T39" s="73"/>
      <c r="W39" s="126"/>
      <c r="Z39" s="127"/>
    </row>
    <row r="40" spans="1:26" x14ac:dyDescent="0.25">
      <c r="A40" t="s">
        <v>40</v>
      </c>
      <c r="B40">
        <f t="shared" si="8"/>
        <v>70</v>
      </c>
      <c r="C40" s="142">
        <v>3554.6019999999999</v>
      </c>
      <c r="D40" s="54">
        <f t="shared" si="5"/>
        <v>70</v>
      </c>
      <c r="E40">
        <f t="shared" si="6"/>
        <v>-1.1460000000001855</v>
      </c>
      <c r="F40" s="59">
        <f t="shared" si="9"/>
        <v>69.648945550977203</v>
      </c>
      <c r="G40" s="55">
        <f t="shared" si="7"/>
        <v>-1.1460000000001855</v>
      </c>
      <c r="H40" s="54" t="s">
        <v>126</v>
      </c>
      <c r="I40" s="12">
        <f t="shared" si="12"/>
        <v>69.648945550977203</v>
      </c>
      <c r="J40" s="55">
        <f t="shared" si="13"/>
        <v>-1.1460000000001855</v>
      </c>
      <c r="M40" s="124">
        <f t="shared" si="11"/>
        <v>69.648945550977203</v>
      </c>
      <c r="N40" s="73">
        <f t="shared" si="14"/>
        <v>0</v>
      </c>
      <c r="O40" s="73"/>
      <c r="P40" s="74">
        <f t="shared" si="1"/>
        <v>69.648945550977203</v>
      </c>
      <c r="Q40" s="73">
        <f t="shared" si="2"/>
        <v>0</v>
      </c>
      <c r="R40" s="73"/>
      <c r="S40" s="73"/>
      <c r="T40" s="73"/>
      <c r="U40" s="126"/>
      <c r="V40" s="126"/>
      <c r="W40" s="126"/>
      <c r="X40" s="128"/>
      <c r="Y40" s="128"/>
      <c r="Z40" s="127"/>
    </row>
    <row r="41" spans="1:26" x14ac:dyDescent="0.25">
      <c r="A41" t="s">
        <v>41</v>
      </c>
      <c r="B41">
        <f t="shared" si="8"/>
        <v>72</v>
      </c>
      <c r="C41" s="142">
        <v>3554.67</v>
      </c>
      <c r="D41" s="54">
        <f t="shared" si="5"/>
        <v>72</v>
      </c>
      <c r="E41">
        <f t="shared" si="6"/>
        <v>-1.0779999999999745</v>
      </c>
      <c r="F41" s="59">
        <f t="shared" si="9"/>
        <v>71.647789216699962</v>
      </c>
      <c r="G41" s="55">
        <f t="shared" si="7"/>
        <v>-1.0779999999999745</v>
      </c>
      <c r="H41" s="62" t="s">
        <v>333</v>
      </c>
      <c r="I41" s="21">
        <f>I40+B3</f>
        <v>74.648945550977203</v>
      </c>
      <c r="J41" s="58">
        <f>G41</f>
        <v>-1.0779999999999745</v>
      </c>
      <c r="M41" s="15">
        <f t="shared" si="11"/>
        <v>74.648945550977203</v>
      </c>
      <c r="N41" s="73">
        <f t="shared" si="14"/>
        <v>6.8000000000211003E-2</v>
      </c>
      <c r="O41" s="73"/>
      <c r="P41" s="74">
        <f t="shared" si="1"/>
        <v>71.647789216699962</v>
      </c>
      <c r="Q41" s="73">
        <f t="shared" si="2"/>
        <v>6.8000000000211003E-2</v>
      </c>
      <c r="R41" s="73"/>
      <c r="S41" s="73"/>
      <c r="T41" s="73"/>
      <c r="U41" s="126"/>
      <c r="V41" s="126"/>
      <c r="W41" s="126"/>
      <c r="X41" s="128"/>
      <c r="Y41" s="128"/>
      <c r="Z41" s="127"/>
    </row>
    <row r="42" spans="1:26" x14ac:dyDescent="0.25">
      <c r="A42" t="s">
        <v>42</v>
      </c>
      <c r="B42">
        <f t="shared" si="8"/>
        <v>74</v>
      </c>
      <c r="C42" s="142">
        <v>3554.7489999999998</v>
      </c>
      <c r="D42" s="54">
        <f t="shared" si="5"/>
        <v>74</v>
      </c>
      <c r="E42">
        <f t="shared" si="6"/>
        <v>-0.99900000000025102</v>
      </c>
      <c r="F42" s="59">
        <f t="shared" si="9"/>
        <v>73.64622835762971</v>
      </c>
      <c r="G42" s="55">
        <f t="shared" si="7"/>
        <v>-0.99900000000025102</v>
      </c>
      <c r="M42" s="15"/>
      <c r="O42" s="73"/>
      <c r="P42" s="74">
        <f t="shared" si="1"/>
        <v>73.64622835762971</v>
      </c>
      <c r="Q42" s="73">
        <f t="shared" si="2"/>
        <v>0.14699999999993452</v>
      </c>
      <c r="R42" s="73"/>
      <c r="S42" s="73"/>
      <c r="T42" s="73"/>
      <c r="U42" s="73"/>
      <c r="V42" s="73"/>
      <c r="W42" s="73"/>
      <c r="X42" s="74"/>
      <c r="Y42" s="74"/>
      <c r="Z42" s="80"/>
    </row>
    <row r="43" spans="1:26" x14ac:dyDescent="0.25">
      <c r="A43" t="s">
        <v>43</v>
      </c>
      <c r="B43">
        <f t="shared" si="8"/>
        <v>76</v>
      </c>
      <c r="C43" s="142">
        <v>3554.86</v>
      </c>
      <c r="D43" s="54">
        <f t="shared" si="5"/>
        <v>76</v>
      </c>
      <c r="E43">
        <f t="shared" si="6"/>
        <v>-0.88799999999991996</v>
      </c>
      <c r="F43" s="59">
        <f t="shared" si="9"/>
        <v>75.643145731984475</v>
      </c>
      <c r="G43" s="55">
        <f t="shared" si="7"/>
        <v>-0.88799999999991996</v>
      </c>
      <c r="M43" s="15"/>
      <c r="O43" s="73"/>
      <c r="P43" s="74">
        <f t="shared" si="1"/>
        <v>75.643145731984475</v>
      </c>
      <c r="Q43" s="73">
        <f t="shared" si="2"/>
        <v>0.25800000000026557</v>
      </c>
      <c r="R43" s="73"/>
      <c r="S43" s="73"/>
      <c r="T43" s="73"/>
      <c r="U43" s="73"/>
      <c r="V43" s="73"/>
      <c r="W43" s="73"/>
      <c r="X43" s="74"/>
      <c r="Y43" s="74"/>
      <c r="Z43" s="80"/>
    </row>
    <row r="44" spans="1:26" x14ac:dyDescent="0.25">
      <c r="A44" t="s">
        <v>44</v>
      </c>
      <c r="B44">
        <f t="shared" si="8"/>
        <v>78</v>
      </c>
      <c r="C44" s="142">
        <v>3554.9389999999999</v>
      </c>
      <c r="D44" s="54">
        <f t="shared" si="5"/>
        <v>78</v>
      </c>
      <c r="E44">
        <f t="shared" si="6"/>
        <v>-0.80900000000019645</v>
      </c>
      <c r="F44" s="59">
        <f t="shared" si="9"/>
        <v>77.641584872914223</v>
      </c>
      <c r="G44" s="55">
        <f t="shared" si="7"/>
        <v>-0.80900000000019645</v>
      </c>
      <c r="M44" s="15"/>
      <c r="O44" s="73"/>
      <c r="P44" s="74">
        <f t="shared" si="1"/>
        <v>77.641584872914223</v>
      </c>
      <c r="Q44" s="73">
        <f t="shared" si="2"/>
        <v>0.33699999999998909</v>
      </c>
      <c r="R44" s="73"/>
      <c r="S44" s="73"/>
      <c r="T44" s="73"/>
      <c r="U44" s="73"/>
      <c r="V44" s="73"/>
      <c r="W44" s="73"/>
      <c r="X44" s="74"/>
      <c r="Y44" s="74"/>
      <c r="Z44" s="80"/>
    </row>
    <row r="45" spans="1:26" x14ac:dyDescent="0.25">
      <c r="A45" t="s">
        <v>45</v>
      </c>
      <c r="B45">
        <f t="shared" si="8"/>
        <v>80</v>
      </c>
      <c r="C45" s="142">
        <v>3555.0279999999998</v>
      </c>
      <c r="D45" s="54">
        <f t="shared" si="5"/>
        <v>80</v>
      </c>
      <c r="E45">
        <f t="shared" si="6"/>
        <v>-0.72000000000025466</v>
      </c>
      <c r="F45" s="59">
        <f t="shared" si="9"/>
        <v>79.639603641594846</v>
      </c>
      <c r="G45" s="55">
        <f t="shared" si="7"/>
        <v>-0.72000000000025466</v>
      </c>
      <c r="M45" s="15"/>
      <c r="O45" s="73"/>
      <c r="P45" s="74">
        <f t="shared" si="1"/>
        <v>79.639603641594846</v>
      </c>
      <c r="Q45" s="73">
        <f t="shared" si="2"/>
        <v>0.42599999999993088</v>
      </c>
      <c r="R45" s="73"/>
      <c r="S45" s="73"/>
      <c r="T45" s="73"/>
      <c r="U45" s="73"/>
      <c r="V45" s="73"/>
      <c r="W45" s="73"/>
      <c r="X45" s="74"/>
      <c r="Y45" s="74"/>
      <c r="Z45" s="80"/>
    </row>
    <row r="46" spans="1:26" x14ac:dyDescent="0.25">
      <c r="A46" t="s">
        <v>46</v>
      </c>
      <c r="B46">
        <f t="shared" si="8"/>
        <v>82</v>
      </c>
      <c r="C46" s="142">
        <v>3555.1790000000001</v>
      </c>
      <c r="D46" s="54">
        <f t="shared" si="5"/>
        <v>82</v>
      </c>
      <c r="E46">
        <f t="shared" si="6"/>
        <v>-0.56899999999995998</v>
      </c>
      <c r="F46" s="59">
        <f t="shared" si="9"/>
        <v>81.633895245147329</v>
      </c>
      <c r="G46" s="55">
        <f t="shared" si="7"/>
        <v>-0.56899999999995998</v>
      </c>
      <c r="M46" s="15"/>
      <c r="O46" s="73"/>
      <c r="P46" s="74">
        <f t="shared" si="1"/>
        <v>81.633895245147329</v>
      </c>
      <c r="Q46" s="73">
        <f t="shared" si="2"/>
        <v>0.57700000000022555</v>
      </c>
      <c r="R46" s="73"/>
      <c r="S46" s="73"/>
      <c r="T46" s="73"/>
      <c r="U46" s="73"/>
      <c r="V46" s="73"/>
      <c r="W46" s="73"/>
      <c r="X46" s="74"/>
      <c r="Y46" s="74"/>
      <c r="Z46" s="80"/>
    </row>
    <row r="47" spans="1:26" x14ac:dyDescent="0.25">
      <c r="A47" t="s">
        <v>47</v>
      </c>
      <c r="B47">
        <f t="shared" si="8"/>
        <v>84</v>
      </c>
      <c r="C47" s="142">
        <v>3555.3020000000001</v>
      </c>
      <c r="D47" s="54">
        <f t="shared" si="5"/>
        <v>84</v>
      </c>
      <c r="E47">
        <f t="shared" si="6"/>
        <v>-0.44599999999991269</v>
      </c>
      <c r="F47" s="59">
        <f t="shared" si="9"/>
        <v>83.630109412014193</v>
      </c>
      <c r="G47" s="55">
        <f t="shared" si="7"/>
        <v>-0.44599999999991269</v>
      </c>
      <c r="M47" s="15"/>
      <c r="O47" s="73"/>
      <c r="P47" s="74">
        <f t="shared" si="1"/>
        <v>83.630109412014193</v>
      </c>
      <c r="Q47" s="73">
        <f t="shared" si="2"/>
        <v>0.70000000000027285</v>
      </c>
      <c r="R47" s="73"/>
      <c r="S47" s="73"/>
      <c r="T47" s="73"/>
      <c r="U47" s="73"/>
      <c r="V47" s="73"/>
      <c r="W47" s="73"/>
      <c r="X47" s="74"/>
      <c r="Y47" s="74"/>
      <c r="Z47" s="80"/>
    </row>
    <row r="48" spans="1:26" x14ac:dyDescent="0.25">
      <c r="A48" t="s">
        <v>48</v>
      </c>
      <c r="B48">
        <f t="shared" si="8"/>
        <v>86</v>
      </c>
      <c r="C48" s="142">
        <v>3555.413</v>
      </c>
      <c r="D48" s="54">
        <f t="shared" si="5"/>
        <v>86</v>
      </c>
      <c r="E48">
        <f t="shared" si="6"/>
        <v>-0.33500000000003638</v>
      </c>
      <c r="F48" s="59">
        <f t="shared" si="9"/>
        <v>85.627026786368987</v>
      </c>
      <c r="G48" s="55">
        <f t="shared" si="7"/>
        <v>-0.33500000000003638</v>
      </c>
      <c r="M48" s="15"/>
      <c r="O48" s="73"/>
      <c r="P48" s="74">
        <f t="shared" si="1"/>
        <v>85.627026786368987</v>
      </c>
      <c r="Q48" s="73">
        <f t="shared" si="2"/>
        <v>0.81100000000014916</v>
      </c>
      <c r="R48" s="73"/>
      <c r="S48" s="73"/>
      <c r="T48" s="73"/>
      <c r="U48" s="73"/>
      <c r="V48" s="73"/>
      <c r="W48" s="73"/>
      <c r="X48" s="74"/>
      <c r="Y48" s="74"/>
      <c r="Z48" s="80"/>
    </row>
    <row r="49" spans="1:26" x14ac:dyDescent="0.25">
      <c r="A49" t="s">
        <v>49</v>
      </c>
      <c r="B49">
        <f t="shared" si="8"/>
        <v>88</v>
      </c>
      <c r="C49" s="142">
        <v>3555.5630000000001</v>
      </c>
      <c r="D49" s="54">
        <f t="shared" si="5"/>
        <v>88</v>
      </c>
      <c r="E49">
        <f t="shared" si="6"/>
        <v>-0.18499999999994543</v>
      </c>
      <c r="F49" s="59">
        <f t="shared" si="9"/>
        <v>87.621393853886886</v>
      </c>
      <c r="G49" s="55">
        <f t="shared" si="7"/>
        <v>-0.18499999999994543</v>
      </c>
      <c r="M49" s="15"/>
      <c r="O49" s="73"/>
      <c r="P49" s="74">
        <f t="shared" si="1"/>
        <v>87.621393853886886</v>
      </c>
      <c r="Q49" s="73">
        <f t="shared" si="2"/>
        <v>0.96100000000024011</v>
      </c>
      <c r="R49" s="73"/>
      <c r="S49" s="73"/>
      <c r="T49" s="73"/>
      <c r="U49" s="73"/>
      <c r="V49" s="73"/>
      <c r="W49" s="73"/>
      <c r="X49" s="74"/>
      <c r="Y49" s="74"/>
      <c r="Z49" s="80"/>
    </row>
    <row r="50" spans="1:26" x14ac:dyDescent="0.25">
      <c r="A50" t="s">
        <v>50</v>
      </c>
      <c r="B50">
        <f t="shared" si="8"/>
        <v>90</v>
      </c>
      <c r="C50" s="142">
        <v>3555.6289999999999</v>
      </c>
      <c r="D50" s="54">
        <f t="shared" si="5"/>
        <v>90</v>
      </c>
      <c r="E50">
        <f t="shared" si="6"/>
        <v>-0.11900000000014188</v>
      </c>
      <c r="F50" s="59">
        <f t="shared" si="9"/>
        <v>89.620304557245106</v>
      </c>
      <c r="G50" s="55">
        <f t="shared" si="7"/>
        <v>-0.11900000000014188</v>
      </c>
      <c r="M50" s="15"/>
      <c r="O50" s="73"/>
      <c r="P50" s="74">
        <f t="shared" si="1"/>
        <v>89.620304557245106</v>
      </c>
      <c r="Q50" s="73">
        <f t="shared" si="2"/>
        <v>1.0270000000000437</v>
      </c>
      <c r="R50" s="73"/>
      <c r="S50" s="73"/>
      <c r="T50" s="73"/>
      <c r="U50" s="73"/>
      <c r="V50" s="73"/>
      <c r="W50" s="73"/>
      <c r="X50" s="74"/>
      <c r="Y50" s="74"/>
      <c r="Z50" s="80"/>
    </row>
    <row r="51" spans="1:26" x14ac:dyDescent="0.25">
      <c r="A51" t="s">
        <v>51</v>
      </c>
      <c r="B51">
        <f t="shared" si="8"/>
        <v>92</v>
      </c>
      <c r="C51" s="142">
        <v>3555.694</v>
      </c>
      <c r="D51" s="54">
        <f t="shared" si="5"/>
        <v>92</v>
      </c>
      <c r="E51">
        <f t="shared" si="6"/>
        <v>-5.4000000000087311E-2</v>
      </c>
      <c r="F51" s="59">
        <f t="shared" si="9"/>
        <v>91.619248028181687</v>
      </c>
      <c r="G51" s="55">
        <f t="shared" si="7"/>
        <v>-5.4000000000087311E-2</v>
      </c>
      <c r="M51" s="15"/>
      <c r="O51" s="73"/>
      <c r="P51" s="74">
        <f t="shared" si="1"/>
        <v>91.619248028181687</v>
      </c>
      <c r="Q51" s="73">
        <f t="shared" si="2"/>
        <v>1.0920000000000982</v>
      </c>
      <c r="R51" s="73"/>
      <c r="S51" s="73"/>
      <c r="T51" s="73"/>
      <c r="U51" s="73"/>
      <c r="V51" s="73"/>
      <c r="W51" s="73"/>
      <c r="X51" s="74"/>
      <c r="Y51" s="74"/>
      <c r="Z51" s="80"/>
    </row>
    <row r="52" spans="1:26" ht="15.75" thickBot="1" x14ac:dyDescent="0.3">
      <c r="A52" t="s">
        <v>52</v>
      </c>
      <c r="B52">
        <f t="shared" si="8"/>
        <v>94</v>
      </c>
      <c r="C52" s="142">
        <v>3555.748</v>
      </c>
      <c r="D52" s="54">
        <f t="shared" si="5"/>
        <v>94</v>
      </c>
      <c r="E52">
        <f t="shared" si="6"/>
        <v>0</v>
      </c>
      <c r="F52" s="59">
        <f t="shared" si="9"/>
        <v>93.618518895272985</v>
      </c>
      <c r="G52" s="55">
        <f t="shared" si="7"/>
        <v>0</v>
      </c>
      <c r="M52" s="16"/>
      <c r="N52" s="47"/>
      <c r="O52" s="83"/>
      <c r="P52" s="84">
        <f t="shared" si="1"/>
        <v>93.618518895272985</v>
      </c>
      <c r="Q52" s="83">
        <f t="shared" si="2"/>
        <v>1.1460000000001855</v>
      </c>
      <c r="R52" s="83"/>
      <c r="S52" s="83"/>
      <c r="T52" s="83"/>
      <c r="U52" s="83"/>
      <c r="V52" s="83"/>
      <c r="W52" s="83"/>
      <c r="X52" s="84"/>
      <c r="Y52" s="84"/>
      <c r="Z52" s="85"/>
    </row>
    <row r="53" spans="1:26" x14ac:dyDescent="0.25">
      <c r="D53" s="54"/>
      <c r="F53" s="107"/>
      <c r="G53" s="55"/>
      <c r="H53" s="62"/>
      <c r="I53" s="12"/>
      <c r="J53" s="55"/>
      <c r="X53" s="12"/>
      <c r="Y53" s="12"/>
    </row>
    <row r="54" spans="1:26" x14ac:dyDescent="0.25">
      <c r="D54" s="54"/>
      <c r="F54" s="107"/>
      <c r="G54" s="55"/>
      <c r="H54" s="54"/>
      <c r="I54" s="12"/>
      <c r="J54" s="55"/>
      <c r="X54" s="12"/>
      <c r="Y54" s="12"/>
    </row>
    <row r="55" spans="1:26" x14ac:dyDescent="0.25">
      <c r="D55" s="54"/>
      <c r="F55" s="107"/>
      <c r="G55" s="55"/>
      <c r="H55" s="54"/>
      <c r="I55" s="12"/>
      <c r="J55" s="55"/>
      <c r="X55" s="12"/>
      <c r="Y55" s="12"/>
    </row>
    <row r="56" spans="1:26" x14ac:dyDescent="0.25">
      <c r="D56" s="54"/>
      <c r="F56" s="107"/>
      <c r="G56" s="55"/>
      <c r="H56" s="54"/>
      <c r="I56" s="12"/>
      <c r="J56" s="55"/>
      <c r="X56" s="12"/>
      <c r="Y56" s="12"/>
    </row>
    <row r="57" spans="1:26" x14ac:dyDescent="0.25">
      <c r="D57" s="54"/>
      <c r="F57" s="107"/>
      <c r="G57" s="55"/>
      <c r="H57" s="54"/>
      <c r="I57" s="12"/>
      <c r="J57" s="55"/>
      <c r="X57" s="12"/>
      <c r="Y57" s="12"/>
    </row>
    <row r="58" spans="1:26" x14ac:dyDescent="0.25">
      <c r="D58" s="54"/>
      <c r="F58" s="107"/>
      <c r="G58" s="55"/>
      <c r="H58" s="54"/>
      <c r="I58" s="12"/>
      <c r="J58" s="55"/>
    </row>
    <row r="59" spans="1:26" x14ac:dyDescent="0.25">
      <c r="D59" s="54"/>
      <c r="F59" s="107"/>
      <c r="G59" s="55"/>
      <c r="H59" s="65"/>
      <c r="I59" s="64"/>
      <c r="J59" s="66"/>
    </row>
    <row r="60" spans="1:26" x14ac:dyDescent="0.25">
      <c r="D60" s="54"/>
      <c r="F60" s="107"/>
      <c r="G60" s="55"/>
      <c r="I60" s="12"/>
    </row>
    <row r="61" spans="1:26" x14ac:dyDescent="0.25">
      <c r="D61" s="54"/>
      <c r="F61" s="107"/>
      <c r="G61" s="55"/>
      <c r="I61" s="12"/>
    </row>
    <row r="62" spans="1:26" x14ac:dyDescent="0.25">
      <c r="D62" s="54"/>
      <c r="F62" s="107"/>
      <c r="G62" s="55"/>
      <c r="I62" s="12"/>
    </row>
    <row r="63" spans="1:26" x14ac:dyDescent="0.25">
      <c r="D63" s="54"/>
      <c r="F63" s="107"/>
      <c r="G63" s="55"/>
      <c r="I63" s="12"/>
    </row>
    <row r="64" spans="1:26" x14ac:dyDescent="0.25">
      <c r="D64" s="54"/>
      <c r="F64" s="107"/>
      <c r="G64" s="55"/>
      <c r="I64" s="12"/>
    </row>
    <row r="65" spans="4:9" x14ac:dyDescent="0.25">
      <c r="D65" s="54"/>
      <c r="F65" s="107"/>
      <c r="G65" s="55"/>
      <c r="I65" s="12"/>
    </row>
    <row r="66" spans="4:9" x14ac:dyDescent="0.25">
      <c r="D66" s="54"/>
      <c r="F66" s="107"/>
      <c r="G66" s="55"/>
      <c r="I66" s="12"/>
    </row>
    <row r="67" spans="4:9" x14ac:dyDescent="0.25">
      <c r="D67" s="54"/>
      <c r="F67" s="107"/>
      <c r="G67" s="55"/>
      <c r="I67" s="12"/>
    </row>
    <row r="68" spans="4:9" x14ac:dyDescent="0.25">
      <c r="D68" s="54"/>
      <c r="F68" s="107"/>
      <c r="G68" s="55"/>
      <c r="I68" s="12"/>
    </row>
    <row r="69" spans="4:9" x14ac:dyDescent="0.25">
      <c r="D69" s="54"/>
      <c r="F69" s="107"/>
      <c r="G69" s="55"/>
      <c r="I69" s="12"/>
    </row>
    <row r="70" spans="4:9" x14ac:dyDescent="0.25">
      <c r="D70" s="54"/>
      <c r="F70" s="107"/>
      <c r="G70" s="55"/>
      <c r="I70" s="12"/>
    </row>
    <row r="71" spans="4:9" x14ac:dyDescent="0.25">
      <c r="D71" s="54"/>
      <c r="F71" s="107"/>
      <c r="G71" s="55"/>
      <c r="I71" s="12"/>
    </row>
    <row r="72" spans="4:9" x14ac:dyDescent="0.25">
      <c r="D72" s="54"/>
      <c r="F72" s="107"/>
      <c r="G72" s="55"/>
      <c r="I72" s="12"/>
    </row>
    <row r="73" spans="4:9" x14ac:dyDescent="0.25">
      <c r="D73" s="54"/>
      <c r="F73" s="107"/>
      <c r="G73" s="55"/>
      <c r="I73" s="12"/>
    </row>
    <row r="74" spans="4:9" x14ac:dyDescent="0.25">
      <c r="D74" s="54"/>
      <c r="F74" s="107"/>
      <c r="G74" s="55"/>
      <c r="I74" s="12"/>
    </row>
    <row r="75" spans="4:9" x14ac:dyDescent="0.25">
      <c r="D75" s="54"/>
      <c r="F75" s="107"/>
      <c r="G75" s="55"/>
      <c r="I75" s="12"/>
    </row>
    <row r="76" spans="4:9" x14ac:dyDescent="0.25">
      <c r="D76" s="54"/>
      <c r="F76" s="107"/>
      <c r="G76" s="55"/>
      <c r="I76" s="12"/>
    </row>
    <row r="77" spans="4:9" x14ac:dyDescent="0.25">
      <c r="D77" s="56"/>
      <c r="E77" s="57"/>
      <c r="F77" s="108"/>
      <c r="I7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abra02</vt:lpstr>
      <vt:lpstr>abra02_new</vt:lpstr>
      <vt:lpstr>abra05</vt:lpstr>
      <vt:lpstr>abra03</vt:lpstr>
      <vt:lpstr>abra09</vt:lpstr>
      <vt:lpstr>abra10</vt:lpstr>
      <vt:lpstr>GOL01</vt:lpstr>
      <vt:lpstr>GOL01_new</vt:lpstr>
      <vt:lpstr>GOL07ab</vt:lpstr>
      <vt:lpstr>GOL07c</vt:lpstr>
      <vt:lpstr>SUE02</vt:lpstr>
      <vt:lpstr>KUM01</vt:lpstr>
      <vt:lpstr>KUM0203_RST5m</vt:lpstr>
      <vt:lpstr>KUM0203_RST2m</vt:lpstr>
      <vt:lpstr>KUM04_RST5m</vt:lpstr>
      <vt:lpstr>KUM04_RST2m</vt:lpstr>
      <vt:lpstr>abra04_2023-07-20_5m</vt:lpstr>
      <vt:lpstr>abra07</vt:lpstr>
      <vt:lpstr>SUE01_2023</vt:lpstr>
      <vt:lpstr>SUE05_2023</vt:lpstr>
      <vt:lpstr>BUL01_2023</vt:lpstr>
      <vt:lpstr>KAR01_2023</vt:lpstr>
      <vt:lpstr>ZUL01_2023</vt:lpstr>
      <vt:lpstr>no457_01_2023</vt:lpstr>
      <vt:lpstr>KUM04_2023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2026-07-27T12:01:42Z</dcterms:modified>
</cp:coreProperties>
</file>