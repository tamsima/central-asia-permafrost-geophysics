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yst\Mirror\fieldwork_2022\data\KG\Golu\"/>
    </mc:Choice>
  </mc:AlternateContent>
  <xr:revisionPtr revIDLastSave="0" documentId="13_ncr:1_{DC222FC2-0F05-4DD5-8CB0-C651C397215F}" xr6:coauthVersionLast="47" xr6:coauthVersionMax="47" xr10:uidLastSave="{00000000-0000-0000-0000-000000000000}"/>
  <bookViews>
    <workbookView xWindow="-28920" yWindow="15" windowWidth="29040" windowHeight="15840" activeTab="9" xr2:uid="{00000000-000D-0000-FFFF-FFFF00000000}"/>
  </bookViews>
  <sheets>
    <sheet name="all" sheetId="6" r:id="rId1"/>
    <sheet name="GOL01" sheetId="4" r:id="rId2"/>
    <sheet name="GOL01_RST" sheetId="8" r:id="rId3"/>
    <sheet name="GOL05" sheetId="3" r:id="rId4"/>
    <sheet name="GOL06" sheetId="5" r:id="rId5"/>
    <sheet name="GOL07" sheetId="1" r:id="rId6"/>
    <sheet name="GOL07_RST_c" sheetId="13" r:id="rId7"/>
    <sheet name="GOL08" sheetId="2" r:id="rId8"/>
    <sheet name="Topo" sheetId="7" r:id="rId9"/>
    <sheet name="GOL07_RST_ab_correct" sheetId="11" r:id="rId10"/>
  </sheets>
  <definedNames>
    <definedName name="_xlnm._FilterDatabase" localSheetId="2" hidden="1">GOL01_RST!$N$38:$O$85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1" l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2" i="11"/>
  <c r="L103" i="11"/>
  <c r="L111" i="11"/>
  <c r="L119" i="11"/>
  <c r="L127" i="11"/>
  <c r="L130" i="11"/>
  <c r="L135" i="11"/>
  <c r="L143" i="11"/>
  <c r="L146" i="11"/>
  <c r="L151" i="11"/>
  <c r="L159" i="11"/>
  <c r="L167" i="11"/>
  <c r="J74" i="11"/>
  <c r="J76" i="11"/>
  <c r="J78" i="11"/>
  <c r="J80" i="11"/>
  <c r="J82" i="11"/>
  <c r="J84" i="11"/>
  <c r="J86" i="11"/>
  <c r="J90" i="11"/>
  <c r="J92" i="11"/>
  <c r="J94" i="11"/>
  <c r="J98" i="11"/>
  <c r="J100" i="11"/>
  <c r="J106" i="11"/>
  <c r="J107" i="11"/>
  <c r="J115" i="11"/>
  <c r="J123" i="11"/>
  <c r="J131" i="11"/>
  <c r="J139" i="11"/>
  <c r="J146" i="11"/>
  <c r="J147" i="11"/>
  <c r="J158" i="11"/>
  <c r="D149" i="11"/>
  <c r="L149" i="11" s="1"/>
  <c r="D150" i="11"/>
  <c r="J150" i="11" s="1"/>
  <c r="D151" i="11"/>
  <c r="J151" i="11" s="1"/>
  <c r="D152" i="11"/>
  <c r="J152" i="11" s="1"/>
  <c r="D153" i="11"/>
  <c r="J153" i="11" s="1"/>
  <c r="D154" i="11"/>
  <c r="J154" i="11" s="1"/>
  <c r="D155" i="11"/>
  <c r="L155" i="11" s="1"/>
  <c r="D156" i="11"/>
  <c r="J156" i="11" s="1"/>
  <c r="D157" i="11"/>
  <c r="L157" i="11" s="1"/>
  <c r="D158" i="11"/>
  <c r="L158" i="11" s="1"/>
  <c r="D159" i="11"/>
  <c r="J159" i="11" s="1"/>
  <c r="D160" i="11"/>
  <c r="L160" i="11" s="1"/>
  <c r="D161" i="11"/>
  <c r="J161" i="11" s="1"/>
  <c r="D162" i="11"/>
  <c r="L162" i="11" s="1"/>
  <c r="D163" i="11"/>
  <c r="L163" i="11" s="1"/>
  <c r="D164" i="11"/>
  <c r="J164" i="11" s="1"/>
  <c r="D165" i="11"/>
  <c r="L165" i="11" s="1"/>
  <c r="D166" i="11"/>
  <c r="J166" i="11" s="1"/>
  <c r="D167" i="11"/>
  <c r="J167" i="11" s="1"/>
  <c r="D168" i="11"/>
  <c r="J168" i="11" s="1"/>
  <c r="D169" i="11"/>
  <c r="J169" i="11" s="1"/>
  <c r="D170" i="11"/>
  <c r="J170" i="11" s="1"/>
  <c r="D171" i="11"/>
  <c r="L171" i="11" s="1"/>
  <c r="D172" i="11"/>
  <c r="J172" i="11" s="1"/>
  <c r="D145" i="11"/>
  <c r="J145" i="11" s="1"/>
  <c r="D146" i="11"/>
  <c r="D147" i="11"/>
  <c r="L147" i="11" s="1"/>
  <c r="D148" i="11"/>
  <c r="L148" i="11" s="1"/>
  <c r="D101" i="11"/>
  <c r="D102" i="11"/>
  <c r="J102" i="11" s="1"/>
  <c r="D103" i="11"/>
  <c r="J103" i="11" s="1"/>
  <c r="D104" i="11"/>
  <c r="J104" i="11" s="1"/>
  <c r="D105" i="11"/>
  <c r="J105" i="11" s="1"/>
  <c r="D106" i="11"/>
  <c r="L106" i="11" s="1"/>
  <c r="D107" i="11"/>
  <c r="L107" i="11" s="1"/>
  <c r="D108" i="11"/>
  <c r="J108" i="11" s="1"/>
  <c r="D109" i="11"/>
  <c r="D110" i="11"/>
  <c r="L110" i="11" s="1"/>
  <c r="D111" i="11"/>
  <c r="J111" i="11" s="1"/>
  <c r="D112" i="11"/>
  <c r="J112" i="11" s="1"/>
  <c r="D113" i="11"/>
  <c r="J113" i="11" s="1"/>
  <c r="D114" i="11"/>
  <c r="J114" i="11" s="1"/>
  <c r="D115" i="11"/>
  <c r="L115" i="11" s="1"/>
  <c r="D116" i="11"/>
  <c r="J116" i="11" s="1"/>
  <c r="D117" i="11"/>
  <c r="D118" i="11"/>
  <c r="J118" i="11" s="1"/>
  <c r="D119" i="11"/>
  <c r="J119" i="11" s="1"/>
  <c r="D120" i="11"/>
  <c r="J120" i="11" s="1"/>
  <c r="D121" i="11"/>
  <c r="J121" i="11" s="1"/>
  <c r="D122" i="11"/>
  <c r="L122" i="11" s="1"/>
  <c r="D123" i="11"/>
  <c r="L123" i="11" s="1"/>
  <c r="D124" i="11"/>
  <c r="J124" i="11" s="1"/>
  <c r="D125" i="11"/>
  <c r="D126" i="11"/>
  <c r="J126" i="11" s="1"/>
  <c r="D127" i="11"/>
  <c r="J127" i="11" s="1"/>
  <c r="D128" i="11"/>
  <c r="J128" i="11" s="1"/>
  <c r="D129" i="11"/>
  <c r="J129" i="11" s="1"/>
  <c r="D130" i="11"/>
  <c r="J130" i="11" s="1"/>
  <c r="D131" i="11"/>
  <c r="L131" i="11" s="1"/>
  <c r="D132" i="11"/>
  <c r="J132" i="11" s="1"/>
  <c r="D133" i="11"/>
  <c r="D134" i="11"/>
  <c r="J134" i="11" s="1"/>
  <c r="D135" i="11"/>
  <c r="J135" i="11" s="1"/>
  <c r="D136" i="11"/>
  <c r="L136" i="11" s="1"/>
  <c r="D137" i="11"/>
  <c r="J137" i="11" s="1"/>
  <c r="D138" i="11"/>
  <c r="J138" i="11" s="1"/>
  <c r="D139" i="11"/>
  <c r="L139" i="11" s="1"/>
  <c r="D140" i="11"/>
  <c r="J140" i="11" s="1"/>
  <c r="D141" i="11"/>
  <c r="D142" i="11"/>
  <c r="J142" i="11" s="1"/>
  <c r="D143" i="11"/>
  <c r="J143" i="11" s="1"/>
  <c r="D144" i="11"/>
  <c r="J144" i="11" s="1"/>
  <c r="L54" i="11"/>
  <c r="L58" i="11"/>
  <c r="L60" i="11"/>
  <c r="L62" i="11"/>
  <c r="L64" i="11"/>
  <c r="L65" i="11"/>
  <c r="L66" i="11"/>
  <c r="L68" i="11"/>
  <c r="L70" i="11"/>
  <c r="L72" i="11"/>
  <c r="L74" i="11"/>
  <c r="L76" i="11"/>
  <c r="L78" i="11"/>
  <c r="L82" i="11"/>
  <c r="L84" i="11"/>
  <c r="L86" i="11"/>
  <c r="L88" i="11"/>
  <c r="L89" i="11"/>
  <c r="L90" i="11"/>
  <c r="L92" i="11"/>
  <c r="L94" i="11"/>
  <c r="L96" i="11"/>
  <c r="L97" i="11"/>
  <c r="L98" i="11"/>
  <c r="L100" i="11"/>
  <c r="K53" i="11"/>
  <c r="D54" i="11"/>
  <c r="D55" i="11"/>
  <c r="D56" i="11"/>
  <c r="L56" i="11" s="1"/>
  <c r="D57" i="11"/>
  <c r="J57" i="11" s="1"/>
  <c r="D58" i="11"/>
  <c r="D59" i="11"/>
  <c r="D60" i="11"/>
  <c r="D61" i="11"/>
  <c r="L61" i="11" s="1"/>
  <c r="D62" i="11"/>
  <c r="D63" i="11"/>
  <c r="L63" i="11" s="1"/>
  <c r="D64" i="11"/>
  <c r="D65" i="11"/>
  <c r="J65" i="11" s="1"/>
  <c r="D66" i="11"/>
  <c r="D67" i="11"/>
  <c r="D68" i="11"/>
  <c r="J68" i="11" s="1"/>
  <c r="D69" i="11"/>
  <c r="D70" i="11"/>
  <c r="D71" i="11"/>
  <c r="D72" i="11"/>
  <c r="J72" i="11" s="1"/>
  <c r="D73" i="11"/>
  <c r="J73" i="11" s="1"/>
  <c r="D74" i="11"/>
  <c r="D75" i="11"/>
  <c r="L75" i="11" s="1"/>
  <c r="D76" i="11"/>
  <c r="D77" i="11"/>
  <c r="D78" i="11"/>
  <c r="D79" i="11"/>
  <c r="D80" i="11"/>
  <c r="L80" i="11" s="1"/>
  <c r="D81" i="11"/>
  <c r="J81" i="11" s="1"/>
  <c r="D82" i="11"/>
  <c r="D83" i="11"/>
  <c r="L83" i="11" s="1"/>
  <c r="D84" i="11"/>
  <c r="D85" i="11"/>
  <c r="D86" i="11"/>
  <c r="D87" i="11"/>
  <c r="D88" i="11"/>
  <c r="J88" i="11" s="1"/>
  <c r="D89" i="11"/>
  <c r="J89" i="11" s="1"/>
  <c r="D90" i="11"/>
  <c r="D91" i="11"/>
  <c r="L91" i="11" s="1"/>
  <c r="D92" i="11"/>
  <c r="D93" i="11"/>
  <c r="D94" i="11"/>
  <c r="D95" i="11"/>
  <c r="D96" i="11"/>
  <c r="J96" i="11" s="1"/>
  <c r="D97" i="11"/>
  <c r="J97" i="11" s="1"/>
  <c r="D98" i="11"/>
  <c r="D99" i="11"/>
  <c r="L99" i="11" s="1"/>
  <c r="D100" i="11"/>
  <c r="D53" i="11"/>
  <c r="L53" i="11" s="1"/>
  <c r="J70" i="11"/>
  <c r="J66" i="11"/>
  <c r="J64" i="11"/>
  <c r="J63" i="11"/>
  <c r="J62" i="11"/>
  <c r="J58" i="11"/>
  <c r="J56" i="11"/>
  <c r="J54" i="11"/>
  <c r="C54" i="11"/>
  <c r="C55" i="11" s="1"/>
  <c r="C56" i="11" s="1"/>
  <c r="I53" i="11"/>
  <c r="G53" i="11"/>
  <c r="E53" i="11"/>
  <c r="J162" i="11" l="1"/>
  <c r="J148" i="11"/>
  <c r="J136" i="11"/>
  <c r="J110" i="11"/>
  <c r="L172" i="11"/>
  <c r="L134" i="11"/>
  <c r="L120" i="11"/>
  <c r="L108" i="11"/>
  <c r="J160" i="11"/>
  <c r="J122" i="11"/>
  <c r="J83" i="11"/>
  <c r="L170" i="11"/>
  <c r="L144" i="11"/>
  <c r="L132" i="11"/>
  <c r="J77" i="11"/>
  <c r="L77" i="11"/>
  <c r="L67" i="11"/>
  <c r="J67" i="11"/>
  <c r="L59" i="11"/>
  <c r="J59" i="11"/>
  <c r="L73" i="11"/>
  <c r="L141" i="11"/>
  <c r="J141" i="11"/>
  <c r="L133" i="11"/>
  <c r="J133" i="11"/>
  <c r="L125" i="11"/>
  <c r="J125" i="11"/>
  <c r="L117" i="11"/>
  <c r="J117" i="11"/>
  <c r="L109" i="11"/>
  <c r="J109" i="11"/>
  <c r="L101" i="11"/>
  <c r="J101" i="11"/>
  <c r="J171" i="11"/>
  <c r="L168" i="11"/>
  <c r="L156" i="11"/>
  <c r="L118" i="11"/>
  <c r="L104" i="11"/>
  <c r="L154" i="11"/>
  <c r="L142" i="11"/>
  <c r="L128" i="11"/>
  <c r="L116" i="11"/>
  <c r="J85" i="11"/>
  <c r="L85" i="11"/>
  <c r="J69" i="11"/>
  <c r="L69" i="11"/>
  <c r="J155" i="11"/>
  <c r="J91" i="11"/>
  <c r="L166" i="11"/>
  <c r="L152" i="11"/>
  <c r="L140" i="11"/>
  <c r="L114" i="11"/>
  <c r="L102" i="11"/>
  <c r="L57" i="11"/>
  <c r="L164" i="11"/>
  <c r="L138" i="11"/>
  <c r="L126" i="11"/>
  <c r="L112" i="11"/>
  <c r="J93" i="11"/>
  <c r="L93" i="11"/>
  <c r="J53" i="11"/>
  <c r="L81" i="11"/>
  <c r="L95" i="11"/>
  <c r="J95" i="11"/>
  <c r="L87" i="11"/>
  <c r="J87" i="11"/>
  <c r="L79" i="11"/>
  <c r="J79" i="11"/>
  <c r="L71" i="11"/>
  <c r="J71" i="11"/>
  <c r="L55" i="11"/>
  <c r="J55" i="11"/>
  <c r="J75" i="11"/>
  <c r="L150" i="11"/>
  <c r="L124" i="11"/>
  <c r="J163" i="11"/>
  <c r="J99" i="11"/>
  <c r="J165" i="11"/>
  <c r="J157" i="11"/>
  <c r="J149" i="11"/>
  <c r="L169" i="11"/>
  <c r="L161" i="11"/>
  <c r="L153" i="11"/>
  <c r="L145" i="11"/>
  <c r="L137" i="11"/>
  <c r="L129" i="11"/>
  <c r="L121" i="11"/>
  <c r="L113" i="11"/>
  <c r="L105" i="11"/>
  <c r="J60" i="11"/>
  <c r="J61" i="11"/>
  <c r="I54" i="11"/>
  <c r="C57" i="11"/>
  <c r="I56" i="11"/>
  <c r="I55" i="11"/>
  <c r="U29" i="8"/>
  <c r="K29" i="8" s="1"/>
  <c r="U30" i="8"/>
  <c r="K30" i="8" s="1"/>
  <c r="U3" i="8"/>
  <c r="U4" i="8"/>
  <c r="I3" i="8"/>
  <c r="I4" i="8"/>
  <c r="K3" i="8"/>
  <c r="K4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5" i="8"/>
  <c r="T5" i="8"/>
  <c r="T4" i="8" s="1"/>
  <c r="V4" i="8" s="1"/>
  <c r="O29" i="8"/>
  <c r="O30" i="8" s="1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N6" i="8"/>
  <c r="N7" i="8" s="1"/>
  <c r="U5" i="8"/>
  <c r="P5" i="8"/>
  <c r="V5" i="8" s="1"/>
  <c r="P3" i="8"/>
  <c r="K39" i="8"/>
  <c r="K40" i="8"/>
  <c r="K41" i="8"/>
  <c r="K48" i="8"/>
  <c r="K49" i="8"/>
  <c r="K53" i="8"/>
  <c r="K62" i="8"/>
  <c r="K63" i="8"/>
  <c r="K64" i="8"/>
  <c r="K65" i="8"/>
  <c r="K70" i="8"/>
  <c r="K71" i="8"/>
  <c r="K72" i="8"/>
  <c r="K73" i="8"/>
  <c r="K80" i="8"/>
  <c r="K81" i="8"/>
  <c r="C85" i="8"/>
  <c r="K28" i="8" s="1"/>
  <c r="I45" i="8"/>
  <c r="K45" i="8" s="1"/>
  <c r="I52" i="8"/>
  <c r="K52" i="8" s="1"/>
  <c r="I53" i="8"/>
  <c r="I39" i="8"/>
  <c r="I40" i="8"/>
  <c r="I41" i="8"/>
  <c r="I42" i="8"/>
  <c r="K42" i="8" s="1"/>
  <c r="I43" i="8"/>
  <c r="K43" i="8" s="1"/>
  <c r="I46" i="8"/>
  <c r="K46" i="8" s="1"/>
  <c r="I47" i="8"/>
  <c r="K47" i="8" s="1"/>
  <c r="I48" i="8"/>
  <c r="I49" i="8"/>
  <c r="I50" i="8"/>
  <c r="K50" i="8" s="1"/>
  <c r="I51" i="8"/>
  <c r="K51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2" i="8"/>
  <c r="I63" i="8"/>
  <c r="I64" i="8"/>
  <c r="I65" i="8"/>
  <c r="I66" i="8"/>
  <c r="K66" i="8" s="1"/>
  <c r="I67" i="8"/>
  <c r="K67" i="8" s="1"/>
  <c r="I70" i="8"/>
  <c r="I71" i="8"/>
  <c r="I72" i="8"/>
  <c r="I73" i="8"/>
  <c r="I74" i="8"/>
  <c r="K74" i="8" s="1"/>
  <c r="I75" i="8"/>
  <c r="K75" i="8" s="1"/>
  <c r="I78" i="8"/>
  <c r="K78" i="8" s="1"/>
  <c r="I79" i="8"/>
  <c r="K79" i="8" s="1"/>
  <c r="I80" i="8"/>
  <c r="I81" i="8"/>
  <c r="I82" i="8"/>
  <c r="K82" i="8" s="1"/>
  <c r="I83" i="8"/>
  <c r="K83" i="8" s="1"/>
  <c r="I38" i="8"/>
  <c r="K38" i="8" s="1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62" i="8"/>
  <c r="H38" i="8"/>
  <c r="D38" i="8"/>
  <c r="J38" i="8" s="1"/>
  <c r="T3" i="8" l="1"/>
  <c r="V3" i="8" s="1"/>
  <c r="C58" i="11"/>
  <c r="I57" i="11"/>
  <c r="N8" i="8"/>
  <c r="T7" i="8"/>
  <c r="Q7" i="8"/>
  <c r="S7" i="8" s="1"/>
  <c r="Q3" i="8"/>
  <c r="Q6" i="8"/>
  <c r="S6" i="8" s="1"/>
  <c r="Q18" i="8"/>
  <c r="S18" i="8" s="1"/>
  <c r="Q13" i="8"/>
  <c r="S13" i="8" s="1"/>
  <c r="Q10" i="8"/>
  <c r="S10" i="8" s="1"/>
  <c r="Q8" i="8"/>
  <c r="S8" i="8" s="1"/>
  <c r="Q17" i="8"/>
  <c r="S17" i="8" s="1"/>
  <c r="Q16" i="8"/>
  <c r="S16" i="8" s="1"/>
  <c r="Q15" i="8"/>
  <c r="S15" i="8" s="1"/>
  <c r="Q14" i="8"/>
  <c r="S14" i="8" s="1"/>
  <c r="Q12" i="8"/>
  <c r="S12" i="8" s="1"/>
  <c r="Q11" i="8"/>
  <c r="S11" i="8" s="1"/>
  <c r="Q9" i="8"/>
  <c r="S9" i="8" s="1"/>
  <c r="Q5" i="8"/>
  <c r="S5" i="8" s="1"/>
  <c r="P6" i="8"/>
  <c r="Q19" i="8"/>
  <c r="S19" i="8" s="1"/>
  <c r="Q20" i="8"/>
  <c r="S20" i="8" s="1"/>
  <c r="Q21" i="8"/>
  <c r="S21" i="8" s="1"/>
  <c r="Q22" i="8"/>
  <c r="S22" i="8" s="1"/>
  <c r="Q23" i="8"/>
  <c r="S23" i="8" s="1"/>
  <c r="Q24" i="8"/>
  <c r="S24" i="8" s="1"/>
  <c r="Q25" i="8"/>
  <c r="S25" i="8" s="1"/>
  <c r="Q26" i="8"/>
  <c r="S26" i="8" s="1"/>
  <c r="Q27" i="8"/>
  <c r="S27" i="8" s="1"/>
  <c r="Q28" i="8"/>
  <c r="S28" i="8" s="1"/>
  <c r="Q29" i="8"/>
  <c r="R5" i="8"/>
  <c r="Q4" i="8"/>
  <c r="T6" i="8"/>
  <c r="I85" i="8"/>
  <c r="K85" i="8" s="1"/>
  <c r="I77" i="8"/>
  <c r="K77" i="8" s="1"/>
  <c r="I69" i="8"/>
  <c r="K69" i="8" s="1"/>
  <c r="I61" i="8"/>
  <c r="K61" i="8" s="1"/>
  <c r="I84" i="8"/>
  <c r="K84" i="8" s="1"/>
  <c r="I76" i="8"/>
  <c r="K76" i="8" s="1"/>
  <c r="I68" i="8"/>
  <c r="K68" i="8" s="1"/>
  <c r="I60" i="8"/>
  <c r="K60" i="8" s="1"/>
  <c r="I44" i="8"/>
  <c r="K44" i="8" s="1"/>
  <c r="H40" i="8"/>
  <c r="H39" i="8"/>
  <c r="F38" i="8"/>
  <c r="J29" i="8"/>
  <c r="C59" i="11" l="1"/>
  <c r="I58" i="11"/>
  <c r="V6" i="8"/>
  <c r="R6" i="8"/>
  <c r="P7" i="8"/>
  <c r="N9" i="8"/>
  <c r="T8" i="8"/>
  <c r="H41" i="8"/>
  <c r="R47" i="11"/>
  <c r="R22" i="11"/>
  <c r="R21" i="11"/>
  <c r="C60" i="11" l="1"/>
  <c r="I59" i="11"/>
  <c r="N10" i="8"/>
  <c r="T9" i="8"/>
  <c r="V7" i="8"/>
  <c r="R7" i="8"/>
  <c r="P8" i="8"/>
  <c r="H42" i="8"/>
  <c r="C61" i="11" l="1"/>
  <c r="I60" i="11"/>
  <c r="N11" i="8"/>
  <c r="T10" i="8"/>
  <c r="V8" i="8"/>
  <c r="P9" i="8"/>
  <c r="R8" i="8"/>
  <c r="H43" i="8"/>
  <c r="C3" i="13"/>
  <c r="I3" i="13" s="1"/>
  <c r="K3" i="13" s="1"/>
  <c r="B5" i="13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I27" i="13"/>
  <c r="I26" i="13"/>
  <c r="K26" i="13" s="1"/>
  <c r="I25" i="13"/>
  <c r="K25" i="13" s="1"/>
  <c r="I24" i="13"/>
  <c r="K24" i="13" s="1"/>
  <c r="I23" i="13"/>
  <c r="K23" i="13" s="1"/>
  <c r="I22" i="13"/>
  <c r="K22" i="13" s="1"/>
  <c r="I21" i="13"/>
  <c r="K21" i="13" s="1"/>
  <c r="I20" i="13"/>
  <c r="K20" i="13" s="1"/>
  <c r="I19" i="13"/>
  <c r="K19" i="13" s="1"/>
  <c r="I18" i="13"/>
  <c r="K18" i="13" s="1"/>
  <c r="I17" i="13"/>
  <c r="K17" i="13" s="1"/>
  <c r="I16" i="13"/>
  <c r="K16" i="13" s="1"/>
  <c r="I15" i="13"/>
  <c r="K15" i="13" s="1"/>
  <c r="I14" i="13"/>
  <c r="K14" i="13" s="1"/>
  <c r="I13" i="13"/>
  <c r="K13" i="13" s="1"/>
  <c r="I12" i="13"/>
  <c r="K12" i="13" s="1"/>
  <c r="I11" i="13"/>
  <c r="K11" i="13" s="1"/>
  <c r="I10" i="13"/>
  <c r="K10" i="13" s="1"/>
  <c r="I9" i="13"/>
  <c r="K9" i="13" s="1"/>
  <c r="I8" i="13"/>
  <c r="K8" i="13" s="1"/>
  <c r="I7" i="13"/>
  <c r="K7" i="13" s="1"/>
  <c r="I6" i="13"/>
  <c r="K6" i="13" s="1"/>
  <c r="I5" i="13"/>
  <c r="K5" i="13" s="1"/>
  <c r="I4" i="13"/>
  <c r="K4" i="13" s="1"/>
  <c r="H4" i="13"/>
  <c r="D4" i="13"/>
  <c r="H3" i="13"/>
  <c r="J3" i="13" s="1"/>
  <c r="D3" i="13"/>
  <c r="F4" i="13" l="1"/>
  <c r="J4" i="13"/>
  <c r="I28" i="13"/>
  <c r="K28" i="13" s="1"/>
  <c r="K27" i="13"/>
  <c r="I61" i="11"/>
  <c r="C62" i="11"/>
  <c r="N12" i="8"/>
  <c r="T11" i="8"/>
  <c r="V9" i="8"/>
  <c r="R9" i="8"/>
  <c r="P10" i="8"/>
  <c r="H44" i="8"/>
  <c r="H6" i="13"/>
  <c r="H5" i="13"/>
  <c r="N47" i="11"/>
  <c r="S21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 s="1"/>
  <c r="S22" i="11"/>
  <c r="O22" i="11"/>
  <c r="N22" i="11" s="1"/>
  <c r="P22" i="11" s="1"/>
  <c r="O23" i="11"/>
  <c r="Q23" i="11" s="1"/>
  <c r="O24" i="11"/>
  <c r="Q24" i="11" s="1"/>
  <c r="O25" i="11"/>
  <c r="Q25" i="11" s="1"/>
  <c r="O26" i="11"/>
  <c r="Q26" i="11" s="1"/>
  <c r="O27" i="11"/>
  <c r="Q27" i="11" s="1"/>
  <c r="O28" i="11"/>
  <c r="Q28" i="11" s="1"/>
  <c r="O29" i="11"/>
  <c r="Q29" i="11" s="1"/>
  <c r="O30" i="11"/>
  <c r="Q30" i="11" s="1"/>
  <c r="O31" i="11"/>
  <c r="Q31" i="11" s="1"/>
  <c r="O32" i="11"/>
  <c r="Q32" i="11" s="1"/>
  <c r="O33" i="11"/>
  <c r="Q33" i="11" s="1"/>
  <c r="O34" i="11"/>
  <c r="Q34" i="11" s="1"/>
  <c r="O35" i="11"/>
  <c r="Q35" i="11" s="1"/>
  <c r="O36" i="11"/>
  <c r="Q36" i="11" s="1"/>
  <c r="O37" i="11"/>
  <c r="Q37" i="11" s="1"/>
  <c r="O38" i="11"/>
  <c r="Q38" i="11" s="1"/>
  <c r="O39" i="11"/>
  <c r="Q39" i="11" s="1"/>
  <c r="O40" i="11"/>
  <c r="Q40" i="11" s="1"/>
  <c r="O41" i="11"/>
  <c r="Q41" i="11" s="1"/>
  <c r="O42" i="11"/>
  <c r="Q42" i="11" s="1"/>
  <c r="O43" i="11"/>
  <c r="Q43" i="11" s="1"/>
  <c r="O44" i="11"/>
  <c r="Q44" i="11" s="1"/>
  <c r="O45" i="11"/>
  <c r="Q45" i="11" s="1"/>
  <c r="O46" i="11"/>
  <c r="Q46" i="11" s="1"/>
  <c r="E3" i="11"/>
  <c r="L23" i="11"/>
  <c r="R23" i="11" s="1"/>
  <c r="D28" i="11"/>
  <c r="D3" i="11"/>
  <c r="C28" i="11"/>
  <c r="I28" i="11" s="1"/>
  <c r="C5" i="11"/>
  <c r="I5" i="11" s="1"/>
  <c r="J27" i="11"/>
  <c r="J28" i="11" s="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 s="1"/>
  <c r="I4" i="11"/>
  <c r="E4" i="11"/>
  <c r="I3" i="11"/>
  <c r="W2" i="11" s="1"/>
  <c r="Y2" i="11" s="1"/>
  <c r="C29" i="8"/>
  <c r="I29" i="8" s="1"/>
  <c r="I5" i="8"/>
  <c r="H30" i="8"/>
  <c r="J30" i="8" s="1"/>
  <c r="H4" i="8"/>
  <c r="J4" i="8" s="1"/>
  <c r="H3" i="8"/>
  <c r="J3" i="8" s="1"/>
  <c r="B6" i="8"/>
  <c r="H6" i="8" s="1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H5" i="8"/>
  <c r="D5" i="8"/>
  <c r="D3" i="8"/>
  <c r="F3" i="11" l="1"/>
  <c r="F123" i="11"/>
  <c r="H123" i="11" s="1"/>
  <c r="F166" i="11"/>
  <c r="H166" i="11" s="1"/>
  <c r="F168" i="11"/>
  <c r="H168" i="11" s="1"/>
  <c r="F139" i="11"/>
  <c r="H139" i="11" s="1"/>
  <c r="F142" i="11"/>
  <c r="H142" i="11" s="1"/>
  <c r="F115" i="11"/>
  <c r="H115" i="11" s="1"/>
  <c r="F154" i="11"/>
  <c r="H154" i="11" s="1"/>
  <c r="F155" i="11"/>
  <c r="H155" i="11" s="1"/>
  <c r="F162" i="11"/>
  <c r="H162" i="11" s="1"/>
  <c r="F130" i="11"/>
  <c r="H130" i="11" s="1"/>
  <c r="F106" i="11"/>
  <c r="H106" i="11" s="1"/>
  <c r="F131" i="11"/>
  <c r="H131" i="11" s="1"/>
  <c r="F84" i="11"/>
  <c r="H84" i="11" s="1"/>
  <c r="F147" i="11"/>
  <c r="H147" i="11" s="1"/>
  <c r="F107" i="11"/>
  <c r="H107" i="11" s="1"/>
  <c r="F146" i="11"/>
  <c r="H146" i="11" s="1"/>
  <c r="F158" i="11"/>
  <c r="H158" i="11" s="1"/>
  <c r="F134" i="11"/>
  <c r="H134" i="11" s="1"/>
  <c r="F160" i="11"/>
  <c r="H160" i="11" s="1"/>
  <c r="F148" i="11"/>
  <c r="H148" i="11" s="1"/>
  <c r="F122" i="11"/>
  <c r="H122" i="11" s="1"/>
  <c r="F108" i="11"/>
  <c r="H108" i="11" s="1"/>
  <c r="F109" i="11"/>
  <c r="H109" i="11" s="1"/>
  <c r="F128" i="11"/>
  <c r="H128" i="11" s="1"/>
  <c r="F136" i="11"/>
  <c r="H136" i="11" s="1"/>
  <c r="F143" i="11"/>
  <c r="H143" i="11" s="1"/>
  <c r="F149" i="11"/>
  <c r="H149" i="11" s="1"/>
  <c r="F145" i="11"/>
  <c r="H145" i="11" s="1"/>
  <c r="F85" i="11"/>
  <c r="H85" i="11" s="1"/>
  <c r="F89" i="11"/>
  <c r="H89" i="11" s="1"/>
  <c r="F78" i="11"/>
  <c r="H78" i="11" s="1"/>
  <c r="F96" i="11"/>
  <c r="H96" i="11" s="1"/>
  <c r="F90" i="11"/>
  <c r="H90" i="11" s="1"/>
  <c r="F156" i="11"/>
  <c r="H156" i="11" s="1"/>
  <c r="F116" i="11"/>
  <c r="H116" i="11" s="1"/>
  <c r="F103" i="11"/>
  <c r="H103" i="11" s="1"/>
  <c r="F112" i="11"/>
  <c r="H112" i="11" s="1"/>
  <c r="F118" i="11"/>
  <c r="H118" i="11" s="1"/>
  <c r="F152" i="11"/>
  <c r="H152" i="11" s="1"/>
  <c r="F151" i="11"/>
  <c r="H151" i="11" s="1"/>
  <c r="F97" i="11"/>
  <c r="H97" i="11" s="1"/>
  <c r="F172" i="11"/>
  <c r="H172" i="11" s="1"/>
  <c r="F102" i="11"/>
  <c r="H102" i="11" s="1"/>
  <c r="F135" i="11"/>
  <c r="H135" i="11" s="1"/>
  <c r="F137" i="11"/>
  <c r="H137" i="11" s="1"/>
  <c r="F93" i="11"/>
  <c r="H93" i="11" s="1"/>
  <c r="F81" i="11"/>
  <c r="H81" i="11" s="1"/>
  <c r="F91" i="11"/>
  <c r="H91" i="11" s="1"/>
  <c r="F120" i="11"/>
  <c r="H120" i="11" s="1"/>
  <c r="F170" i="11"/>
  <c r="H170" i="11" s="1"/>
  <c r="F111" i="11"/>
  <c r="H111" i="11" s="1"/>
  <c r="F99" i="11"/>
  <c r="H99" i="11" s="1"/>
  <c r="F117" i="11"/>
  <c r="H117" i="11" s="1"/>
  <c r="F169" i="11"/>
  <c r="H169" i="11" s="1"/>
  <c r="F157" i="11"/>
  <c r="H157" i="11" s="1"/>
  <c r="F86" i="11"/>
  <c r="H86" i="11" s="1"/>
  <c r="F171" i="11"/>
  <c r="H171" i="11" s="1"/>
  <c r="F125" i="11"/>
  <c r="H125" i="11" s="1"/>
  <c r="F126" i="11"/>
  <c r="H126" i="11" s="1"/>
  <c r="F163" i="11"/>
  <c r="H163" i="11" s="1"/>
  <c r="F110" i="11"/>
  <c r="H110" i="11" s="1"/>
  <c r="F127" i="11"/>
  <c r="H127" i="11" s="1"/>
  <c r="F129" i="11"/>
  <c r="H129" i="11" s="1"/>
  <c r="F82" i="11"/>
  <c r="H82" i="11" s="1"/>
  <c r="F100" i="11"/>
  <c r="H100" i="11" s="1"/>
  <c r="F83" i="11"/>
  <c r="H83" i="11" s="1"/>
  <c r="F113" i="11"/>
  <c r="H113" i="11" s="1"/>
  <c r="F167" i="11"/>
  <c r="H167" i="11" s="1"/>
  <c r="F105" i="11"/>
  <c r="H105" i="11" s="1"/>
  <c r="F161" i="11"/>
  <c r="H161" i="11" s="1"/>
  <c r="F153" i="11"/>
  <c r="H153" i="11" s="1"/>
  <c r="F132" i="11"/>
  <c r="H132" i="11" s="1"/>
  <c r="F101" i="11"/>
  <c r="H101" i="11" s="1"/>
  <c r="F114" i="11"/>
  <c r="H114" i="11" s="1"/>
  <c r="F150" i="11"/>
  <c r="H150" i="11" s="1"/>
  <c r="F119" i="11"/>
  <c r="H119" i="11" s="1"/>
  <c r="F121" i="11"/>
  <c r="H121" i="11" s="1"/>
  <c r="F88" i="11"/>
  <c r="H88" i="11" s="1"/>
  <c r="F98" i="11"/>
  <c r="H98" i="11" s="1"/>
  <c r="F141" i="11"/>
  <c r="H141" i="11" s="1"/>
  <c r="F138" i="11"/>
  <c r="H138" i="11" s="1"/>
  <c r="F80" i="11"/>
  <c r="H80" i="11" s="1"/>
  <c r="F124" i="11"/>
  <c r="H124" i="11" s="1"/>
  <c r="F87" i="11"/>
  <c r="H87" i="11" s="1"/>
  <c r="F140" i="11"/>
  <c r="H140" i="11" s="1"/>
  <c r="F79" i="11"/>
  <c r="H79" i="11" s="1"/>
  <c r="F144" i="11"/>
  <c r="H144" i="11" s="1"/>
  <c r="F104" i="11"/>
  <c r="H104" i="11" s="1"/>
  <c r="F164" i="11"/>
  <c r="H164" i="11" s="1"/>
  <c r="F159" i="11"/>
  <c r="H159" i="11" s="1"/>
  <c r="F165" i="11"/>
  <c r="H165" i="11" s="1"/>
  <c r="F95" i="11"/>
  <c r="H95" i="11" s="1"/>
  <c r="F92" i="11"/>
  <c r="H92" i="11" s="1"/>
  <c r="F94" i="11"/>
  <c r="H94" i="11" s="1"/>
  <c r="F133" i="11"/>
  <c r="H133" i="11" s="1"/>
  <c r="B7" i="8"/>
  <c r="G4" i="11"/>
  <c r="W3" i="11"/>
  <c r="Y3" i="11" s="1"/>
  <c r="L24" i="11"/>
  <c r="O47" i="11"/>
  <c r="F53" i="11"/>
  <c r="H53" i="11" s="1"/>
  <c r="F74" i="11"/>
  <c r="H74" i="11" s="1"/>
  <c r="F55" i="11"/>
  <c r="H55" i="11" s="1"/>
  <c r="F70" i="11"/>
  <c r="H70" i="11" s="1"/>
  <c r="F67" i="11"/>
  <c r="H67" i="11" s="1"/>
  <c r="F63" i="11"/>
  <c r="H63" i="11" s="1"/>
  <c r="F61" i="11"/>
  <c r="H61" i="11" s="1"/>
  <c r="F75" i="11"/>
  <c r="H75" i="11" s="1"/>
  <c r="F68" i="11"/>
  <c r="H68" i="11" s="1"/>
  <c r="F71" i="11"/>
  <c r="H71" i="11" s="1"/>
  <c r="F69" i="11"/>
  <c r="H69" i="11" s="1"/>
  <c r="F58" i="11"/>
  <c r="H58" i="11" s="1"/>
  <c r="F65" i="11"/>
  <c r="H65" i="11" s="1"/>
  <c r="F66" i="11"/>
  <c r="H66" i="11" s="1"/>
  <c r="F72" i="11"/>
  <c r="H72" i="11" s="1"/>
  <c r="F59" i="11"/>
  <c r="H59" i="11" s="1"/>
  <c r="F56" i="11"/>
  <c r="H56" i="11" s="1"/>
  <c r="F60" i="11"/>
  <c r="H60" i="11" s="1"/>
  <c r="F57" i="11"/>
  <c r="H57" i="11" s="1"/>
  <c r="F73" i="11"/>
  <c r="H73" i="11" s="1"/>
  <c r="F54" i="11"/>
  <c r="F76" i="11"/>
  <c r="H76" i="11" s="1"/>
  <c r="F64" i="11"/>
  <c r="H64" i="11" s="1"/>
  <c r="F62" i="11"/>
  <c r="H62" i="11" s="1"/>
  <c r="F77" i="11"/>
  <c r="H77" i="11" s="1"/>
  <c r="F4" i="11"/>
  <c r="H4" i="11" s="1"/>
  <c r="C63" i="11"/>
  <c r="I62" i="11"/>
  <c r="N13" i="8"/>
  <c r="T12" i="8"/>
  <c r="V10" i="8"/>
  <c r="P11" i="8"/>
  <c r="R10" i="8"/>
  <c r="C30" i="8"/>
  <c r="I30" i="8" s="1"/>
  <c r="E83" i="8"/>
  <c r="G83" i="8" s="1"/>
  <c r="E75" i="8"/>
  <c r="G75" i="8" s="1"/>
  <c r="E73" i="8"/>
  <c r="G73" i="8" s="1"/>
  <c r="E64" i="8"/>
  <c r="G64" i="8" s="1"/>
  <c r="E82" i="8"/>
  <c r="G82" i="8" s="1"/>
  <c r="E76" i="8"/>
  <c r="G76" i="8" s="1"/>
  <c r="E65" i="8"/>
  <c r="G65" i="8" s="1"/>
  <c r="E79" i="8"/>
  <c r="G79" i="8" s="1"/>
  <c r="E84" i="8"/>
  <c r="G84" i="8" s="1"/>
  <c r="E63" i="8"/>
  <c r="G63" i="8" s="1"/>
  <c r="E61" i="8"/>
  <c r="G61" i="8" s="1"/>
  <c r="E74" i="8"/>
  <c r="G74" i="8" s="1"/>
  <c r="E66" i="8"/>
  <c r="G66" i="8" s="1"/>
  <c r="E85" i="8"/>
  <c r="G85" i="8" s="1"/>
  <c r="E67" i="8"/>
  <c r="G67" i="8" s="1"/>
  <c r="E71" i="8"/>
  <c r="G71" i="8" s="1"/>
  <c r="E81" i="8"/>
  <c r="G81" i="8" s="1"/>
  <c r="E48" i="8"/>
  <c r="G48" i="8" s="1"/>
  <c r="E38" i="8"/>
  <c r="G38" i="8" s="1"/>
  <c r="E39" i="8"/>
  <c r="E51" i="8"/>
  <c r="G51" i="8" s="1"/>
  <c r="E40" i="8"/>
  <c r="G40" i="8" s="1"/>
  <c r="E53" i="8"/>
  <c r="G53" i="8" s="1"/>
  <c r="E49" i="8"/>
  <c r="G49" i="8" s="1"/>
  <c r="E43" i="8"/>
  <c r="G43" i="8" s="1"/>
  <c r="E57" i="8"/>
  <c r="G57" i="8" s="1"/>
  <c r="E50" i="8"/>
  <c r="G50" i="8" s="1"/>
  <c r="E52" i="8"/>
  <c r="G52" i="8" s="1"/>
  <c r="E42" i="8"/>
  <c r="G42" i="8" s="1"/>
  <c r="E44" i="8"/>
  <c r="G44" i="8" s="1"/>
  <c r="E59" i="8"/>
  <c r="G59" i="8" s="1"/>
  <c r="E41" i="8"/>
  <c r="G41" i="8" s="1"/>
  <c r="E24" i="8"/>
  <c r="G24" i="8" s="1"/>
  <c r="E4" i="8"/>
  <c r="F5" i="8"/>
  <c r="J5" i="8"/>
  <c r="H45" i="8"/>
  <c r="E28" i="13"/>
  <c r="E24" i="13"/>
  <c r="G24" i="13" s="1"/>
  <c r="E16" i="13"/>
  <c r="G16" i="13" s="1"/>
  <c r="E8" i="13"/>
  <c r="G8" i="13" s="1"/>
  <c r="E25" i="13"/>
  <c r="G25" i="13" s="1"/>
  <c r="E17" i="13"/>
  <c r="G17" i="13" s="1"/>
  <c r="E9" i="13"/>
  <c r="G9" i="13" s="1"/>
  <c r="E7" i="13"/>
  <c r="G7" i="13" s="1"/>
  <c r="E26" i="13"/>
  <c r="G26" i="13" s="1"/>
  <c r="E18" i="13"/>
  <c r="G18" i="13" s="1"/>
  <c r="E10" i="13"/>
  <c r="G10" i="13" s="1"/>
  <c r="E27" i="13"/>
  <c r="G27" i="13" s="1"/>
  <c r="E19" i="13"/>
  <c r="G19" i="13" s="1"/>
  <c r="E11" i="13"/>
  <c r="G11" i="13" s="1"/>
  <c r="E23" i="13"/>
  <c r="G23" i="13" s="1"/>
  <c r="E20" i="13"/>
  <c r="G20" i="13" s="1"/>
  <c r="E12" i="13"/>
  <c r="G12" i="13" s="1"/>
  <c r="E4" i="13"/>
  <c r="G4" i="13" s="1"/>
  <c r="E3" i="13"/>
  <c r="E21" i="13"/>
  <c r="G21" i="13" s="1"/>
  <c r="E13" i="13"/>
  <c r="G13" i="13" s="1"/>
  <c r="E5" i="13"/>
  <c r="E15" i="13"/>
  <c r="G15" i="13" s="1"/>
  <c r="E22" i="13"/>
  <c r="G22" i="13" s="1"/>
  <c r="E14" i="13"/>
  <c r="G14" i="13" s="1"/>
  <c r="E6" i="13"/>
  <c r="G6" i="13" s="1"/>
  <c r="H7" i="13"/>
  <c r="Q22" i="11"/>
  <c r="N23" i="11"/>
  <c r="F28" i="1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F25" i="11"/>
  <c r="H25" i="11" s="1"/>
  <c r="F17" i="11"/>
  <c r="H17" i="11" s="1"/>
  <c r="F9" i="11"/>
  <c r="H9" i="11" s="1"/>
  <c r="F26" i="11"/>
  <c r="H26" i="11" s="1"/>
  <c r="F18" i="11"/>
  <c r="H18" i="11" s="1"/>
  <c r="F10" i="11"/>
  <c r="H10" i="11" s="1"/>
  <c r="F27" i="11"/>
  <c r="H27" i="11" s="1"/>
  <c r="F19" i="11"/>
  <c r="H19" i="11" s="1"/>
  <c r="F11" i="11"/>
  <c r="H11" i="11" s="1"/>
  <c r="F16" i="11"/>
  <c r="H16" i="11" s="1"/>
  <c r="F20" i="11"/>
  <c r="H20" i="11" s="1"/>
  <c r="F12" i="11"/>
  <c r="H12" i="11" s="1"/>
  <c r="F21" i="11"/>
  <c r="H21" i="11" s="1"/>
  <c r="F13" i="11"/>
  <c r="H13" i="11" s="1"/>
  <c r="F5" i="11"/>
  <c r="H5" i="11" s="1"/>
  <c r="F22" i="11"/>
  <c r="H22" i="11" s="1"/>
  <c r="F14" i="11"/>
  <c r="H14" i="11" s="1"/>
  <c r="F6" i="11"/>
  <c r="H6" i="11" s="1"/>
  <c r="F8" i="11"/>
  <c r="H8" i="11" s="1"/>
  <c r="F23" i="11"/>
  <c r="H23" i="11" s="1"/>
  <c r="F15" i="11"/>
  <c r="H15" i="11" s="1"/>
  <c r="F7" i="11"/>
  <c r="H7" i="11" s="1"/>
  <c r="F24" i="11"/>
  <c r="H24" i="11" s="1"/>
  <c r="E13" i="8"/>
  <c r="G13" i="8" s="1"/>
  <c r="E21" i="8"/>
  <c r="G21" i="8" s="1"/>
  <c r="E14" i="8"/>
  <c r="G14" i="8" s="1"/>
  <c r="E18" i="8"/>
  <c r="G18" i="8" s="1"/>
  <c r="E22" i="8"/>
  <c r="G22" i="8" s="1"/>
  <c r="E26" i="8"/>
  <c r="G26" i="8" s="1"/>
  <c r="E25" i="8"/>
  <c r="G25" i="8" s="1"/>
  <c r="E3" i="8"/>
  <c r="E15" i="8"/>
  <c r="G15" i="8" s="1"/>
  <c r="E23" i="8"/>
  <c r="G23" i="8" s="1"/>
  <c r="E5" i="8"/>
  <c r="G5" i="8" s="1"/>
  <c r="E6" i="8"/>
  <c r="G6" i="8" s="1"/>
  <c r="E10" i="8"/>
  <c r="G10" i="8" s="1"/>
  <c r="E11" i="8"/>
  <c r="G11" i="8" s="1"/>
  <c r="E19" i="8"/>
  <c r="G19" i="8" s="1"/>
  <c r="E27" i="8"/>
  <c r="G27" i="8" s="1"/>
  <c r="E9" i="8"/>
  <c r="G9" i="8" s="1"/>
  <c r="E17" i="8"/>
  <c r="G17" i="8" s="1"/>
  <c r="E7" i="8"/>
  <c r="G7" i="8" s="1"/>
  <c r="E12" i="8"/>
  <c r="G12" i="8" s="1"/>
  <c r="E20" i="8"/>
  <c r="G20" i="8" s="1"/>
  <c r="E28" i="8"/>
  <c r="G28" i="8" s="1"/>
  <c r="E29" i="8"/>
  <c r="E8" i="8"/>
  <c r="G8" i="8" s="1"/>
  <c r="E16" i="8"/>
  <c r="G16" i="8" s="1"/>
  <c r="B8" i="8" l="1"/>
  <c r="H7" i="8"/>
  <c r="H54" i="11"/>
  <c r="E54" i="11"/>
  <c r="L25" i="11"/>
  <c r="R24" i="11"/>
  <c r="E5" i="11"/>
  <c r="W4" i="11" s="1"/>
  <c r="C64" i="11"/>
  <c r="I63" i="11"/>
  <c r="E56" i="8"/>
  <c r="G56" i="8" s="1"/>
  <c r="E54" i="8"/>
  <c r="G54" i="8" s="1"/>
  <c r="E68" i="8"/>
  <c r="G68" i="8" s="1"/>
  <c r="E70" i="8"/>
  <c r="G70" i="8" s="1"/>
  <c r="E60" i="8"/>
  <c r="G60" i="8" s="1"/>
  <c r="E46" i="8"/>
  <c r="G46" i="8" s="1"/>
  <c r="E47" i="8"/>
  <c r="G47" i="8" s="1"/>
  <c r="E45" i="8"/>
  <c r="G45" i="8" s="1"/>
  <c r="E72" i="8"/>
  <c r="G72" i="8" s="1"/>
  <c r="E69" i="8"/>
  <c r="G69" i="8" s="1"/>
  <c r="E77" i="8"/>
  <c r="G77" i="8" s="1"/>
  <c r="E58" i="8"/>
  <c r="G58" i="8" s="1"/>
  <c r="E55" i="8"/>
  <c r="G55" i="8" s="1"/>
  <c r="E62" i="8"/>
  <c r="G62" i="8" s="1"/>
  <c r="E80" i="8"/>
  <c r="G80" i="8" s="1"/>
  <c r="E78" i="8"/>
  <c r="G78" i="8" s="1"/>
  <c r="N14" i="8"/>
  <c r="T13" i="8"/>
  <c r="V11" i="8"/>
  <c r="R11" i="8"/>
  <c r="P12" i="8"/>
  <c r="G39" i="8"/>
  <c r="D39" i="8"/>
  <c r="J39" i="8" s="1"/>
  <c r="H46" i="8"/>
  <c r="H8" i="13"/>
  <c r="G5" i="13"/>
  <c r="D5" i="13"/>
  <c r="J5" i="13" s="1"/>
  <c r="N24" i="11"/>
  <c r="P23" i="11"/>
  <c r="I6" i="11"/>
  <c r="I7" i="11"/>
  <c r="I8" i="11"/>
  <c r="D6" i="8"/>
  <c r="B9" i="8" l="1"/>
  <c r="H8" i="8"/>
  <c r="L26" i="11"/>
  <c r="R25" i="11"/>
  <c r="G54" i="11"/>
  <c r="K54" i="11" s="1"/>
  <c r="Y4" i="11" s="1"/>
  <c r="E55" i="11"/>
  <c r="G5" i="11"/>
  <c r="I64" i="11"/>
  <c r="C65" i="11"/>
  <c r="N15" i="8"/>
  <c r="T14" i="8"/>
  <c r="V12" i="8"/>
  <c r="R12" i="8"/>
  <c r="P13" i="8"/>
  <c r="F39" i="8"/>
  <c r="D40" i="8"/>
  <c r="J40" i="8" s="1"/>
  <c r="F6" i="8"/>
  <c r="J6" i="8"/>
  <c r="H47" i="8"/>
  <c r="F5" i="13"/>
  <c r="D6" i="13"/>
  <c r="J6" i="13" s="1"/>
  <c r="H9" i="13"/>
  <c r="N25" i="11"/>
  <c r="P24" i="11"/>
  <c r="E6" i="11"/>
  <c r="I9" i="11"/>
  <c r="D7" i="8"/>
  <c r="B10" i="8" l="1"/>
  <c r="H9" i="8"/>
  <c r="G55" i="11"/>
  <c r="K55" i="11" s="1"/>
  <c r="Y5" i="11" s="1"/>
  <c r="E56" i="11"/>
  <c r="L27" i="11"/>
  <c r="R26" i="11"/>
  <c r="E7" i="11"/>
  <c r="W6" i="11" s="1"/>
  <c r="W5" i="11"/>
  <c r="C66" i="11"/>
  <c r="I65" i="11"/>
  <c r="V13" i="8"/>
  <c r="R13" i="8"/>
  <c r="P14" i="8"/>
  <c r="N16" i="8"/>
  <c r="T15" i="8"/>
  <c r="F40" i="8"/>
  <c r="D41" i="8"/>
  <c r="J41" i="8" s="1"/>
  <c r="D8" i="8"/>
  <c r="J8" i="8" s="1"/>
  <c r="J7" i="8"/>
  <c r="H48" i="8"/>
  <c r="H10" i="13"/>
  <c r="D7" i="13"/>
  <c r="J7" i="13" s="1"/>
  <c r="F6" i="13"/>
  <c r="N26" i="11"/>
  <c r="P25" i="11"/>
  <c r="G6" i="11"/>
  <c r="I10" i="11"/>
  <c r="F7" i="8"/>
  <c r="B11" i="8" l="1"/>
  <c r="H10" i="8"/>
  <c r="L28" i="11"/>
  <c r="R27" i="11"/>
  <c r="E57" i="11"/>
  <c r="G56" i="11"/>
  <c r="K56" i="11" s="1"/>
  <c r="Y6" i="11" s="1"/>
  <c r="E8" i="11"/>
  <c r="W7" i="11" s="1"/>
  <c r="G7" i="11"/>
  <c r="C67" i="11"/>
  <c r="I66" i="11"/>
  <c r="V14" i="8"/>
  <c r="R14" i="8"/>
  <c r="P15" i="8"/>
  <c r="N17" i="8"/>
  <c r="T16" i="8"/>
  <c r="F41" i="8"/>
  <c r="D42" i="8"/>
  <c r="J42" i="8" s="1"/>
  <c r="F8" i="8"/>
  <c r="D9" i="8"/>
  <c r="J9" i="8" s="1"/>
  <c r="H49" i="8"/>
  <c r="D8" i="13"/>
  <c r="J8" i="13" s="1"/>
  <c r="F7" i="13"/>
  <c r="H11" i="13"/>
  <c r="N27" i="11"/>
  <c r="P26" i="11"/>
  <c r="I11" i="11"/>
  <c r="B12" i="8" l="1"/>
  <c r="H11" i="8"/>
  <c r="G57" i="11"/>
  <c r="K57" i="11" s="1"/>
  <c r="Y7" i="11" s="1"/>
  <c r="E58" i="11"/>
  <c r="L29" i="11"/>
  <c r="R28" i="11"/>
  <c r="G8" i="11"/>
  <c r="C68" i="11"/>
  <c r="I67" i="11"/>
  <c r="E9" i="11"/>
  <c r="W8" i="11" s="1"/>
  <c r="V15" i="8"/>
  <c r="R15" i="8"/>
  <c r="P16" i="8"/>
  <c r="N18" i="8"/>
  <c r="T17" i="8"/>
  <c r="F42" i="8"/>
  <c r="D43" i="8"/>
  <c r="J43" i="8" s="1"/>
  <c r="H50" i="8"/>
  <c r="D10" i="8"/>
  <c r="J10" i="8" s="1"/>
  <c r="F9" i="8"/>
  <c r="H12" i="13"/>
  <c r="D9" i="13"/>
  <c r="J9" i="13" s="1"/>
  <c r="F8" i="13"/>
  <c r="N28" i="11"/>
  <c r="P27" i="11"/>
  <c r="I12" i="11"/>
  <c r="H12" i="8" l="1"/>
  <c r="B13" i="8"/>
  <c r="G9" i="11"/>
  <c r="E59" i="11"/>
  <c r="G58" i="11"/>
  <c r="K58" i="11" s="1"/>
  <c r="Y8" i="11" s="1"/>
  <c r="E10" i="11"/>
  <c r="W9" i="11" s="1"/>
  <c r="L30" i="11"/>
  <c r="R29" i="11"/>
  <c r="I68" i="11"/>
  <c r="C69" i="11"/>
  <c r="V16" i="8"/>
  <c r="P17" i="8"/>
  <c r="R16" i="8"/>
  <c r="N19" i="8"/>
  <c r="T18" i="8"/>
  <c r="D44" i="8"/>
  <c r="J44" i="8" s="1"/>
  <c r="F43" i="8"/>
  <c r="D11" i="8"/>
  <c r="J11" i="8" s="1"/>
  <c r="H51" i="8"/>
  <c r="F10" i="8"/>
  <c r="F9" i="13"/>
  <c r="D10" i="13"/>
  <c r="J10" i="13" s="1"/>
  <c r="H13" i="13"/>
  <c r="N29" i="11"/>
  <c r="W28" i="11" s="1"/>
  <c r="P28" i="11"/>
  <c r="I13" i="11"/>
  <c r="B14" i="8" l="1"/>
  <c r="H13" i="8"/>
  <c r="L31" i="11"/>
  <c r="R30" i="11"/>
  <c r="E11" i="11"/>
  <c r="W10" i="11" s="1"/>
  <c r="G10" i="11"/>
  <c r="G59" i="11"/>
  <c r="K59" i="11" s="1"/>
  <c r="Y9" i="11" s="1"/>
  <c r="E60" i="11"/>
  <c r="I69" i="11"/>
  <c r="C70" i="11"/>
  <c r="N20" i="8"/>
  <c r="T19" i="8"/>
  <c r="V17" i="8"/>
  <c r="R17" i="8"/>
  <c r="P18" i="8"/>
  <c r="F44" i="8"/>
  <c r="D45" i="8"/>
  <c r="J45" i="8" s="1"/>
  <c r="H52" i="8"/>
  <c r="F11" i="8"/>
  <c r="D12" i="8"/>
  <c r="J12" i="8" s="1"/>
  <c r="H14" i="13"/>
  <c r="F10" i="13"/>
  <c r="D11" i="13"/>
  <c r="J11" i="13" s="1"/>
  <c r="N30" i="11"/>
  <c r="W29" i="11" s="1"/>
  <c r="P29" i="11"/>
  <c r="I14" i="11"/>
  <c r="H14" i="8" l="1"/>
  <c r="B15" i="8"/>
  <c r="G11" i="11"/>
  <c r="E12" i="11"/>
  <c r="W11" i="11" s="1"/>
  <c r="E61" i="11"/>
  <c r="G60" i="11"/>
  <c r="K60" i="11" s="1"/>
  <c r="Y10" i="11" s="1"/>
  <c r="L32" i="11"/>
  <c r="R31" i="11"/>
  <c r="I70" i="11"/>
  <c r="C71" i="11"/>
  <c r="V18" i="8"/>
  <c r="R18" i="8"/>
  <c r="P19" i="8"/>
  <c r="N21" i="8"/>
  <c r="T20" i="8"/>
  <c r="F45" i="8"/>
  <c r="D46" i="8"/>
  <c r="J46" i="8" s="1"/>
  <c r="D13" i="8"/>
  <c r="J13" i="8" s="1"/>
  <c r="F12" i="8"/>
  <c r="H53" i="8"/>
  <c r="F11" i="13"/>
  <c r="D12" i="13"/>
  <c r="J12" i="13" s="1"/>
  <c r="H15" i="13"/>
  <c r="N31" i="11"/>
  <c r="W30" i="11" s="1"/>
  <c r="P30" i="11"/>
  <c r="I15" i="11"/>
  <c r="H15" i="8" l="1"/>
  <c r="B16" i="8"/>
  <c r="E13" i="11"/>
  <c r="W12" i="11" s="1"/>
  <c r="G12" i="11"/>
  <c r="L33" i="11"/>
  <c r="R32" i="11"/>
  <c r="G61" i="11"/>
  <c r="K61" i="11" s="1"/>
  <c r="Y11" i="11" s="1"/>
  <c r="E62" i="11"/>
  <c r="C72" i="11"/>
  <c r="I71" i="11"/>
  <c r="V19" i="8"/>
  <c r="R19" i="8"/>
  <c r="P20" i="8"/>
  <c r="N22" i="8"/>
  <c r="T21" i="8"/>
  <c r="D47" i="8"/>
  <c r="J47" i="8" s="1"/>
  <c r="F46" i="8"/>
  <c r="H54" i="8"/>
  <c r="D14" i="8"/>
  <c r="J14" i="8" s="1"/>
  <c r="F13" i="8"/>
  <c r="H16" i="13"/>
  <c r="F12" i="13"/>
  <c r="D13" i="13"/>
  <c r="J13" i="13" s="1"/>
  <c r="N32" i="11"/>
  <c r="W31" i="11" s="1"/>
  <c r="P31" i="11"/>
  <c r="I16" i="11"/>
  <c r="H16" i="8" l="1"/>
  <c r="B17" i="8"/>
  <c r="G13" i="11"/>
  <c r="E14" i="11"/>
  <c r="W13" i="11" s="1"/>
  <c r="L34" i="11"/>
  <c r="R33" i="11"/>
  <c r="E63" i="11"/>
  <c r="G62" i="11"/>
  <c r="K62" i="11" s="1"/>
  <c r="Y12" i="11" s="1"/>
  <c r="C73" i="11"/>
  <c r="I72" i="11"/>
  <c r="N23" i="8"/>
  <c r="T22" i="8"/>
  <c r="V20" i="8"/>
  <c r="R20" i="8"/>
  <c r="P21" i="8"/>
  <c r="D48" i="8"/>
  <c r="J48" i="8" s="1"/>
  <c r="F47" i="8"/>
  <c r="F14" i="8"/>
  <c r="D15" i="8"/>
  <c r="J15" i="8" s="1"/>
  <c r="H55" i="8"/>
  <c r="D14" i="13"/>
  <c r="J14" i="13" s="1"/>
  <c r="F13" i="13"/>
  <c r="H17" i="13"/>
  <c r="N33" i="11"/>
  <c r="W32" i="11" s="1"/>
  <c r="P32" i="11"/>
  <c r="I17" i="11"/>
  <c r="H17" i="8" l="1"/>
  <c r="B18" i="8"/>
  <c r="G14" i="11"/>
  <c r="E15" i="11"/>
  <c r="W14" i="11" s="1"/>
  <c r="G63" i="11"/>
  <c r="K63" i="11" s="1"/>
  <c r="Y13" i="11" s="1"/>
  <c r="E64" i="11"/>
  <c r="L35" i="11"/>
  <c r="R34" i="11"/>
  <c r="C74" i="11"/>
  <c r="I73" i="11"/>
  <c r="V21" i="8"/>
  <c r="R21" i="8"/>
  <c r="P22" i="8"/>
  <c r="N24" i="8"/>
  <c r="T23" i="8"/>
  <c r="F48" i="8"/>
  <c r="D49" i="8"/>
  <c r="J49" i="8" s="1"/>
  <c r="H56" i="8"/>
  <c r="F15" i="8"/>
  <c r="D16" i="8"/>
  <c r="J16" i="8" s="1"/>
  <c r="H18" i="13"/>
  <c r="D15" i="13"/>
  <c r="J15" i="13" s="1"/>
  <c r="F14" i="13"/>
  <c r="N34" i="11"/>
  <c r="W33" i="11" s="1"/>
  <c r="P33" i="11"/>
  <c r="I18" i="11"/>
  <c r="B19" i="8" l="1"/>
  <c r="H18" i="8"/>
  <c r="G15" i="11"/>
  <c r="E16" i="11"/>
  <c r="W15" i="11" s="1"/>
  <c r="L36" i="11"/>
  <c r="R35" i="11"/>
  <c r="E65" i="11"/>
  <c r="G64" i="11"/>
  <c r="K64" i="11" s="1"/>
  <c r="Y14" i="11" s="1"/>
  <c r="C75" i="11"/>
  <c r="I74" i="11"/>
  <c r="N25" i="8"/>
  <c r="T24" i="8"/>
  <c r="V22" i="8"/>
  <c r="R22" i="8"/>
  <c r="P23" i="8"/>
  <c r="F49" i="8"/>
  <c r="D50" i="8"/>
  <c r="J50" i="8" s="1"/>
  <c r="H57" i="8"/>
  <c r="D17" i="8"/>
  <c r="J17" i="8" s="1"/>
  <c r="F16" i="8"/>
  <c r="D16" i="13"/>
  <c r="J16" i="13" s="1"/>
  <c r="F15" i="13"/>
  <c r="H19" i="13"/>
  <c r="N35" i="11"/>
  <c r="W34" i="11" s="1"/>
  <c r="P34" i="11"/>
  <c r="I19" i="11"/>
  <c r="H19" i="8" l="1"/>
  <c r="B20" i="8"/>
  <c r="G16" i="11"/>
  <c r="E17" i="11"/>
  <c r="W16" i="11" s="1"/>
  <c r="G65" i="11"/>
  <c r="K65" i="11" s="1"/>
  <c r="Y15" i="11" s="1"/>
  <c r="E66" i="11"/>
  <c r="L37" i="11"/>
  <c r="R36" i="11"/>
  <c r="C76" i="11"/>
  <c r="I75" i="11"/>
  <c r="V23" i="8"/>
  <c r="R23" i="8"/>
  <c r="P24" i="8"/>
  <c r="N26" i="8"/>
  <c r="T25" i="8"/>
  <c r="D51" i="8"/>
  <c r="J51" i="8" s="1"/>
  <c r="F50" i="8"/>
  <c r="D18" i="8"/>
  <c r="J18" i="8" s="1"/>
  <c r="H58" i="8"/>
  <c r="F17" i="8"/>
  <c r="F16" i="13"/>
  <c r="D17" i="13"/>
  <c r="J17" i="13" s="1"/>
  <c r="H20" i="13"/>
  <c r="N36" i="11"/>
  <c r="W35" i="11" s="1"/>
  <c r="P35" i="11"/>
  <c r="I20" i="11"/>
  <c r="B21" i="8" l="1"/>
  <c r="H20" i="8"/>
  <c r="I76" i="11"/>
  <c r="C77" i="11"/>
  <c r="E18" i="11"/>
  <c r="W17" i="11" s="1"/>
  <c r="G17" i="11"/>
  <c r="L38" i="11"/>
  <c r="R37" i="11"/>
  <c r="E67" i="11"/>
  <c r="G66" i="11"/>
  <c r="K66" i="11" s="1"/>
  <c r="Y16" i="11" s="1"/>
  <c r="V24" i="8"/>
  <c r="R24" i="8"/>
  <c r="P25" i="8"/>
  <c r="N27" i="8"/>
  <c r="T26" i="8"/>
  <c r="F51" i="8"/>
  <c r="D52" i="8"/>
  <c r="J52" i="8" s="1"/>
  <c r="D19" i="8"/>
  <c r="J19" i="8" s="1"/>
  <c r="H59" i="8"/>
  <c r="F18" i="8"/>
  <c r="H21" i="13"/>
  <c r="F17" i="13"/>
  <c r="D18" i="13"/>
  <c r="J18" i="13" s="1"/>
  <c r="N37" i="11"/>
  <c r="W36" i="11" s="1"/>
  <c r="P36" i="11"/>
  <c r="I21" i="11"/>
  <c r="I77" i="11" l="1"/>
  <c r="C78" i="11"/>
  <c r="H21" i="8"/>
  <c r="B22" i="8"/>
  <c r="E19" i="11"/>
  <c r="W18" i="11" s="1"/>
  <c r="G18" i="11"/>
  <c r="L39" i="11"/>
  <c r="R38" i="11"/>
  <c r="E68" i="11"/>
  <c r="G67" i="11"/>
  <c r="K67" i="11" s="1"/>
  <c r="Y17" i="11" s="1"/>
  <c r="N28" i="8"/>
  <c r="T28" i="8" s="1"/>
  <c r="T27" i="8"/>
  <c r="V25" i="8"/>
  <c r="P26" i="8"/>
  <c r="R25" i="8"/>
  <c r="D20" i="8"/>
  <c r="J20" i="8" s="1"/>
  <c r="F52" i="8"/>
  <c r="D53" i="8"/>
  <c r="J53" i="8" s="1"/>
  <c r="F19" i="8"/>
  <c r="H61" i="8"/>
  <c r="H60" i="8"/>
  <c r="H22" i="13"/>
  <c r="F18" i="13"/>
  <c r="D19" i="13"/>
  <c r="J19" i="13" s="1"/>
  <c r="N38" i="11"/>
  <c r="W37" i="11" s="1"/>
  <c r="P37" i="11"/>
  <c r="I22" i="11"/>
  <c r="B23" i="8" l="1"/>
  <c r="H22" i="8"/>
  <c r="T29" i="8"/>
  <c r="V29" i="8" s="1"/>
  <c r="T30" i="8"/>
  <c r="V30" i="8" s="1"/>
  <c r="C79" i="11"/>
  <c r="I78" i="11"/>
  <c r="G19" i="11"/>
  <c r="E20" i="11"/>
  <c r="W19" i="11" s="1"/>
  <c r="G68" i="11"/>
  <c r="K68" i="11" s="1"/>
  <c r="Y18" i="11" s="1"/>
  <c r="E69" i="11"/>
  <c r="L40" i="11"/>
  <c r="R39" i="11"/>
  <c r="V26" i="8"/>
  <c r="P27" i="8"/>
  <c r="R26" i="8"/>
  <c r="F20" i="8"/>
  <c r="D21" i="8"/>
  <c r="J21" i="8" s="1"/>
  <c r="F53" i="8"/>
  <c r="D54" i="8"/>
  <c r="J54" i="8" s="1"/>
  <c r="H23" i="13"/>
  <c r="F19" i="13"/>
  <c r="D20" i="13"/>
  <c r="J20" i="13" s="1"/>
  <c r="N39" i="11"/>
  <c r="W38" i="11" s="1"/>
  <c r="P38" i="11"/>
  <c r="I23" i="11"/>
  <c r="C80" i="11" l="1"/>
  <c r="I79" i="11"/>
  <c r="H23" i="8"/>
  <c r="B24" i="8"/>
  <c r="E21" i="11"/>
  <c r="W20" i="11" s="1"/>
  <c r="G20" i="11"/>
  <c r="L41" i="11"/>
  <c r="R40" i="11"/>
  <c r="G69" i="11"/>
  <c r="K69" i="11" s="1"/>
  <c r="Y19" i="11" s="1"/>
  <c r="E70" i="11"/>
  <c r="V27" i="8"/>
  <c r="R27" i="8"/>
  <c r="P28" i="8"/>
  <c r="F21" i="8"/>
  <c r="D22" i="8"/>
  <c r="J22" i="8" s="1"/>
  <c r="D55" i="8"/>
  <c r="J55" i="8" s="1"/>
  <c r="F54" i="8"/>
  <c r="F20" i="13"/>
  <c r="D21" i="13"/>
  <c r="J21" i="13" s="1"/>
  <c r="H24" i="13"/>
  <c r="N40" i="11"/>
  <c r="W39" i="11" s="1"/>
  <c r="P39" i="11"/>
  <c r="I24" i="11"/>
  <c r="H24" i="8" l="1"/>
  <c r="B25" i="8"/>
  <c r="C81" i="11"/>
  <c r="I80" i="11"/>
  <c r="E22" i="11"/>
  <c r="W21" i="11" s="1"/>
  <c r="G21" i="11"/>
  <c r="E71" i="11"/>
  <c r="G70" i="11"/>
  <c r="K70" i="11" s="1"/>
  <c r="Y20" i="11" s="1"/>
  <c r="L42" i="11"/>
  <c r="R41" i="11"/>
  <c r="V28" i="8"/>
  <c r="R28" i="8"/>
  <c r="P29" i="8"/>
  <c r="F22" i="8"/>
  <c r="D23" i="8"/>
  <c r="J23" i="8" s="1"/>
  <c r="D56" i="8"/>
  <c r="J56" i="8" s="1"/>
  <c r="F55" i="8"/>
  <c r="H25" i="13"/>
  <c r="D22" i="13"/>
  <c r="J22" i="13" s="1"/>
  <c r="F21" i="13"/>
  <c r="N41" i="11"/>
  <c r="W40" i="11" s="1"/>
  <c r="P40" i="11"/>
  <c r="I25" i="11"/>
  <c r="C82" i="11" l="1"/>
  <c r="I81" i="11"/>
  <c r="H25" i="8"/>
  <c r="B26" i="8"/>
  <c r="G22" i="11"/>
  <c r="E23" i="11"/>
  <c r="W22" i="11" s="1"/>
  <c r="G71" i="11"/>
  <c r="K71" i="11" s="1"/>
  <c r="Y21" i="11" s="1"/>
  <c r="E72" i="11"/>
  <c r="L43" i="11"/>
  <c r="R42" i="11"/>
  <c r="D24" i="8"/>
  <c r="J24" i="8" s="1"/>
  <c r="F23" i="8"/>
  <c r="D57" i="8"/>
  <c r="J57" i="8" s="1"/>
  <c r="F56" i="8"/>
  <c r="D23" i="13"/>
  <c r="J23" i="13" s="1"/>
  <c r="F22" i="13"/>
  <c r="H26" i="13"/>
  <c r="H27" i="13"/>
  <c r="N42" i="11"/>
  <c r="W41" i="11" s="1"/>
  <c r="P41" i="11"/>
  <c r="I27" i="11"/>
  <c r="I26" i="11"/>
  <c r="E24" i="11"/>
  <c r="W23" i="11" s="1"/>
  <c r="G23" i="11"/>
  <c r="B27" i="8" l="1"/>
  <c r="H26" i="8"/>
  <c r="C83" i="11"/>
  <c r="I82" i="11"/>
  <c r="L44" i="11"/>
  <c r="R43" i="11"/>
  <c r="E73" i="11"/>
  <c r="G72" i="11"/>
  <c r="K72" i="11" s="1"/>
  <c r="Y22" i="11" s="1"/>
  <c r="F24" i="8"/>
  <c r="D25" i="8"/>
  <c r="J25" i="8" s="1"/>
  <c r="F57" i="8"/>
  <c r="D58" i="8"/>
  <c r="J58" i="8" s="1"/>
  <c r="D24" i="13"/>
  <c r="J24" i="13" s="1"/>
  <c r="F23" i="13"/>
  <c r="N43" i="11"/>
  <c r="W42" i="11" s="1"/>
  <c r="P42" i="11"/>
  <c r="E25" i="11"/>
  <c r="W24" i="11" s="1"/>
  <c r="G24" i="11"/>
  <c r="C84" i="11" l="1"/>
  <c r="I83" i="11"/>
  <c r="B28" i="8"/>
  <c r="H28" i="8" s="1"/>
  <c r="H27" i="8"/>
  <c r="E74" i="11"/>
  <c r="G73" i="11"/>
  <c r="K73" i="11" s="1"/>
  <c r="Y23" i="11" s="1"/>
  <c r="L45" i="11"/>
  <c r="R44" i="11"/>
  <c r="F25" i="8"/>
  <c r="D26" i="8"/>
  <c r="J26" i="8" s="1"/>
  <c r="D59" i="8"/>
  <c r="F58" i="8"/>
  <c r="D25" i="13"/>
  <c r="J25" i="13" s="1"/>
  <c r="F24" i="13"/>
  <c r="N44" i="11"/>
  <c r="W43" i="11" s="1"/>
  <c r="P43" i="11"/>
  <c r="E26" i="11"/>
  <c r="W25" i="11" s="1"/>
  <c r="G25" i="11"/>
  <c r="C85" i="11" l="1"/>
  <c r="I84" i="11"/>
  <c r="R45" i="11"/>
  <c r="L46" i="11"/>
  <c r="R46" i="11" s="1"/>
  <c r="E75" i="11"/>
  <c r="G74" i="11"/>
  <c r="K74" i="11" s="1"/>
  <c r="Y24" i="11" s="1"/>
  <c r="D60" i="8"/>
  <c r="J59" i="8"/>
  <c r="D27" i="8"/>
  <c r="J27" i="8" s="1"/>
  <c r="F26" i="8"/>
  <c r="F59" i="8"/>
  <c r="F25" i="13"/>
  <c r="D26" i="13"/>
  <c r="J26" i="13" s="1"/>
  <c r="N45" i="11"/>
  <c r="W44" i="11" s="1"/>
  <c r="P44" i="11"/>
  <c r="G26" i="11"/>
  <c r="E27" i="11"/>
  <c r="W26" i="11" s="1"/>
  <c r="C86" i="11" l="1"/>
  <c r="I85" i="11"/>
  <c r="G75" i="11"/>
  <c r="K75" i="11" s="1"/>
  <c r="Y25" i="11" s="1"/>
  <c r="E76" i="11"/>
  <c r="D61" i="8"/>
  <c r="J60" i="8"/>
  <c r="F27" i="8"/>
  <c r="D28" i="8"/>
  <c r="J28" i="8" s="1"/>
  <c r="F60" i="8"/>
  <c r="F26" i="13"/>
  <c r="D27" i="13"/>
  <c r="N46" i="11"/>
  <c r="P46" i="11" s="1"/>
  <c r="P45" i="11"/>
  <c r="G27" i="11"/>
  <c r="E28" i="11"/>
  <c r="W27" i="11" s="1"/>
  <c r="J27" i="13" l="1"/>
  <c r="D28" i="13"/>
  <c r="J28" i="13" s="1"/>
  <c r="C87" i="11"/>
  <c r="I86" i="11"/>
  <c r="G76" i="11"/>
  <c r="K76" i="11" s="1"/>
  <c r="Y26" i="11" s="1"/>
  <c r="E77" i="11"/>
  <c r="J61" i="8"/>
  <c r="D62" i="8"/>
  <c r="F61" i="8"/>
  <c r="F28" i="8"/>
  <c r="D29" i="8"/>
  <c r="F27" i="13"/>
  <c r="C88" i="11" l="1"/>
  <c r="I87" i="11"/>
  <c r="G77" i="11"/>
  <c r="K77" i="11" s="1"/>
  <c r="Y27" i="11" s="1"/>
  <c r="E78" i="11"/>
  <c r="J62" i="8"/>
  <c r="F62" i="8"/>
  <c r="D63" i="8"/>
  <c r="C89" i="11" l="1"/>
  <c r="I88" i="11"/>
  <c r="E79" i="11"/>
  <c r="G78" i="11"/>
  <c r="K78" i="11" s="1"/>
  <c r="Y28" i="11" s="1"/>
  <c r="J63" i="8"/>
  <c r="D64" i="8"/>
  <c r="F63" i="8"/>
  <c r="C90" i="11" l="1"/>
  <c r="I89" i="11"/>
  <c r="E80" i="11"/>
  <c r="G79" i="11"/>
  <c r="K79" i="11" s="1"/>
  <c r="Y29" i="11" s="1"/>
  <c r="J64" i="8"/>
  <c r="F64" i="8"/>
  <c r="D65" i="8"/>
  <c r="C91" i="11" l="1"/>
  <c r="I90" i="11"/>
  <c r="E81" i="11"/>
  <c r="G80" i="11"/>
  <c r="K80" i="11" s="1"/>
  <c r="Y30" i="11" s="1"/>
  <c r="J65" i="8"/>
  <c r="F65" i="8"/>
  <c r="D66" i="8"/>
  <c r="C92" i="11" l="1"/>
  <c r="I91" i="11"/>
  <c r="E82" i="11"/>
  <c r="G81" i="11"/>
  <c r="K81" i="11" s="1"/>
  <c r="Y31" i="11" s="1"/>
  <c r="J66" i="8"/>
  <c r="F66" i="8"/>
  <c r="D67" i="8"/>
  <c r="C93" i="11" l="1"/>
  <c r="I92" i="11"/>
  <c r="E83" i="11"/>
  <c r="G82" i="11"/>
  <c r="K82" i="11" s="1"/>
  <c r="Y32" i="11" s="1"/>
  <c r="J67" i="8"/>
  <c r="D68" i="8"/>
  <c r="F67" i="8"/>
  <c r="C94" i="11" l="1"/>
  <c r="I93" i="11"/>
  <c r="E84" i="11"/>
  <c r="G83" i="11"/>
  <c r="K83" i="11" s="1"/>
  <c r="Y33" i="11" s="1"/>
  <c r="J68" i="8"/>
  <c r="D69" i="8"/>
  <c r="F68" i="8"/>
  <c r="C95" i="11" l="1"/>
  <c r="I94" i="11"/>
  <c r="E85" i="11"/>
  <c r="G84" i="11"/>
  <c r="K84" i="11" s="1"/>
  <c r="Y34" i="11" s="1"/>
  <c r="J69" i="8"/>
  <c r="D70" i="8"/>
  <c r="F69" i="8"/>
  <c r="C96" i="11" l="1"/>
  <c r="I95" i="11"/>
  <c r="E86" i="11"/>
  <c r="G85" i="11"/>
  <c r="K85" i="11" s="1"/>
  <c r="Y35" i="11" s="1"/>
  <c r="J70" i="8"/>
  <c r="D71" i="8"/>
  <c r="F70" i="8"/>
  <c r="C97" i="11" l="1"/>
  <c r="I96" i="11"/>
  <c r="E87" i="11"/>
  <c r="G86" i="11"/>
  <c r="K86" i="11" s="1"/>
  <c r="Y36" i="11" s="1"/>
  <c r="J71" i="8"/>
  <c r="D72" i="8"/>
  <c r="F71" i="8"/>
  <c r="C98" i="11" l="1"/>
  <c r="I97" i="11"/>
  <c r="E88" i="11"/>
  <c r="G87" i="11"/>
  <c r="K87" i="11" s="1"/>
  <c r="Y37" i="11" s="1"/>
  <c r="J72" i="8"/>
  <c r="D73" i="8"/>
  <c r="F72" i="8"/>
  <c r="C99" i="11" l="1"/>
  <c r="I98" i="11"/>
  <c r="E89" i="11"/>
  <c r="G88" i="11"/>
  <c r="K88" i="11" s="1"/>
  <c r="Y38" i="11" s="1"/>
  <c r="J73" i="8"/>
  <c r="D74" i="8"/>
  <c r="F73" i="8"/>
  <c r="C100" i="11" l="1"/>
  <c r="I99" i="11"/>
  <c r="E90" i="11"/>
  <c r="G89" i="11"/>
  <c r="K89" i="11" s="1"/>
  <c r="Y39" i="11" s="1"/>
  <c r="J74" i="8"/>
  <c r="D75" i="8"/>
  <c r="F74" i="8"/>
  <c r="C101" i="11" l="1"/>
  <c r="I100" i="11"/>
  <c r="E91" i="11"/>
  <c r="G90" i="11"/>
  <c r="K90" i="11" s="1"/>
  <c r="Y40" i="11" s="1"/>
  <c r="J75" i="8"/>
  <c r="F75" i="8"/>
  <c r="D76" i="8"/>
  <c r="C102" i="11" l="1"/>
  <c r="I101" i="11"/>
  <c r="E92" i="11"/>
  <c r="G91" i="11"/>
  <c r="K91" i="11" s="1"/>
  <c r="Y41" i="11" s="1"/>
  <c r="J76" i="8"/>
  <c r="D77" i="8"/>
  <c r="F76" i="8"/>
  <c r="C103" i="11" l="1"/>
  <c r="I102" i="11"/>
  <c r="E93" i="11"/>
  <c r="G92" i="11"/>
  <c r="K92" i="11" s="1"/>
  <c r="Y42" i="11" s="1"/>
  <c r="J77" i="8"/>
  <c r="D78" i="8"/>
  <c r="F77" i="8"/>
  <c r="C104" i="11" l="1"/>
  <c r="I103" i="11"/>
  <c r="E94" i="11"/>
  <c r="G93" i="11"/>
  <c r="K93" i="11" s="1"/>
  <c r="Y43" i="11" s="1"/>
  <c r="J78" i="8"/>
  <c r="D79" i="8"/>
  <c r="F78" i="8"/>
  <c r="C105" i="11" l="1"/>
  <c r="I104" i="11"/>
  <c r="E95" i="11"/>
  <c r="G94" i="11"/>
  <c r="K94" i="11" s="1"/>
  <c r="Y44" i="11" s="1"/>
  <c r="J79" i="8"/>
  <c r="D80" i="8"/>
  <c r="F79" i="8"/>
  <c r="C106" i="11" l="1"/>
  <c r="I105" i="11"/>
  <c r="E96" i="11"/>
  <c r="G95" i="11"/>
  <c r="K95" i="11" s="1"/>
  <c r="Y45" i="11" s="1"/>
  <c r="J80" i="8"/>
  <c r="D81" i="8"/>
  <c r="F80" i="8"/>
  <c r="C107" i="11" l="1"/>
  <c r="I106" i="11"/>
  <c r="E97" i="11"/>
  <c r="G96" i="11"/>
  <c r="K96" i="11" s="1"/>
  <c r="J81" i="8"/>
  <c r="F81" i="8"/>
  <c r="D82" i="8"/>
  <c r="C108" i="11" l="1"/>
  <c r="I107" i="11"/>
  <c r="E98" i="11"/>
  <c r="G97" i="11"/>
  <c r="K97" i="11" s="1"/>
  <c r="J82" i="8"/>
  <c r="F82" i="8"/>
  <c r="D83" i="8"/>
  <c r="C109" i="11" l="1"/>
  <c r="I108" i="11"/>
  <c r="E99" i="11"/>
  <c r="G98" i="11"/>
  <c r="K98" i="11" s="1"/>
  <c r="J83" i="8"/>
  <c r="D84" i="8"/>
  <c r="F83" i="8"/>
  <c r="C110" i="11" l="1"/>
  <c r="I109" i="11"/>
  <c r="E100" i="11"/>
  <c r="G99" i="11"/>
  <c r="K99" i="11" s="1"/>
  <c r="J84" i="8"/>
  <c r="D85" i="8"/>
  <c r="F84" i="8"/>
  <c r="C111" i="11" l="1"/>
  <c r="I110" i="11"/>
  <c r="G100" i="11"/>
  <c r="K100" i="11" s="1"/>
  <c r="E101" i="11"/>
  <c r="J85" i="8"/>
  <c r="F85" i="8"/>
  <c r="E102" i="11" l="1"/>
  <c r="G101" i="11"/>
  <c r="K101" i="11" s="1"/>
  <c r="C112" i="11"/>
  <c r="I111" i="11"/>
  <c r="C113" i="11" l="1"/>
  <c r="I112" i="11"/>
  <c r="E103" i="11"/>
  <c r="G102" i="11"/>
  <c r="K102" i="11" s="1"/>
  <c r="E104" i="11" l="1"/>
  <c r="G103" i="11"/>
  <c r="K103" i="11" s="1"/>
  <c r="C114" i="11"/>
  <c r="I113" i="11"/>
  <c r="C115" i="11" l="1"/>
  <c r="I114" i="11"/>
  <c r="E105" i="11"/>
  <c r="G104" i="11"/>
  <c r="K104" i="11" s="1"/>
  <c r="E106" i="11" l="1"/>
  <c r="G105" i="11"/>
  <c r="K105" i="11" s="1"/>
  <c r="C116" i="11"/>
  <c r="I115" i="11"/>
  <c r="C117" i="11" l="1"/>
  <c r="I116" i="11"/>
  <c r="E107" i="11"/>
  <c r="G106" i="11"/>
  <c r="K106" i="11" s="1"/>
  <c r="E108" i="11" l="1"/>
  <c r="G107" i="11"/>
  <c r="K107" i="11" s="1"/>
  <c r="C118" i="11"/>
  <c r="I117" i="11"/>
  <c r="C119" i="11" l="1"/>
  <c r="I118" i="11"/>
  <c r="E109" i="11"/>
  <c r="G108" i="11"/>
  <c r="K108" i="11" s="1"/>
  <c r="E110" i="11" l="1"/>
  <c r="G109" i="11"/>
  <c r="K109" i="11" s="1"/>
  <c r="C120" i="11"/>
  <c r="I119" i="11"/>
  <c r="C121" i="11" l="1"/>
  <c r="I120" i="11"/>
  <c r="E111" i="11"/>
  <c r="G110" i="11"/>
  <c r="K110" i="11" s="1"/>
  <c r="E112" i="11" l="1"/>
  <c r="G111" i="11"/>
  <c r="K111" i="11" s="1"/>
  <c r="C122" i="11"/>
  <c r="I121" i="11"/>
  <c r="C123" i="11" l="1"/>
  <c r="I122" i="11"/>
  <c r="E113" i="11"/>
  <c r="G112" i="11"/>
  <c r="K112" i="11" s="1"/>
  <c r="E114" i="11" l="1"/>
  <c r="G113" i="11"/>
  <c r="K113" i="11" s="1"/>
  <c r="C124" i="11"/>
  <c r="I123" i="11"/>
  <c r="C125" i="11" l="1"/>
  <c r="I124" i="11"/>
  <c r="E115" i="11"/>
  <c r="G114" i="11"/>
  <c r="K114" i="11" s="1"/>
  <c r="E116" i="11" l="1"/>
  <c r="G115" i="11"/>
  <c r="K115" i="11" s="1"/>
  <c r="C126" i="11"/>
  <c r="I125" i="11"/>
  <c r="C127" i="11" l="1"/>
  <c r="I126" i="11"/>
  <c r="E117" i="11"/>
  <c r="G116" i="11"/>
  <c r="K116" i="11" s="1"/>
  <c r="E118" i="11" l="1"/>
  <c r="G117" i="11"/>
  <c r="K117" i="11" s="1"/>
  <c r="C128" i="11"/>
  <c r="I127" i="11"/>
  <c r="C129" i="11" l="1"/>
  <c r="I128" i="11"/>
  <c r="E119" i="11"/>
  <c r="G118" i="11"/>
  <c r="K118" i="11" s="1"/>
  <c r="E120" i="11" l="1"/>
  <c r="G119" i="11"/>
  <c r="K119" i="11" s="1"/>
  <c r="C130" i="11"/>
  <c r="I129" i="11"/>
  <c r="C131" i="11" l="1"/>
  <c r="I130" i="11"/>
  <c r="E121" i="11"/>
  <c r="G120" i="11"/>
  <c r="K120" i="11" s="1"/>
  <c r="E122" i="11" l="1"/>
  <c r="G121" i="11"/>
  <c r="K121" i="11" s="1"/>
  <c r="C132" i="11"/>
  <c r="I131" i="11"/>
  <c r="C133" i="11" l="1"/>
  <c r="I132" i="11"/>
  <c r="E123" i="11"/>
  <c r="G122" i="11"/>
  <c r="K122" i="11" s="1"/>
  <c r="E124" i="11" l="1"/>
  <c r="G123" i="11"/>
  <c r="K123" i="11" s="1"/>
  <c r="C134" i="11"/>
  <c r="I133" i="11"/>
  <c r="C135" i="11" l="1"/>
  <c r="I134" i="11"/>
  <c r="E125" i="11"/>
  <c r="G124" i="11"/>
  <c r="K124" i="11" s="1"/>
  <c r="E126" i="11" l="1"/>
  <c r="G125" i="11"/>
  <c r="K125" i="11" s="1"/>
  <c r="C136" i="11"/>
  <c r="I135" i="11"/>
  <c r="C137" i="11" l="1"/>
  <c r="I136" i="11"/>
  <c r="E127" i="11"/>
  <c r="G126" i="11"/>
  <c r="K126" i="11" s="1"/>
  <c r="E128" i="11" l="1"/>
  <c r="G127" i="11"/>
  <c r="K127" i="11" s="1"/>
  <c r="C138" i="11"/>
  <c r="I137" i="11"/>
  <c r="C139" i="11" l="1"/>
  <c r="I138" i="11"/>
  <c r="E129" i="11"/>
  <c r="G128" i="11"/>
  <c r="K128" i="11" s="1"/>
  <c r="E130" i="11" l="1"/>
  <c r="G129" i="11"/>
  <c r="K129" i="11" s="1"/>
  <c r="C140" i="11"/>
  <c r="I139" i="11"/>
  <c r="C141" i="11" l="1"/>
  <c r="I140" i="11"/>
  <c r="E131" i="11"/>
  <c r="G130" i="11"/>
  <c r="K130" i="11" s="1"/>
  <c r="E132" i="11" l="1"/>
  <c r="G131" i="11"/>
  <c r="K131" i="11" s="1"/>
  <c r="C142" i="11"/>
  <c r="I141" i="11"/>
  <c r="C143" i="11" l="1"/>
  <c r="I142" i="11"/>
  <c r="E133" i="11"/>
  <c r="G132" i="11"/>
  <c r="K132" i="11" s="1"/>
  <c r="E134" i="11" l="1"/>
  <c r="G133" i="11"/>
  <c r="K133" i="11" s="1"/>
  <c r="C144" i="11"/>
  <c r="I143" i="11"/>
  <c r="C145" i="11" l="1"/>
  <c r="I144" i="11"/>
  <c r="E135" i="11"/>
  <c r="G134" i="11"/>
  <c r="K134" i="11" s="1"/>
  <c r="E136" i="11" l="1"/>
  <c r="G135" i="11"/>
  <c r="K135" i="11" s="1"/>
  <c r="C146" i="11"/>
  <c r="I145" i="11"/>
  <c r="C147" i="11" l="1"/>
  <c r="I146" i="11"/>
  <c r="E137" i="11"/>
  <c r="G136" i="11"/>
  <c r="K136" i="11" s="1"/>
  <c r="E138" i="11" l="1"/>
  <c r="G137" i="11"/>
  <c r="K137" i="11" s="1"/>
  <c r="C148" i="11"/>
  <c r="I147" i="11"/>
  <c r="C149" i="11" l="1"/>
  <c r="I148" i="11"/>
  <c r="E139" i="11"/>
  <c r="G138" i="11"/>
  <c r="K138" i="11" s="1"/>
  <c r="E140" i="11" l="1"/>
  <c r="G139" i="11"/>
  <c r="K139" i="11" s="1"/>
  <c r="C150" i="11"/>
  <c r="I149" i="11"/>
  <c r="C151" i="11" l="1"/>
  <c r="I150" i="11"/>
  <c r="E141" i="11"/>
  <c r="G140" i="11"/>
  <c r="K140" i="11" s="1"/>
  <c r="E142" i="11" l="1"/>
  <c r="G141" i="11"/>
  <c r="K141" i="11" s="1"/>
  <c r="C152" i="11"/>
  <c r="I151" i="11"/>
  <c r="C153" i="11" l="1"/>
  <c r="I152" i="11"/>
  <c r="E143" i="11"/>
  <c r="G142" i="11"/>
  <c r="K142" i="11" s="1"/>
  <c r="E144" i="11" l="1"/>
  <c r="G143" i="11"/>
  <c r="K143" i="11" s="1"/>
  <c r="C154" i="11"/>
  <c r="I153" i="11"/>
  <c r="C155" i="11" l="1"/>
  <c r="I154" i="11"/>
  <c r="E145" i="11"/>
  <c r="G144" i="11"/>
  <c r="K144" i="11" s="1"/>
  <c r="E146" i="11" l="1"/>
  <c r="G145" i="11"/>
  <c r="K145" i="11" s="1"/>
  <c r="C156" i="11"/>
  <c r="I155" i="11"/>
  <c r="C157" i="11" l="1"/>
  <c r="I156" i="11"/>
  <c r="E147" i="11"/>
  <c r="G146" i="11"/>
  <c r="K146" i="11" s="1"/>
  <c r="E148" i="11" l="1"/>
  <c r="G147" i="11"/>
  <c r="K147" i="11" s="1"/>
  <c r="C158" i="11"/>
  <c r="I157" i="11"/>
  <c r="C159" i="11" l="1"/>
  <c r="I158" i="11"/>
  <c r="E149" i="11"/>
  <c r="G148" i="11"/>
  <c r="K148" i="11" s="1"/>
  <c r="E150" i="11" l="1"/>
  <c r="G149" i="11"/>
  <c r="K149" i="11" s="1"/>
  <c r="C160" i="11"/>
  <c r="I159" i="11"/>
  <c r="C161" i="11" l="1"/>
  <c r="I160" i="11"/>
  <c r="E151" i="11"/>
  <c r="G150" i="11"/>
  <c r="K150" i="11" s="1"/>
  <c r="E152" i="11" l="1"/>
  <c r="G151" i="11"/>
  <c r="K151" i="11" s="1"/>
  <c r="C162" i="11"/>
  <c r="I161" i="11"/>
  <c r="C163" i="11" l="1"/>
  <c r="I162" i="11"/>
  <c r="E153" i="11"/>
  <c r="G152" i="11"/>
  <c r="K152" i="11" s="1"/>
  <c r="E154" i="11" l="1"/>
  <c r="G153" i="11"/>
  <c r="K153" i="11" s="1"/>
  <c r="C164" i="11"/>
  <c r="I163" i="11"/>
  <c r="E155" i="11" l="1"/>
  <c r="G154" i="11"/>
  <c r="K154" i="11" s="1"/>
  <c r="C165" i="11"/>
  <c r="I164" i="11"/>
  <c r="C166" i="11" l="1"/>
  <c r="I165" i="11"/>
  <c r="E156" i="11"/>
  <c r="G155" i="11"/>
  <c r="K155" i="11" s="1"/>
  <c r="E157" i="11" l="1"/>
  <c r="G156" i="11"/>
  <c r="K156" i="11" s="1"/>
  <c r="C167" i="11"/>
  <c r="I166" i="11"/>
  <c r="C168" i="11" l="1"/>
  <c r="I167" i="11"/>
  <c r="E158" i="11"/>
  <c r="G157" i="11"/>
  <c r="K157" i="11" s="1"/>
  <c r="E159" i="11" l="1"/>
  <c r="G158" i="11"/>
  <c r="K158" i="11" s="1"/>
  <c r="C169" i="11"/>
  <c r="I168" i="11"/>
  <c r="C170" i="11" l="1"/>
  <c r="I169" i="11"/>
  <c r="E160" i="11"/>
  <c r="G159" i="11"/>
  <c r="K159" i="11" s="1"/>
  <c r="E161" i="11" l="1"/>
  <c r="G160" i="11"/>
  <c r="K160" i="11" s="1"/>
  <c r="C171" i="11"/>
  <c r="I170" i="11"/>
  <c r="C172" i="11" l="1"/>
  <c r="I172" i="11" s="1"/>
  <c r="I171" i="11"/>
  <c r="E162" i="11"/>
  <c r="G161" i="11"/>
  <c r="K161" i="11" s="1"/>
  <c r="E163" i="11" l="1"/>
  <c r="G162" i="11"/>
  <c r="K162" i="11" s="1"/>
  <c r="E164" i="11" l="1"/>
  <c r="G163" i="11"/>
  <c r="K163" i="11" s="1"/>
  <c r="E165" i="11" l="1"/>
  <c r="G164" i="11"/>
  <c r="K164" i="11" s="1"/>
  <c r="E166" i="11" l="1"/>
  <c r="G165" i="11"/>
  <c r="K165" i="11" s="1"/>
  <c r="E167" i="11" l="1"/>
  <c r="G166" i="11"/>
  <c r="K166" i="11" s="1"/>
  <c r="E168" i="11" l="1"/>
  <c r="G167" i="11"/>
  <c r="K167" i="11" s="1"/>
  <c r="E169" i="11" l="1"/>
  <c r="G168" i="11"/>
  <c r="K168" i="11" s="1"/>
  <c r="E170" i="11" l="1"/>
  <c r="G169" i="11"/>
  <c r="K169" i="11" s="1"/>
  <c r="E171" i="11" l="1"/>
  <c r="G170" i="11"/>
  <c r="K170" i="11" s="1"/>
  <c r="E172" i="11" l="1"/>
  <c r="G172" i="11" s="1"/>
  <c r="K172" i="11" s="1"/>
  <c r="G171" i="11"/>
  <c r="K171" i="11" s="1"/>
</calcChain>
</file>

<file path=xl/sharedStrings.xml><?xml version="1.0" encoding="utf-8"?>
<sst xmlns="http://schemas.openxmlformats.org/spreadsheetml/2006/main" count="2481" uniqueCount="1166">
  <si>
    <t>Name</t>
  </si>
  <si>
    <t>Easting</t>
  </si>
  <si>
    <t>Northing</t>
  </si>
  <si>
    <t>Elevation</t>
  </si>
  <si>
    <t>Description</t>
  </si>
  <si>
    <t>Longitude</t>
  </si>
  <si>
    <t>Latitude</t>
  </si>
  <si>
    <t>Samples</t>
  </si>
  <si>
    <t>PDOP</t>
  </si>
  <si>
    <t>Baseline</t>
  </si>
  <si>
    <t>m</t>
  </si>
  <si>
    <t>SINGLE</t>
  </si>
  <si>
    <t>Ellipsoidal height</t>
  </si>
  <si>
    <t>Easting RMS</t>
  </si>
  <si>
    <t>Northing RMS</t>
  </si>
  <si>
    <t>Elevation RMS</t>
  </si>
  <si>
    <t>Lateral RMS</t>
  </si>
  <si>
    <t>Antenna height</t>
  </si>
  <si>
    <t>Antenna height units</t>
  </si>
  <si>
    <t>Solution status</t>
  </si>
  <si>
    <t>Averaging start</t>
  </si>
  <si>
    <t>Averaging end</t>
  </si>
  <si>
    <t>Base easting</t>
  </si>
  <si>
    <t>Base northing</t>
  </si>
  <si>
    <t>Base elevation</t>
  </si>
  <si>
    <t>Base longitude</t>
  </si>
  <si>
    <t>Base latitude</t>
  </si>
  <si>
    <t>Base ellipsoidal height</t>
  </si>
  <si>
    <t>CS name</t>
  </si>
  <si>
    <t>FIX</t>
  </si>
  <si>
    <t>2022-08-07 10:35:36.3 UTC+06:00</t>
  </si>
  <si>
    <t>2022-08-07 10:35:42.3 UTC+06:00</t>
  </si>
  <si>
    <t>Global CS</t>
  </si>
  <si>
    <t>2022-08-07 10:36:15.3 UTC+06:00</t>
  </si>
  <si>
    <t>2022-08-07 10:36:20.3 UTC+06:00</t>
  </si>
  <si>
    <t>2022-08-07 10:36:54.3 UTC+06:00</t>
  </si>
  <si>
    <t>2022-08-07 10:36:59.3 UTC+06:00</t>
  </si>
  <si>
    <t>2022-08-07 10:37:47.3 UTC+06:00</t>
  </si>
  <si>
    <t>2022-08-07 10:37:53.3 UTC+06:00</t>
  </si>
  <si>
    <t>2022-08-07 10:38:21.3 UTC+06:00</t>
  </si>
  <si>
    <t>2022-08-07 10:38:26.4 UTC+06:00</t>
  </si>
  <si>
    <t>2022-08-07 10:38:58.3 UTC+06:00</t>
  </si>
  <si>
    <t>2022-08-07 10:39:03.3 UTC+06:00</t>
  </si>
  <si>
    <t>2022-08-07 10:39:27.3 UTC+06:00</t>
  </si>
  <si>
    <t>2022-08-07 10:39:32.4 UTC+06:00</t>
  </si>
  <si>
    <t>2022-08-07 10:40:26.4 UTC+06:00</t>
  </si>
  <si>
    <t>2022-08-07 10:40:31.4 UTC+06:00</t>
  </si>
  <si>
    <t>2022-08-07 10:40:54.3 UTC+06:00</t>
  </si>
  <si>
    <t>2022-08-07 10:40:59.4 UTC+06:00</t>
  </si>
  <si>
    <t>2022-08-07 10:41:20.3 UTC+06:00</t>
  </si>
  <si>
    <t>2022-08-07 10:41:25.4 UTC+06:00</t>
  </si>
  <si>
    <t>2022-08-07 10:41:42.4 UTC+06:00</t>
  </si>
  <si>
    <t>2022-08-07 10:41:48.4 UTC+06:00</t>
  </si>
  <si>
    <t>2022-08-07 10:42:08.4 UTC+06:00</t>
  </si>
  <si>
    <t>2022-08-07 10:42:14.4 UTC+06:00</t>
  </si>
  <si>
    <t>2022-08-07 10:42:37.4 UTC+06:00</t>
  </si>
  <si>
    <t>2022-08-07 10:42:42.4 UTC+06:00</t>
  </si>
  <si>
    <t>2022-08-07 10:43:08.4 UTC+06:00</t>
  </si>
  <si>
    <t>2022-08-07 10:43:14.4 UTC+06:00</t>
  </si>
  <si>
    <t>2022-08-07 10:43:33.3 UTC+06:00</t>
  </si>
  <si>
    <t>2022-08-07 10:43:38.4 UTC+06:00</t>
  </si>
  <si>
    <t>2022-08-07 10:43:59.3 UTC+06:00</t>
  </si>
  <si>
    <t>2022-08-07 10:44:04.4 UTC+06:00</t>
  </si>
  <si>
    <t>2022-08-07 10:44:29.3 UTC+06:00</t>
  </si>
  <si>
    <t>2022-08-07 10:44:34.4 UTC+06:00</t>
  </si>
  <si>
    <t>2022-08-07 10:44:53.4 UTC+06:00</t>
  </si>
  <si>
    <t>2022-08-07 10:44:58.4 UTC+06:00</t>
  </si>
  <si>
    <t>2022-08-07 10:45:25.4 UTC+06:00</t>
  </si>
  <si>
    <t>2022-08-07 10:45:30.4 UTC+06:00</t>
  </si>
  <si>
    <t>2022-08-07 10:46:04.4 UTC+06:00</t>
  </si>
  <si>
    <t>2022-08-07 10:46:10.4 UTC+06:00</t>
  </si>
  <si>
    <t>2022-08-07 10:46:33.4 UTC+06:00</t>
  </si>
  <si>
    <t>2022-08-07 10:46:38.4 UTC+06:00</t>
  </si>
  <si>
    <t>2022-08-07 10:47:04.4 UTC+06:00</t>
  </si>
  <si>
    <t>2022-08-07 10:47:10.4 UTC+06:00</t>
  </si>
  <si>
    <t>2022-08-07 10:47:37.4 UTC+06:00</t>
  </si>
  <si>
    <t>2022-08-07 10:47:43.4 UTC+06:00</t>
  </si>
  <si>
    <t>2022-08-07 10:48:10.4 UTC+06:00</t>
  </si>
  <si>
    <t>2022-08-07 10:48:15.4 UTC+06:00</t>
  </si>
  <si>
    <t>2022-08-07 10:48:50.4 UTC+06:00</t>
  </si>
  <si>
    <t>2022-08-07 10:48:55.4 UTC+06:00</t>
  </si>
  <si>
    <t>2022-08-07 10:49:29.4 UTC+06:00</t>
  </si>
  <si>
    <t>2022-08-07 10:49:35.4 UTC+06:00</t>
  </si>
  <si>
    <t>2022-08-07 10:50:06.4 UTC+06:00</t>
  </si>
  <si>
    <t>2022-08-07 10:50:12.4 UTC+06:00</t>
  </si>
  <si>
    <t>2022-08-07 10:50:37.4 UTC+06:00</t>
  </si>
  <si>
    <t>2022-08-07 10:50:42.4 UTC+06:00</t>
  </si>
  <si>
    <t>2022-08-07 10:51:18.4 UTC+06:00</t>
  </si>
  <si>
    <t>2022-08-07 10:51:24.4 UTC+06:00</t>
  </si>
  <si>
    <t>2022-08-07 10:51:51.4 UTC+06:00</t>
  </si>
  <si>
    <t>2022-08-07 10:51:56.4 UTC+06:00</t>
  </si>
  <si>
    <t>2022-08-07 10:52:23.4 UTC+06:00</t>
  </si>
  <si>
    <t>2022-08-07 10:52:29.4 UTC+06:00</t>
  </si>
  <si>
    <t>2022-08-07 10:52:56.4 UTC+06:00</t>
  </si>
  <si>
    <t>2022-08-07 10:53:01.4 UTC+06:00</t>
  </si>
  <si>
    <t>2022-08-07 10:53:29.4 UTC+06:00</t>
  </si>
  <si>
    <t>2022-08-07 10:53:35.4 UTC+06:00</t>
  </si>
  <si>
    <t>2022-08-07 10:53:58.4 UTC+06:00</t>
  </si>
  <si>
    <t>2022-08-07 10:54:03.4 UTC+06:00</t>
  </si>
  <si>
    <t>2022-08-07 10:54:44.4 UTC+06:00</t>
  </si>
  <si>
    <t>2022-08-07 10:54:49.4 UTC+06:00</t>
  </si>
  <si>
    <t>2022-08-07 10:55:20.4 UTC+06:00</t>
  </si>
  <si>
    <t>2022-08-07 10:55:25.4 UTC+06:00</t>
  </si>
  <si>
    <t>2022-08-07 10:56:06.4 UTC+06:00</t>
  </si>
  <si>
    <t>2022-08-07 10:56:11.4 UTC+06:00</t>
  </si>
  <si>
    <t>2022-08-07 10:56:47.4 UTC+06:00</t>
  </si>
  <si>
    <t>2022-08-07 10:56:53.4 UTC+06:00</t>
  </si>
  <si>
    <t>2022-08-07 10:57:09.4 UTC+06:00</t>
  </si>
  <si>
    <t>2022-08-07 10:57:15.4 UTC+06:00</t>
  </si>
  <si>
    <t>2022-08-07 10:57:39.4 UTC+06:00</t>
  </si>
  <si>
    <t>2022-08-07 10:57:45.4 UTC+06:00</t>
  </si>
  <si>
    <t>2022-08-07 10:58:05.4 UTC+06:00</t>
  </si>
  <si>
    <t>2022-08-07 10:58:11.4 UTC+06:00</t>
  </si>
  <si>
    <t>2022-08-07 10:58:34.4 UTC+06:00</t>
  </si>
  <si>
    <t>2022-08-07 10:58:39.4 UTC+06:00</t>
  </si>
  <si>
    <t>2022-08-07 10:58:58.4 UTC+06:00</t>
  </si>
  <si>
    <t>2022-08-07 10:59:03.4 UTC+06:00</t>
  </si>
  <si>
    <t>2022-08-07 10:59:20.4 UTC+06:00</t>
  </si>
  <si>
    <t>2022-08-07 10:59:25.4 UTC+06:00</t>
  </si>
  <si>
    <t>2022-08-07 10:59:45.4 UTC+06:00</t>
  </si>
  <si>
    <t>2022-08-07 10:59:51.4 UTC+06:00</t>
  </si>
  <si>
    <t>2022-08-07 11:00:06.4 UTC+06:00</t>
  </si>
  <si>
    <t>2022-08-07 11:00:11.4 UTC+06:00</t>
  </si>
  <si>
    <t>2022-08-07 11:00:26.4 UTC+06:00</t>
  </si>
  <si>
    <t>2022-08-07 11:00:31.4 UTC+06:00</t>
  </si>
  <si>
    <t>2022-08-07 11:00:51.4 UTC+06:00</t>
  </si>
  <si>
    <t>2022-08-07 11:00:56.4 UTC+06:00</t>
  </si>
  <si>
    <t>2022-08-08 10:53:13.1 UTC+06:00</t>
  </si>
  <si>
    <t>2022-08-08 10:53:19.1 UTC+06:00</t>
  </si>
  <si>
    <t>2022-08-08 10:53:55.1 UTC+06:00</t>
  </si>
  <si>
    <t>2022-08-08 10:54:01.1 UTC+06:00</t>
  </si>
  <si>
    <t>2022-08-08 10:54:31.1 UTC+06:00</t>
  </si>
  <si>
    <t>2022-08-08 10:54:36.1 UTC+06:00</t>
  </si>
  <si>
    <t>2022-08-08 10:55:07.1 UTC+06:00</t>
  </si>
  <si>
    <t>2022-08-08 10:55:13.1 UTC+06:00</t>
  </si>
  <si>
    <t>2022-08-08 10:55:53.1 UTC+06:00</t>
  </si>
  <si>
    <t>2022-08-08 10:55:59.1 UTC+06:00</t>
  </si>
  <si>
    <t>2022-08-08 10:56:40.1 UTC+06:00</t>
  </si>
  <si>
    <t>2022-08-08 10:56:46.1 UTC+06:00</t>
  </si>
  <si>
    <t>2022-08-08 10:57:25.1 UTC+06:00</t>
  </si>
  <si>
    <t>2022-08-08 10:57:30.1 UTC+06:00</t>
  </si>
  <si>
    <t>2022-08-08 10:58:28.1 UTC+06:00</t>
  </si>
  <si>
    <t>2022-08-08 10:58:34.1 UTC+06:00</t>
  </si>
  <si>
    <t>2022-08-08 10:59:25.1 UTC+06:00</t>
  </si>
  <si>
    <t>2022-08-08 10:59:30.1 UTC+06:00</t>
  </si>
  <si>
    <t>2022-08-08 11:00:13.1 UTC+06:00</t>
  </si>
  <si>
    <t>2022-08-08 11:00:18.1 UTC+06:00</t>
  </si>
  <si>
    <t>2022-08-08 11:01:01.1 UTC+06:00</t>
  </si>
  <si>
    <t>2022-08-08 11:01:06.1 UTC+06:00</t>
  </si>
  <si>
    <t>2022-08-08 11:01:43.1 UTC+06:00</t>
  </si>
  <si>
    <t>2022-08-08 11:01:48.2 UTC+06:00</t>
  </si>
  <si>
    <t>2022-08-08 11:02:33.1 UTC+06:00</t>
  </si>
  <si>
    <t>2022-08-08 11:02:38.1 UTC+06:00</t>
  </si>
  <si>
    <t>2022-08-08 11:03:12.1 UTC+06:00</t>
  </si>
  <si>
    <t>2022-08-08 11:03:18.1 UTC+06:00</t>
  </si>
  <si>
    <t>2022-08-08 11:04:17.1 UTC+06:00</t>
  </si>
  <si>
    <t>2022-08-08 11:04:22.1 UTC+06:00</t>
  </si>
  <si>
    <t>2022-08-08 11:04:54.2 UTC+06:00</t>
  </si>
  <si>
    <t>2022-08-08 11:05:00.1 UTC+06:00</t>
  </si>
  <si>
    <t>2022-08-08 11:05:25.1 UTC+06:00</t>
  </si>
  <si>
    <t>2022-08-08 11:05:30.1 UTC+06:00</t>
  </si>
  <si>
    <t>2022-08-08 11:05:52.2 UTC+06:00</t>
  </si>
  <si>
    <t>2022-08-08 11:05:58.2 UTC+06:00</t>
  </si>
  <si>
    <t>2022-08-08 11:06:24.1 UTC+06:00</t>
  </si>
  <si>
    <t>2022-08-08 11:06:30.1 UTC+06:00</t>
  </si>
  <si>
    <t>2022-08-08 11:06:55.1 UTC+06:00</t>
  </si>
  <si>
    <t>2022-08-08 11:07:00.1 UTC+06:00</t>
  </si>
  <si>
    <t>2022-08-08 11:07:35.1 UTC+06:00</t>
  </si>
  <si>
    <t>2022-08-08 11:07:40.2 UTC+06:00</t>
  </si>
  <si>
    <t>2022-08-08 11:08:15.2 UTC+06:00</t>
  </si>
  <si>
    <t>2022-08-08 11:08:21.1 UTC+06:00</t>
  </si>
  <si>
    <t>2022-08-08 11:08:48.2 UTC+06:00</t>
  </si>
  <si>
    <t>2022-08-08 11:08:54.2 UTC+06:00</t>
  </si>
  <si>
    <t>2022-08-08 11:09:19.1 UTC+06:00</t>
  </si>
  <si>
    <t>2022-08-08 11:09:24.1 UTC+06:00</t>
  </si>
  <si>
    <t>2022-08-08 11:09:54.1 UTC+06:00</t>
  </si>
  <si>
    <t>2022-08-08 11:10:00.2 UTC+06:00</t>
  </si>
  <si>
    <t>2022-08-08 11:10:37.1 UTC+06:00</t>
  </si>
  <si>
    <t>2022-08-08 11:10:42.2 UTC+06:00</t>
  </si>
  <si>
    <t>2022-08-08 11:11:03.1 UTC+06:00</t>
  </si>
  <si>
    <t>2022-08-08 11:11:08.1 UTC+06:00</t>
  </si>
  <si>
    <t>2022-08-08 11:11:31.1 UTC+06:00</t>
  </si>
  <si>
    <t>2022-08-08 11:11:36.2 UTC+06:00</t>
  </si>
  <si>
    <t>2022-08-08 11:12:01.1 UTC+06:00</t>
  </si>
  <si>
    <t>2022-08-08 11:12:06.2 UTC+06:00</t>
  </si>
  <si>
    <t>2022-08-08 11:12:31.1 UTC+06:00</t>
  </si>
  <si>
    <t>2022-08-08 11:12:36.2 UTC+06:00</t>
  </si>
  <si>
    <t>2022-08-08 11:13:01.1 UTC+06:00</t>
  </si>
  <si>
    <t>2022-08-08 11:13:06.2 UTC+06:00</t>
  </si>
  <si>
    <t>2022-08-08 11:13:33.1 UTC+06:00</t>
  </si>
  <si>
    <t>2022-08-08 11:13:38.2 UTC+06:00</t>
  </si>
  <si>
    <t>2022-08-08 11:14:01.1 UTC+06:00</t>
  </si>
  <si>
    <t>2022-08-08 11:14:06.2 UTC+06:00</t>
  </si>
  <si>
    <t>2022-08-08 11:14:26.2 UTC+06:00</t>
  </si>
  <si>
    <t>2022-08-08 11:14:32.2 UTC+06:00</t>
  </si>
  <si>
    <t>2022-08-08 11:14:55.2 UTC+06:00</t>
  </si>
  <si>
    <t>2022-08-08 11:15:00.2 UTC+06:00</t>
  </si>
  <si>
    <t>2022-08-08 11:15:23.2 UTC+06:00</t>
  </si>
  <si>
    <t>2022-08-08 11:15:28.2 UTC+06:00</t>
  </si>
  <si>
    <t>2022-08-08 11:15:52.2 UTC+06:00</t>
  </si>
  <si>
    <t>2022-08-08 11:15:58.2 UTC+06:00</t>
  </si>
  <si>
    <t>2022-08-08 11:16:26.2 UTC+06:00</t>
  </si>
  <si>
    <t>2022-08-08 11:16:32.2 UTC+06:00</t>
  </si>
  <si>
    <t>2022-08-08 11:16:55.2 UTC+06:00</t>
  </si>
  <si>
    <t>2022-08-08 11:17:00.2 UTC+06:00</t>
  </si>
  <si>
    <t>2022-08-08 11:17:30.2 UTC+06:00</t>
  </si>
  <si>
    <t>2022-08-08 11:17:36.2 UTC+06:00</t>
  </si>
  <si>
    <t>2022-08-08 11:18:01.2 UTC+06:00</t>
  </si>
  <si>
    <t>2022-08-08 11:18:06.2 UTC+06:00</t>
  </si>
  <si>
    <t>2022-08-08 11:18:28.2 UTC+06:00</t>
  </si>
  <si>
    <t>2022-08-08 11:18:34.2 UTC+06:00</t>
  </si>
  <si>
    <t>2022-08-08 11:18:57.2 UTC+06:00</t>
  </si>
  <si>
    <t>2022-08-08 11:19:02.2 UTC+06:00</t>
  </si>
  <si>
    <t>2022-08-08 11:19:23.2 UTC+06:00</t>
  </si>
  <si>
    <t>2022-08-08 11:19:28.2 UTC+06:00</t>
  </si>
  <si>
    <t>2022-08-08 11:19:52.2 UTC+06:00</t>
  </si>
  <si>
    <t>2022-08-08 11:19:58.2 UTC+06:00</t>
  </si>
  <si>
    <t>2022-08-08 11:20:21.2 UTC+06:00</t>
  </si>
  <si>
    <t>2022-08-08 11:20:26.2 UTC+06:00</t>
  </si>
  <si>
    <t>2022-08-08 11:20:49.2 UTC+06:00</t>
  </si>
  <si>
    <t>2022-08-08 11:20:54.2 UTC+06:00</t>
  </si>
  <si>
    <t>2022-08-08 11:21:22.2 UTC+06:00</t>
  </si>
  <si>
    <t>2022-08-08 11:21:28.2 UTC+06:00</t>
  </si>
  <si>
    <t>2022-08-09 15:16:52.7 UTC+06:00</t>
  </si>
  <si>
    <t>2022-08-09 15:16:57.7 UTC+06:00</t>
  </si>
  <si>
    <t>2022-08-09 15:17:30.7 UTC+06:00</t>
  </si>
  <si>
    <t>2022-08-09 15:17:36.7 UTC+06:00</t>
  </si>
  <si>
    <t>2022-08-09 15:17:50.7 UTC+06:00</t>
  </si>
  <si>
    <t>2022-08-09 15:17:55.7 UTC+06:00</t>
  </si>
  <si>
    <t>2022-08-09 15:18:09.7 UTC+06:00</t>
  </si>
  <si>
    <t>2022-08-09 15:18:14.7 UTC+06:00</t>
  </si>
  <si>
    <t>2022-08-09 15:18:47.7 UTC+06:00</t>
  </si>
  <si>
    <t>2022-08-09 15:18:53.7 UTC+06:00</t>
  </si>
  <si>
    <t>2022-08-09 15:19:06.7 UTC+06:00</t>
  </si>
  <si>
    <t>2022-08-09 15:19:12.7 UTC+06:00</t>
  </si>
  <si>
    <t>2022-08-09 15:19:24.7 UTC+06:00</t>
  </si>
  <si>
    <t>2022-08-09 15:19:29.7 UTC+06:00</t>
  </si>
  <si>
    <t>2022-08-09 15:20:00.7 UTC+06:00</t>
  </si>
  <si>
    <t>2022-08-09 15:20:05.7 UTC+06:00</t>
  </si>
  <si>
    <t>2022-08-09 15:20:16.7 UTC+06:00</t>
  </si>
  <si>
    <t>2022-08-09 15:20:21.7 UTC+06:00</t>
  </si>
  <si>
    <t>2022-08-09 15:20:37.7 UTC+06:00</t>
  </si>
  <si>
    <t>2022-08-09 15:20:48.7 UTC+06:00</t>
  </si>
  <si>
    <t>2022-08-09 15:21:06.7 UTC+06:00</t>
  </si>
  <si>
    <t>2022-08-09 15:21:17.7 UTC+06:00</t>
  </si>
  <si>
    <t>2022-08-09 15:21:32.7 UTC+06:00</t>
  </si>
  <si>
    <t>2022-08-09 15:21:42.7 UTC+06:00</t>
  </si>
  <si>
    <t>2022-08-09 15:21:58.7 UTC+06:00</t>
  </si>
  <si>
    <t>2022-08-09 15:22:08.7 UTC+06:00</t>
  </si>
  <si>
    <t>2022-08-09 15:22:25.7 UTC+06:00</t>
  </si>
  <si>
    <t>2022-08-09 15:22:36.7 UTC+06:00</t>
  </si>
  <si>
    <t>2022-08-09 15:22:50.7 UTC+06:00</t>
  </si>
  <si>
    <t>2022-08-09 15:23:01.7 UTC+06:00</t>
  </si>
  <si>
    <t>2022-08-09 15:23:15.7 UTC+06:00</t>
  </si>
  <si>
    <t>2022-08-09 15:23:25.7 UTC+06:00</t>
  </si>
  <si>
    <t>2022-08-09 15:23:42.7 UTC+06:00</t>
  </si>
  <si>
    <t>2022-08-09 15:23:52.7 UTC+06:00</t>
  </si>
  <si>
    <t>2022-08-09 15:24:19.7 UTC+06:00</t>
  </si>
  <si>
    <t>2022-08-09 15:24:30.7 UTC+06:00</t>
  </si>
  <si>
    <t>2022-08-09 15:25:08.7 UTC+06:00</t>
  </si>
  <si>
    <t>2022-08-09 15:25:18.7 UTC+06:00</t>
  </si>
  <si>
    <t>2022-08-09 15:25:38.7 UTC+06:00</t>
  </si>
  <si>
    <t>2022-08-09 15:25:49.7 UTC+06:00</t>
  </si>
  <si>
    <t>2022-08-09 15:26:15.7 UTC+06:00</t>
  </si>
  <si>
    <t>2022-08-09 15:26:26.7 UTC+06:00</t>
  </si>
  <si>
    <t>2022-08-09 15:26:44.7 UTC+06:00</t>
  </si>
  <si>
    <t>2022-08-09 15:26:54.7 UTC+06:00</t>
  </si>
  <si>
    <t>2022-08-09 15:27:28.7 UTC+06:00</t>
  </si>
  <si>
    <t>2022-08-09 15:27:39.7 UTC+06:00</t>
  </si>
  <si>
    <t>2022-08-09 15:27:58.7 UTC+06:00</t>
  </si>
  <si>
    <t>2022-08-09 15:28:09.7 UTC+06:00</t>
  </si>
  <si>
    <t>2022-08-09 15:29:20.7 UTC+06:00</t>
  </si>
  <si>
    <t>2022-08-09 15:29:30.7 UTC+06:00</t>
  </si>
  <si>
    <t>2022-08-09 15:29:56.7 UTC+06:00</t>
  </si>
  <si>
    <t>2022-08-09 15:30:06.7 UTC+06:00</t>
  </si>
  <si>
    <t>2022-08-09 15:30:26.7 UTC+06:00</t>
  </si>
  <si>
    <t>2022-08-09 15:30:36.7 UTC+06:00</t>
  </si>
  <si>
    <t>2022-08-09 15:31:09.7 UTC+06:00</t>
  </si>
  <si>
    <t>2022-08-09 15:31:20.7 UTC+06:00</t>
  </si>
  <si>
    <t>2022-08-09 15:31:50.7 UTC+06:00</t>
  </si>
  <si>
    <t>2022-08-09 15:32:01.7 UTC+06:00</t>
  </si>
  <si>
    <t>2022-08-09 15:32:18.7 UTC+06:00</t>
  </si>
  <si>
    <t>2022-08-09 15:32:28.7 UTC+06:00</t>
  </si>
  <si>
    <t>2022-08-09 15:32:50.7 UTC+06:00</t>
  </si>
  <si>
    <t>2022-08-09 15:33:00.7 UTC+06:00</t>
  </si>
  <si>
    <t>2022-08-09 15:33:40.7 UTC+06:00</t>
  </si>
  <si>
    <t>2022-08-09 15:33:51.7 UTC+06:00</t>
  </si>
  <si>
    <t>2022-08-09 15:34:31.7 UTC+06:00</t>
  </si>
  <si>
    <t>2022-08-09 15:34:42.7 UTC+06:00</t>
  </si>
  <si>
    <t>2022-08-09 15:35:12.7 UTC+06:00</t>
  </si>
  <si>
    <t>2022-08-09 15:35:22.7 UTC+06:00</t>
  </si>
  <si>
    <t>2022-08-09 15:35:55.7 UTC+06:00</t>
  </si>
  <si>
    <t>2022-08-09 15:36:06.7 UTC+06:00</t>
  </si>
  <si>
    <t>2022-08-09 15:36:29.7 UTC+06:00</t>
  </si>
  <si>
    <t>2022-08-09 15:36:40.7 UTC+06:00</t>
  </si>
  <si>
    <t>2022-08-09 15:37:13.7 UTC+06:00</t>
  </si>
  <si>
    <t>2022-08-09 15:37:24.7 UTC+06:00</t>
  </si>
  <si>
    <t>2022-08-09 15:37:42.7 UTC+06:00</t>
  </si>
  <si>
    <t>2022-08-09 15:37:52.7 UTC+06:00</t>
  </si>
  <si>
    <t>2022-08-09 15:38:17.7 UTC+06:00</t>
  </si>
  <si>
    <t>2022-08-09 15:38:28.7 UTC+06:00</t>
  </si>
  <si>
    <t>2022-08-09 15:38:47.7 UTC+06:00</t>
  </si>
  <si>
    <t>2022-08-09 15:38:57.7 UTC+06:00</t>
  </si>
  <si>
    <t>2022-08-09 15:39:16.7 UTC+06:00</t>
  </si>
  <si>
    <t>2022-08-09 15:39:27.7 UTC+06:00</t>
  </si>
  <si>
    <t>2022-08-09 15:40:09.7 UTC+06:00</t>
  </si>
  <si>
    <t>2022-08-09 15:40:19.7 UTC+06:00</t>
  </si>
  <si>
    <t>2022-08-09 15:40:37.7 UTC+06:00</t>
  </si>
  <si>
    <t>2022-08-09 15:40:48.7 UTC+06:00</t>
  </si>
  <si>
    <t>2022-08-09 15:41:07.7 UTC+06:00</t>
  </si>
  <si>
    <t>2022-08-09 15:41:17.7 UTC+06:00</t>
  </si>
  <si>
    <t>2022-08-09 15:41:33.7 UTC+06:00</t>
  </si>
  <si>
    <t>2022-08-09 15:41:43.8 UTC+06:00</t>
  </si>
  <si>
    <t>2022-08-09 15:41:58.7 UTC+06:00</t>
  </si>
  <si>
    <t>2022-08-09 15:42:09.7 UTC+06:00</t>
  </si>
  <si>
    <t>2022-08-09 15:42:25.7 UTC+06:00</t>
  </si>
  <si>
    <t>2022-08-09 15:42:35.7 UTC+06:00</t>
  </si>
  <si>
    <t>2022-08-09 15:42:50.7 UTC+06:00</t>
  </si>
  <si>
    <t>2022-08-09 15:43:00.7 UTC+06:00</t>
  </si>
  <si>
    <t>2022-08-09 17:30:00.9 UTC+06:00</t>
  </si>
  <si>
    <t>2022-08-09 17:30:11.9 UTC+06:00</t>
  </si>
  <si>
    <t>2022-08-09 17:30:24.9 UTC+06:00</t>
  </si>
  <si>
    <t>2022-08-09 17:30:35.9 UTC+06:00</t>
  </si>
  <si>
    <t>2022-08-09 17:30:53.9 UTC+06:00</t>
  </si>
  <si>
    <t>2022-08-09 17:31:04.9 UTC+06:00</t>
  </si>
  <si>
    <t>2022-08-09 17:31:19.9 UTC+06:00</t>
  </si>
  <si>
    <t>2022-08-09 17:31:30.9 UTC+06:00</t>
  </si>
  <si>
    <t>2022-08-09 17:31:42.9 UTC+06:00</t>
  </si>
  <si>
    <t>2022-08-09 17:31:53.9 UTC+06:00</t>
  </si>
  <si>
    <t>2022-08-09 17:32:05.9 UTC+06:00</t>
  </si>
  <si>
    <t>2022-08-09 17:32:16.9 UTC+06:00</t>
  </si>
  <si>
    <t>2022-08-09 17:32:30.9 UTC+06:00</t>
  </si>
  <si>
    <t>2022-08-09 17:32:41.9 UTC+06:00</t>
  </si>
  <si>
    <t>2022-08-09 17:32:55.9 UTC+06:00</t>
  </si>
  <si>
    <t>2022-08-09 17:33:05.9 UTC+06:00</t>
  </si>
  <si>
    <t>2022-08-09 17:33:19.9 UTC+06:00</t>
  </si>
  <si>
    <t>2022-08-09 17:33:29.9 UTC+06:00</t>
  </si>
  <si>
    <t>2022-08-09 17:33:41.9 UTC+06:00</t>
  </si>
  <si>
    <t>2022-08-09 17:33:52.9 UTC+06:00</t>
  </si>
  <si>
    <t>2022-08-09 17:34:09.9 UTC+06:00</t>
  </si>
  <si>
    <t>2022-08-09 17:34:20.9 UTC+06:00</t>
  </si>
  <si>
    <t>2022-08-09 17:34:54.9 UTC+06:00</t>
  </si>
  <si>
    <t>2022-08-09 17:35:05.9 UTC+06:00</t>
  </si>
  <si>
    <t>2022-08-09 17:35:26.9 UTC+06:00</t>
  </si>
  <si>
    <t>2022-08-09 17:35:36.9 UTC+06:00</t>
  </si>
  <si>
    <t>2022-08-09 17:35:59.9 UTC+06:00</t>
  </si>
  <si>
    <t>2022-08-09 17:36:10.9 UTC+06:00</t>
  </si>
  <si>
    <t>2022-08-09 17:36:31.9 UTC+06:00</t>
  </si>
  <si>
    <t>2022-08-09 17:36:41.9 UTC+06:00</t>
  </si>
  <si>
    <t>2022-08-09 17:36:55.9 UTC+06:00</t>
  </si>
  <si>
    <t>2022-08-09 17:37:05.9 UTC+06:00</t>
  </si>
  <si>
    <t>2022-08-09 17:37:21.9 UTC+06:00</t>
  </si>
  <si>
    <t>2022-08-09 17:37:32.9 UTC+06:00</t>
  </si>
  <si>
    <t>2022-08-09 17:37:48.9 UTC+06:00</t>
  </si>
  <si>
    <t>2022-08-09 17:37:58.9 UTC+06:00</t>
  </si>
  <si>
    <t>2022-08-09 17:38:14.9 UTC+06:00</t>
  </si>
  <si>
    <t>2022-08-09 17:38:24.9 UTC+06:00</t>
  </si>
  <si>
    <t>2022-08-09 17:38:39.9 UTC+06:00</t>
  </si>
  <si>
    <t>2022-08-09 17:38:50.9 UTC+06:00</t>
  </si>
  <si>
    <t>2022-08-09 17:39:08.9 UTC+06:00</t>
  </si>
  <si>
    <t>2022-08-09 17:39:18.9 UTC+06:00</t>
  </si>
  <si>
    <t>2022-08-09 17:39:35.9 UTC+06:00</t>
  </si>
  <si>
    <t>2022-08-09 17:39:46.9 UTC+06:00</t>
  </si>
  <si>
    <t>2022-08-09 17:40:04.9 UTC+06:00</t>
  </si>
  <si>
    <t>2022-08-09 17:40:14.9 UTC+06:00</t>
  </si>
  <si>
    <t>2022-08-09 17:40:29.9 UTC+06:00</t>
  </si>
  <si>
    <t>2022-08-09 17:40:40.9 UTC+06:00</t>
  </si>
  <si>
    <t>2022-08-10 14:16:23.9 UTC+06:00</t>
  </si>
  <si>
    <t>2022-08-10 14:16:34.9 UTC+06:00</t>
  </si>
  <si>
    <t>2022-08-10 14:17:06.9 UTC+06:00</t>
  </si>
  <si>
    <t>2022-08-10 14:17:17.9 UTC+06:00</t>
  </si>
  <si>
    <t>2022-08-10 14:18:04.9 UTC+06:00</t>
  </si>
  <si>
    <t>2022-08-10 14:18:14.9 UTC+06:00</t>
  </si>
  <si>
    <t>2022-08-10 14:18:54.9 UTC+06:00</t>
  </si>
  <si>
    <t>2022-08-10 14:19:05.9 UTC+06:00</t>
  </si>
  <si>
    <t>2022-08-10 14:20:00.9 UTC+06:00</t>
  </si>
  <si>
    <t>2022-08-10 14:20:11.9 UTC+06:00</t>
  </si>
  <si>
    <t>2022-08-10 14:20:41.9 UTC+06:00</t>
  </si>
  <si>
    <t>2022-08-10 14:20:52.9 UTC+06:00</t>
  </si>
  <si>
    <t>2022-08-10 14:21:35.9 UTC+06:00</t>
  </si>
  <si>
    <t>2022-08-10 14:21:46.9 UTC+06:00</t>
  </si>
  <si>
    <t>2022-08-10 14:22:21.9 UTC+06:00</t>
  </si>
  <si>
    <t>2022-08-10 14:22:32.9 UTC+06:00</t>
  </si>
  <si>
    <t>2022-08-10 14:23:09.9 UTC+06:00</t>
  </si>
  <si>
    <t>2022-08-10 14:23:19.9 UTC+06:00</t>
  </si>
  <si>
    <t>2022-08-10 14:23:48.9 UTC+06:00</t>
  </si>
  <si>
    <t>2022-08-10 14:23:59.9 UTC+06:00</t>
  </si>
  <si>
    <t>2022-08-10 14:24:35.9 UTC+06:00</t>
  </si>
  <si>
    <t>2022-08-10 14:24:46.9 UTC+06:00</t>
  </si>
  <si>
    <t>2022-08-10 14:25:17.9 UTC+06:00</t>
  </si>
  <si>
    <t>2022-08-10 14:25:28.9 UTC+06:00</t>
  </si>
  <si>
    <t>2022-08-10 14:25:52.9 UTC+06:00</t>
  </si>
  <si>
    <t>2022-08-10 14:26:03.9 UTC+06:00</t>
  </si>
  <si>
    <t>2022-08-10 14:26:29.9 UTC+06:00</t>
  </si>
  <si>
    <t>2022-08-10 14:26:40.9 UTC+06:00</t>
  </si>
  <si>
    <t>2022-08-10 14:27:12.9 UTC+06:00</t>
  </si>
  <si>
    <t>2022-08-10 14:27:23.9 UTC+06:00</t>
  </si>
  <si>
    <t>2022-08-10 14:27:51.9 UTC+06:00</t>
  </si>
  <si>
    <t>2022-08-10 14:28:02.9 UTC+06:00</t>
  </si>
  <si>
    <t>2022-08-10 14:28:29.9 UTC+06:00</t>
  </si>
  <si>
    <t>2022-08-10 14:28:40.9 UTC+06:00</t>
  </si>
  <si>
    <t>2022-08-10 14:29:08.9 UTC+06:00</t>
  </si>
  <si>
    <t>2022-08-10 14:29:19.9 UTC+06:00</t>
  </si>
  <si>
    <t>2022-08-10 14:29:45.9 UTC+06:00</t>
  </si>
  <si>
    <t>2022-08-10 14:29:56.9 UTC+06:00</t>
  </si>
  <si>
    <t>2022-08-10 14:30:18.9 UTC+06:00</t>
  </si>
  <si>
    <t>2022-08-10 14:30:29.9 UTC+06:00</t>
  </si>
  <si>
    <t>2022-08-10 14:30:55.9 UTC+06:00</t>
  </si>
  <si>
    <t>2022-08-10 14:31:05.9 UTC+06:00</t>
  </si>
  <si>
    <t>2022-08-10 14:31:36.9 UTC+06:00</t>
  </si>
  <si>
    <t>2022-08-10 14:31:46.9 UTC+06:00</t>
  </si>
  <si>
    <t>2022-08-10 14:32:13.9 UTC+06:00</t>
  </si>
  <si>
    <t>2022-08-10 14:32:24.9 UTC+06:00</t>
  </si>
  <si>
    <t>2022-08-10 14:32:56.9 UTC+06:00</t>
  </si>
  <si>
    <t>2022-08-10 14:33:07.9 UTC+06:00</t>
  </si>
  <si>
    <t>2022-08-10 14:33:44.9 UTC+06:00</t>
  </si>
  <si>
    <t>2022-08-10 14:33:54.9 UTC+06:00</t>
  </si>
  <si>
    <t>2022-08-10 14:34:18.9 UTC+06:00</t>
  </si>
  <si>
    <t>2022-08-10 14:34:28.9 UTC+06:00</t>
  </si>
  <si>
    <t>2022-08-10 14:34:53.9 UTC+06:00</t>
  </si>
  <si>
    <t>2022-08-10 14:35:04.9 UTC+06:00</t>
  </si>
  <si>
    <t>2022-08-10 14:35:29.9 UTC+06:00</t>
  </si>
  <si>
    <t>2022-08-10 14:35:39.9 UTC+06:00</t>
  </si>
  <si>
    <t>2022-08-10 14:36:00.9 UTC+06:00</t>
  </si>
  <si>
    <t>2022-08-10 14:36:11.9 UTC+06:00</t>
  </si>
  <si>
    <t>2022-08-10 14:36:36.9 UTC+06:00</t>
  </si>
  <si>
    <t>2022-08-10 14:36:46.9 UTC+06:00</t>
  </si>
  <si>
    <t>2022-08-10 14:37:13.9 UTC+06:00</t>
  </si>
  <si>
    <t>2022-08-10 14:37:23.9 UTC+06:00</t>
  </si>
  <si>
    <t>2022-08-10 14:37:46.9 UTC+06:00</t>
  </si>
  <si>
    <t>2022-08-10 14:37:57.9 UTC+06:00</t>
  </si>
  <si>
    <t>2022-08-10 14:38:22.9 UTC+06:00</t>
  </si>
  <si>
    <t>2022-08-10 14:38:32.9 UTC+06:00</t>
  </si>
  <si>
    <t>2022-08-10 14:39:41.9 UTC+06:00</t>
  </si>
  <si>
    <t>2022-08-10 14:39:52.9 UTC+06:00</t>
  </si>
  <si>
    <t>2022-08-10 14:40:13.9 UTC+06:00</t>
  </si>
  <si>
    <t>2022-08-10 14:40:23.9 UTC+06:00</t>
  </si>
  <si>
    <t>2022-08-10 14:40:51.9 UTC+06:00</t>
  </si>
  <si>
    <t>2022-08-10 14:41:02.9 UTC+06:00</t>
  </si>
  <si>
    <t>2022-08-10 14:41:26.9 UTC+06:00</t>
  </si>
  <si>
    <t>2022-08-10 14:41:36.9 UTC+06:00</t>
  </si>
  <si>
    <t>2022-08-10 14:42:06.9 UTC+06:00</t>
  </si>
  <si>
    <t>2022-08-10 14:42:16.9 UTC+06:00</t>
  </si>
  <si>
    <t>2022-08-10 14:42:42.9 UTC+06:00</t>
  </si>
  <si>
    <t>2022-08-10 14:42:53.9 UTC+06:00</t>
  </si>
  <si>
    <t>2022-08-10 14:43:34.9 UTC+06:00</t>
  </si>
  <si>
    <t>2022-08-10 14:43:44.9 UTC+06:00</t>
  </si>
  <si>
    <t>2022-08-10 14:44:12.9 UTC+06:00</t>
  </si>
  <si>
    <t>2022-08-10 14:44:22.9 UTC+06:00</t>
  </si>
  <si>
    <t>2022-08-10 14:44:49.9 UTC+06:00</t>
  </si>
  <si>
    <t>2022-08-10 14:44:59.9 UTC+06:00</t>
  </si>
  <si>
    <t>2022-08-10 14:45:21.9 UTC+06:00</t>
  </si>
  <si>
    <t>2022-08-10 14:45:31.9 UTC+06:00</t>
  </si>
  <si>
    <t>2022-08-10 14:46:04.9 UTC+06:00</t>
  </si>
  <si>
    <t>2022-08-10 14:46:15.9 UTC+06:00</t>
  </si>
  <si>
    <t>2022-08-10 14:47:05.9 UTC+06:00</t>
  </si>
  <si>
    <t>2022-08-10 14:47:16.9 UTC+06:00</t>
  </si>
  <si>
    <t>2022-08-10 14:47:40.9 UTC+06:00</t>
  </si>
  <si>
    <t>2022-08-10 14:47:50.9 UTC+06:00</t>
  </si>
  <si>
    <t>2022-08-10 14:48:18.9 UTC+06:00</t>
  </si>
  <si>
    <t>2022-08-10 14:48:28.9 UTC+06:00</t>
  </si>
  <si>
    <t>2022-08-10 14:49:15.9 UTC+06:00</t>
  </si>
  <si>
    <t>2022-08-10 14:49:25.9 UTC+06:00</t>
  </si>
  <si>
    <t>2022-08-11 10:37:12.9 UTC+06:00</t>
  </si>
  <si>
    <t>2022-08-11 10:37:22.9 UTC+06:00</t>
  </si>
  <si>
    <t>2022-08-11 10:37:44.9 UTC+06:00</t>
  </si>
  <si>
    <t>2022-08-11 10:37:51.9 UTC+06:00</t>
  </si>
  <si>
    <t>2022-08-11 10:38:03.9 UTC+06:00</t>
  </si>
  <si>
    <t>2022-08-11 10:38:12.0 UTC+06:00</t>
  </si>
  <si>
    <t>2022-08-11 10:38:30.9 UTC+06:00</t>
  </si>
  <si>
    <t>2022-08-11 10:38:37.9 UTC+06:00</t>
  </si>
  <si>
    <t>2022-08-11 10:38:57.9 UTC+06:00</t>
  </si>
  <si>
    <t>2022-08-11 10:39:05.9 UTC+06:00</t>
  </si>
  <si>
    <t>2022-08-11 10:39:19.9 UTC+06:00</t>
  </si>
  <si>
    <t>2022-08-11 10:39:26.9 UTC+06:00</t>
  </si>
  <si>
    <t>2022-08-11 10:39:44.9 UTC+06:00</t>
  </si>
  <si>
    <t>2022-08-11 10:39:52.9 UTC+06:00</t>
  </si>
  <si>
    <t>2022-08-11 10:40:06.0 UTC+06:00</t>
  </si>
  <si>
    <t>2022-08-11 10:40:13.9 UTC+06:00</t>
  </si>
  <si>
    <t>2022-08-11 10:40:36.9 UTC+06:00</t>
  </si>
  <si>
    <t>2022-08-11 10:40:43.9 UTC+06:00</t>
  </si>
  <si>
    <t>2022-08-11 10:41:12.0 UTC+06:00</t>
  </si>
  <si>
    <t>2022-08-11 10:41:20.0 UTC+06:00</t>
  </si>
  <si>
    <t>2022-08-11 10:41:40.0 UTC+06:00</t>
  </si>
  <si>
    <t>2022-08-11 10:41:47.0 UTC+06:00</t>
  </si>
  <si>
    <t>2022-08-11 10:42:01.0 UTC+06:00</t>
  </si>
  <si>
    <t>2022-08-11 10:42:09.0 UTC+06:00</t>
  </si>
  <si>
    <t>2022-08-11 10:42:24.0 UTC+06:00</t>
  </si>
  <si>
    <t>2022-08-11 10:42:32.0 UTC+06:00</t>
  </si>
  <si>
    <t>2022-08-11 10:42:46.0 UTC+06:00</t>
  </si>
  <si>
    <t>2022-08-11 10:42:53.0 UTC+06:00</t>
  </si>
  <si>
    <t>2022-08-11 10:43:12.0 UTC+06:00</t>
  </si>
  <si>
    <t>2022-08-11 10:43:20.0 UTC+06:00</t>
  </si>
  <si>
    <t>2022-08-11 10:43:34.0 UTC+06:00</t>
  </si>
  <si>
    <t>2022-08-11 10:43:42.0 UTC+06:00</t>
  </si>
  <si>
    <t>2022-08-11 10:44:01.0 UTC+06:00</t>
  </si>
  <si>
    <t>2022-08-11 10:44:09.0 UTC+06:00</t>
  </si>
  <si>
    <t>2022-08-11 10:44:24.0 UTC+06:00</t>
  </si>
  <si>
    <t>2022-08-11 10:44:32.0 UTC+06:00</t>
  </si>
  <si>
    <t>2022-08-11 10:44:51.0 UTC+06:00</t>
  </si>
  <si>
    <t>2022-08-11 10:44:59.0 UTC+06:00</t>
  </si>
  <si>
    <t>2022-08-11 10:45:15.0 UTC+06:00</t>
  </si>
  <si>
    <t>2022-08-11 10:45:23.0 UTC+06:00</t>
  </si>
  <si>
    <t>2022-08-11 10:45:41.0 UTC+06:00</t>
  </si>
  <si>
    <t>2022-08-11 10:45:48.0 UTC+06:00</t>
  </si>
  <si>
    <t>2022-08-11 10:46:07.0 UTC+06:00</t>
  </si>
  <si>
    <t>2022-08-11 10:46:15.0 UTC+06:00</t>
  </si>
  <si>
    <t>2022-08-11 10:46:44.0 UTC+06:00</t>
  </si>
  <si>
    <t>2022-08-11 10:46:52.0 UTC+06:00</t>
  </si>
  <si>
    <t>2022-08-11 10:47:07.0 UTC+06:00</t>
  </si>
  <si>
    <t>2022-08-11 10:47:15.0 UTC+06:00</t>
  </si>
  <si>
    <t>2022-08-11 10:47:46.0 UTC+06:00</t>
  </si>
  <si>
    <t>2022-08-11 10:47:54.0 UTC+06:00</t>
  </si>
  <si>
    <t>2022-08-11 10:48:19.0 UTC+06:00</t>
  </si>
  <si>
    <t>2022-08-11 10:48:26.0 UTC+06:00</t>
  </si>
  <si>
    <t>2022-08-11 10:48:47.0 UTC+06:00</t>
  </si>
  <si>
    <t>2022-08-11 10:48:54.0 UTC+06:00</t>
  </si>
  <si>
    <t>2022-08-11 10:49:18.0 UTC+06:00</t>
  </si>
  <si>
    <t>2022-08-11 10:49:25.0 UTC+06:00</t>
  </si>
  <si>
    <t>2022-08-11 10:49:49.0 UTC+06:00</t>
  </si>
  <si>
    <t>2022-08-11 10:49:57.0 UTC+06:00</t>
  </si>
  <si>
    <t>2022-08-11 10:50:19.0 UTC+06:00</t>
  </si>
  <si>
    <t>2022-08-11 10:50:27.0 UTC+06:00</t>
  </si>
  <si>
    <t>2022-08-11 10:50:40.0 UTC+06:00</t>
  </si>
  <si>
    <t>2022-08-11 10:50:48.0 UTC+06:00</t>
  </si>
  <si>
    <t>2022-08-11 10:51:17.0 UTC+06:00</t>
  </si>
  <si>
    <t>2022-08-11 10:51:24.0 UTC+06:00</t>
  </si>
  <si>
    <t>2022-08-11 10:51:52.0 UTC+06:00</t>
  </si>
  <si>
    <t>2022-08-11 10:51:59.0 UTC+06:00</t>
  </si>
  <si>
    <t>2022-08-11 10:52:25.0 UTC+06:00</t>
  </si>
  <si>
    <t>2022-08-11 10:52:33.0 UTC+06:00</t>
  </si>
  <si>
    <t>2022-08-11 10:52:52.0 UTC+06:00</t>
  </si>
  <si>
    <t>2022-08-11 10:53:00.0 UTC+06:00</t>
  </si>
  <si>
    <t>2022-08-11 10:53:13.0 UTC+06:00</t>
  </si>
  <si>
    <t>2022-08-11 10:53:21.0 UTC+06:00</t>
  </si>
  <si>
    <t>2022-08-11 10:53:42.0 UTC+06:00</t>
  </si>
  <si>
    <t>2022-08-11 10:53:50.0 UTC+06:00</t>
  </si>
  <si>
    <t>2022-08-11 10:54:12.0 UTC+06:00</t>
  </si>
  <si>
    <t>2022-08-11 10:54:20.0 UTC+06:00</t>
  </si>
  <si>
    <t>2022-08-11 10:54:37.0 UTC+06:00</t>
  </si>
  <si>
    <t>2022-08-11 10:54:44.0 UTC+06:00</t>
  </si>
  <si>
    <t>2022-08-11 10:55:08.0 UTC+06:00</t>
  </si>
  <si>
    <t>2022-08-11 10:55:16.0 UTC+06:00</t>
  </si>
  <si>
    <t>2022-08-11 10:55:36.0 UTC+06:00</t>
  </si>
  <si>
    <t>2022-08-11 10:55:44.0 UTC+06:00</t>
  </si>
  <si>
    <t>2022-08-11 10:56:03.0 UTC+06:00</t>
  </si>
  <si>
    <t>2022-08-11 10:56:10.0 UTC+06:00</t>
  </si>
  <si>
    <t>2022-08-11 10:57:19.0 UTC+06:00</t>
  </si>
  <si>
    <t>2022-08-11 10:57:27.0 UTC+06:00</t>
  </si>
  <si>
    <t>2022-08-11 10:57:49.0 UTC+06:00</t>
  </si>
  <si>
    <t>2022-08-11 10:57:56.0 UTC+06:00</t>
  </si>
  <si>
    <t>2022-08-11 10:58:14.0 UTC+06:00</t>
  </si>
  <si>
    <t>2022-08-11 10:58:22.0 UTC+06:00</t>
  </si>
  <si>
    <t>2022-08-11 10:58:53.0 UTC+06:00</t>
  </si>
  <si>
    <t>2022-08-11 10:59:00.0 UTC+06:00</t>
  </si>
  <si>
    <t>2022-08-11 10:59:28.0 UTC+06:00</t>
  </si>
  <si>
    <t>2022-08-11 10:59:36.0 UTC+06:00</t>
  </si>
  <si>
    <t>2022-08-11 11:00:31.0 UTC+06:00</t>
  </si>
  <si>
    <t>2022-08-11 11:00:53.0 UTC+06:00</t>
  </si>
  <si>
    <t>2022-08-08 16:32:08.5 UTC+06:00</t>
  </si>
  <si>
    <t>2022-08-08 16:32:13.5 UTC+06:00</t>
  </si>
  <si>
    <t>2022-08-08 16:33:35.5 UTC+06:00</t>
  </si>
  <si>
    <t>2022-08-08 16:33:41.5 UTC+06:00</t>
  </si>
  <si>
    <t>2022-08-08 16:34:06.5 UTC+06:00</t>
  </si>
  <si>
    <t>2022-08-08 16:34:11.6 UTC+06:00</t>
  </si>
  <si>
    <t>2022-08-08 16:34:56.5 UTC+06:00</t>
  </si>
  <si>
    <t>2022-08-08 16:35:02.5 UTC+06:00</t>
  </si>
  <si>
    <t>2022-08-08 16:36:51.6 UTC+06:00</t>
  </si>
  <si>
    <t>2022-08-08 16:36:57.6 UTC+06:00</t>
  </si>
  <si>
    <t>2022-08-08 16:37:36.6 UTC+06:00</t>
  </si>
  <si>
    <t>2022-08-08 16:37:42.6 UTC+06:00</t>
  </si>
  <si>
    <t>2022-08-08 16:38:18.6 UTC+06:00</t>
  </si>
  <si>
    <t>2022-08-08 16:38:23.6 UTC+06:00</t>
  </si>
  <si>
    <t>2022-08-08 16:38:49.6 UTC+06:00</t>
  </si>
  <si>
    <t>2022-08-08 16:38:55.6 UTC+06:00</t>
  </si>
  <si>
    <t>2022-08-08 16:39:34.6 UTC+06:00</t>
  </si>
  <si>
    <t>2022-08-08 16:39:39.6 UTC+06:00</t>
  </si>
  <si>
    <t>2022-08-08 16:40:08.6 UTC+06:00</t>
  </si>
  <si>
    <t>2022-08-08 16:40:13.6 UTC+06:00</t>
  </si>
  <si>
    <t>2022-08-08 16:40:44.6 UTC+06:00</t>
  </si>
  <si>
    <t>2022-08-08 16:40:50.6 UTC+06:00</t>
  </si>
  <si>
    <t>2022-08-08 16:41:26.6 UTC+06:00</t>
  </si>
  <si>
    <t>2022-08-08 16:41:32.6 UTC+06:00</t>
  </si>
  <si>
    <t>2022-08-08 16:42:10.6 UTC+06:00</t>
  </si>
  <si>
    <t>2022-08-08 16:42:15.6 UTC+06:00</t>
  </si>
  <si>
    <t>2022-08-08 16:43:10.6 UTC+06:00</t>
  </si>
  <si>
    <t>2022-08-08 16:43:15.6 UTC+06:00</t>
  </si>
  <si>
    <t>2022-08-08 16:43:56.6 UTC+06:00</t>
  </si>
  <si>
    <t>2022-08-08 16:44:01.6 UTC+06:00</t>
  </si>
  <si>
    <t>2022-08-08 16:44:34.6 UTC+06:00</t>
  </si>
  <si>
    <t>2022-08-08 16:44:40.6 UTC+06:00</t>
  </si>
  <si>
    <t>2022-08-08 16:45:13.6 UTC+06:00</t>
  </si>
  <si>
    <t>2022-08-08 16:45:18.6 UTC+06:00</t>
  </si>
  <si>
    <t>2022-08-08 16:53:38.6 UTC+06:00</t>
  </si>
  <si>
    <t>2022-08-08 16:53:44.6 UTC+06:00</t>
  </si>
  <si>
    <t>2022-08-08 16:54:13.6 UTC+06:00</t>
  </si>
  <si>
    <t>2022-08-08 16:54:18.6 UTC+06:00</t>
  </si>
  <si>
    <t>2022-08-08 16:54:56.6 UTC+06:00</t>
  </si>
  <si>
    <t>2022-08-08 16:55:02.6 UTC+06:00</t>
  </si>
  <si>
    <t>2022-08-08 16:55:35.6 UTC+06:00</t>
  </si>
  <si>
    <t>2022-08-08 16:55:41.6 UTC+06:00</t>
  </si>
  <si>
    <t>2022-08-08 16:57:10.6 UTC+06:00</t>
  </si>
  <si>
    <t>2022-08-08 16:57:15.6 UTC+06:00</t>
  </si>
  <si>
    <t>2022-08-08 16:57:38.6 UTC+06:00</t>
  </si>
  <si>
    <t>2022-08-08 16:57:43.6 UTC+06:00</t>
  </si>
  <si>
    <t>2022-08-08 16:58:03.6 UTC+06:00</t>
  </si>
  <si>
    <t>2022-08-08 16:58:09.6 UTC+06:00</t>
  </si>
  <si>
    <t>2022-08-08 16:58:41.6 UTC+06:00</t>
  </si>
  <si>
    <t>2022-08-08 16:58:47.6 UTC+06:00</t>
  </si>
  <si>
    <t>2022-08-08 17:02:44.6 UTC+06:00</t>
  </si>
  <si>
    <t>2022-08-08 17:02:50.6 UTC+06:00</t>
  </si>
  <si>
    <t>2022-08-08 17:03:20.6 UTC+06:00</t>
  </si>
  <si>
    <t>2022-08-08 17:03:26.6 UTC+06:00</t>
  </si>
  <si>
    <t>2022-08-08 17:03:44.6 UTC+06:00</t>
  </si>
  <si>
    <t>2022-08-08 17:03:49.6 UTC+06:00</t>
  </si>
  <si>
    <t>2022-08-08 17:04:09.6 UTC+06:00</t>
  </si>
  <si>
    <t>2022-08-08 17:04:15.6 UTC+06:00</t>
  </si>
  <si>
    <t>2022-08-08 17:04:18.6 UTC+06:00</t>
  </si>
  <si>
    <t>2022-08-08 17:04:23.6 UTC+06:00</t>
  </si>
  <si>
    <t>2022-08-08 17:06:19.6 UTC+06:00</t>
  </si>
  <si>
    <t>2022-08-08 17:06:25.6 UTC+06:00</t>
  </si>
  <si>
    <t>2022-08-08 17:07:03.6 UTC+06:00</t>
  </si>
  <si>
    <t>2022-08-08 17:07:09.6 UTC+06:00</t>
  </si>
  <si>
    <t>2022-08-08 17:07:43.6 UTC+06:00</t>
  </si>
  <si>
    <t>2022-08-08 17:07:49.6 UTC+06:00</t>
  </si>
  <si>
    <t>2022-08-08 17:08:30.6 UTC+06:00</t>
  </si>
  <si>
    <t>2022-08-08 17:08:35.6 UTC+06:00</t>
  </si>
  <si>
    <t>2022-08-08 17:09:24.6 UTC+06:00</t>
  </si>
  <si>
    <t>2022-08-08 17:09:29.6 UTC+06:00</t>
  </si>
  <si>
    <t>2022-08-08 17:10:05.6 UTC+06:00</t>
  </si>
  <si>
    <t>2022-08-08 17:10:11.6 UTC+06:00</t>
  </si>
  <si>
    <t>2022-08-08 17:10:44.6 UTC+06:00</t>
  </si>
  <si>
    <t>2022-08-08 17:10:49.6 UTC+06:00</t>
  </si>
  <si>
    <t>2022-08-08 17:11:18.6 UTC+06:00</t>
  </si>
  <si>
    <t>2022-08-08 17:11:23.6 UTC+06:00</t>
  </si>
  <si>
    <t>2022-08-08 17:12:28.6 UTC+06:00</t>
  </si>
  <si>
    <t>2022-08-08 17:12:33.6 UTC+06:00</t>
  </si>
  <si>
    <t>2022-08-08 17:13:05.6 UTC+06:00</t>
  </si>
  <si>
    <t>2022-08-08 17:13:11.6 UTC+06:00</t>
  </si>
  <si>
    <t>2022-08-08 17:32:31.9 UTC+06:00</t>
  </si>
  <si>
    <t>2022-08-08 17:32:37.9 UTC+06:00</t>
  </si>
  <si>
    <t>2022-08-08 17:33:31.9 UTC+06:00</t>
  </si>
  <si>
    <t>2022-08-08 17:33:37.9 UTC+06:00</t>
  </si>
  <si>
    <t>2022-08-08 17:34:34.9 UTC+06:00</t>
  </si>
  <si>
    <t>2022-08-08 17:34:40.0 UTC+06:00</t>
  </si>
  <si>
    <t>2022-08-08 17:35:16.0 UTC+06:00</t>
  </si>
  <si>
    <t>2022-08-08 17:35:22.0 UTC+06:00</t>
  </si>
  <si>
    <t>2022-08-08 17:36:02.9 UTC+06:00</t>
  </si>
  <si>
    <t>2022-08-08 17:36:08.0 UTC+06:00</t>
  </si>
  <si>
    <t>2022-08-08 17:36:56.0 UTC+06:00</t>
  </si>
  <si>
    <t>2022-08-08 17:37:01.9 UTC+06:00</t>
  </si>
  <si>
    <t>2022-08-08 17:37:31.9 UTC+06:00</t>
  </si>
  <si>
    <t>2022-08-08 17:37:38.0 UTC+06:00</t>
  </si>
  <si>
    <t>2022-08-08 17:38:17.0 UTC+06:00</t>
  </si>
  <si>
    <t>2022-08-08 17:38:22.9 UTC+06:00</t>
  </si>
  <si>
    <t>2022-08-08 17:38:57.0 UTC+06:00</t>
  </si>
  <si>
    <t>2022-08-08 17:39:02.0 UTC+06:00</t>
  </si>
  <si>
    <t>2022-08-08 17:39:28.0 UTC+06:00</t>
  </si>
  <si>
    <t>2022-08-08 17:39:34.0 UTC+06:00</t>
  </si>
  <si>
    <t>2022-08-08 17:40:14.0 UTC+06:00</t>
  </si>
  <si>
    <t>2022-08-08 17:40:19.0 UTC+06:00</t>
  </si>
  <si>
    <t>GOL01_01</t>
  </si>
  <si>
    <t>GOL01_02</t>
  </si>
  <si>
    <t>GOL01_06</t>
  </si>
  <si>
    <t>GOL01_08</t>
  </si>
  <si>
    <t>GOL01_09</t>
  </si>
  <si>
    <t>GOL01_03</t>
  </si>
  <si>
    <t>GOL01_05</t>
  </si>
  <si>
    <t>GOL01_07</t>
  </si>
  <si>
    <t>GOL01_04</t>
  </si>
  <si>
    <t>GOL01_10</t>
  </si>
  <si>
    <t>GOL01_11</t>
  </si>
  <si>
    <t>GOL01_12</t>
  </si>
  <si>
    <t>GOL01_13</t>
  </si>
  <si>
    <t>GOL01_14</t>
  </si>
  <si>
    <t>GOL01_15</t>
  </si>
  <si>
    <t>GOL01_16</t>
  </si>
  <si>
    <t>GOL01_17</t>
  </si>
  <si>
    <t>GOL01_18</t>
  </si>
  <si>
    <t>GOL01_19</t>
  </si>
  <si>
    <t>GOL01_20</t>
  </si>
  <si>
    <t>GOL01_21</t>
  </si>
  <si>
    <t>GOL01_22</t>
  </si>
  <si>
    <t>GOL01_23</t>
  </si>
  <si>
    <t>GOL01_24</t>
  </si>
  <si>
    <t>GOL01_25</t>
  </si>
  <si>
    <t>GOL01_26</t>
  </si>
  <si>
    <t>GOL01_27</t>
  </si>
  <si>
    <t>GOL01_28</t>
  </si>
  <si>
    <t>GOL01_29</t>
  </si>
  <si>
    <t>GOL01_30</t>
  </si>
  <si>
    <t>GOL01_31</t>
  </si>
  <si>
    <t>GOL01_32</t>
  </si>
  <si>
    <t>GOL01_33</t>
  </si>
  <si>
    <t>GOL01_34</t>
  </si>
  <si>
    <t>GOL01_35</t>
  </si>
  <si>
    <t>GOL01_36</t>
  </si>
  <si>
    <t>GOL01_37</t>
  </si>
  <si>
    <t>GOL01_38</t>
  </si>
  <si>
    <t>GOL01_39</t>
  </si>
  <si>
    <t>GOL01_40</t>
  </si>
  <si>
    <t>GOL01_41</t>
  </si>
  <si>
    <t>GOL01_42</t>
  </si>
  <si>
    <t>GOL01_43</t>
  </si>
  <si>
    <t>GOL01_44</t>
  </si>
  <si>
    <t>GOL01_45</t>
  </si>
  <si>
    <t>GOL01_46</t>
  </si>
  <si>
    <t>GOL01_47</t>
  </si>
  <si>
    <t>GOL01_48</t>
  </si>
  <si>
    <t>GOL01</t>
  </si>
  <si>
    <t>GOL05_01</t>
  </si>
  <si>
    <t>GOL05_02</t>
  </si>
  <si>
    <t>GOL05_03</t>
  </si>
  <si>
    <t>GOL05_04</t>
  </si>
  <si>
    <t>GOL05_05</t>
  </si>
  <si>
    <t>GOL05_06</t>
  </si>
  <si>
    <t>GOL05_07</t>
  </si>
  <si>
    <t>GOL05_08</t>
  </si>
  <si>
    <t>GOL05_09</t>
  </si>
  <si>
    <t>GOL05_10</t>
  </si>
  <si>
    <t>GOL05_11</t>
  </si>
  <si>
    <t>GOL05_12</t>
  </si>
  <si>
    <t>GOL05_13</t>
  </si>
  <si>
    <t>GOL05_14</t>
  </si>
  <si>
    <t>GOL05_15</t>
  </si>
  <si>
    <t>GOL05_16</t>
  </si>
  <si>
    <t>GOL05_17</t>
  </si>
  <si>
    <t>GOL05_18</t>
  </si>
  <si>
    <t>GOL05_19</t>
  </si>
  <si>
    <t>GOL05_20</t>
  </si>
  <si>
    <t>GOL05_21</t>
  </si>
  <si>
    <t>GOL05_22</t>
  </si>
  <si>
    <t>GOL05_23</t>
  </si>
  <si>
    <t>GOL05_24</t>
  </si>
  <si>
    <t>GOL05_25</t>
  </si>
  <si>
    <t>GOL05_26</t>
  </si>
  <si>
    <t>GOL05_27</t>
  </si>
  <si>
    <t>GOL05_28</t>
  </si>
  <si>
    <t>GOL05_29</t>
  </si>
  <si>
    <t>GOL05_30</t>
  </si>
  <si>
    <t>GOL05_31</t>
  </si>
  <si>
    <t>GOL05_32</t>
  </si>
  <si>
    <t>GOL05_33</t>
  </si>
  <si>
    <t>GOL05_34</t>
  </si>
  <si>
    <t>GOL05_35</t>
  </si>
  <si>
    <t>GOL05_36</t>
  </si>
  <si>
    <t>GOL05_37</t>
  </si>
  <si>
    <t>GOL05_38</t>
  </si>
  <si>
    <t>GOL05_39</t>
  </si>
  <si>
    <t>GOL05_40</t>
  </si>
  <si>
    <t>GOL05_41</t>
  </si>
  <si>
    <t>GOL05_42</t>
  </si>
  <si>
    <t>GOL05_43</t>
  </si>
  <si>
    <t>GOL05_44</t>
  </si>
  <si>
    <t>GOL05_45</t>
  </si>
  <si>
    <t>GOL05_46</t>
  </si>
  <si>
    <t>GOL05_47</t>
  </si>
  <si>
    <t>GOL05_48</t>
  </si>
  <si>
    <t>GOL05</t>
  </si>
  <si>
    <t>GOL06_01</t>
  </si>
  <si>
    <t>GOL06_02</t>
  </si>
  <si>
    <t>GOL06_03</t>
  </si>
  <si>
    <t>GOL06</t>
  </si>
  <si>
    <t>GOL06_04</t>
  </si>
  <si>
    <t>GOL06_05</t>
  </si>
  <si>
    <t>GOL06_06</t>
  </si>
  <si>
    <t>GOL06_07</t>
  </si>
  <si>
    <t>GOL06_08</t>
  </si>
  <si>
    <t>GOL06_09</t>
  </si>
  <si>
    <t>GOL06_10</t>
  </si>
  <si>
    <t>GOL06_11</t>
  </si>
  <si>
    <t>GOL06_12</t>
  </si>
  <si>
    <t>GOL06_13</t>
  </si>
  <si>
    <t>GOL06_14</t>
  </si>
  <si>
    <t>GOL06_15</t>
  </si>
  <si>
    <t>GOL06_16</t>
  </si>
  <si>
    <t>GOL06_17</t>
  </si>
  <si>
    <t>GOL06_18</t>
  </si>
  <si>
    <t>GOL06_19</t>
  </si>
  <si>
    <t>GOL06_20</t>
  </si>
  <si>
    <t>GOL06_21</t>
  </si>
  <si>
    <t>GOL06_22</t>
  </si>
  <si>
    <t>GOL06_23</t>
  </si>
  <si>
    <t>GOL06_24</t>
  </si>
  <si>
    <t>GOL06_25</t>
  </si>
  <si>
    <t>GOL06_26</t>
  </si>
  <si>
    <t>GOL06_27</t>
  </si>
  <si>
    <t>GOL06_28</t>
  </si>
  <si>
    <t>GOL06_29</t>
  </si>
  <si>
    <t>GOL06_30</t>
  </si>
  <si>
    <t>GOL06_31</t>
  </si>
  <si>
    <t>GOL06_32</t>
  </si>
  <si>
    <t>GOL06_33</t>
  </si>
  <si>
    <t>GOL06_34</t>
  </si>
  <si>
    <t>GOL06_35</t>
  </si>
  <si>
    <t>GOL06_36</t>
  </si>
  <si>
    <t>GOL06_37</t>
  </si>
  <si>
    <t>GOL06_38</t>
  </si>
  <si>
    <t>GOL06_39</t>
  </si>
  <si>
    <t>GOL06_40</t>
  </si>
  <si>
    <t>GOL06_41</t>
  </si>
  <si>
    <t>GOL06_42</t>
  </si>
  <si>
    <t>GOL06_43</t>
  </si>
  <si>
    <t>GOL06_44</t>
  </si>
  <si>
    <t>GOL06_45</t>
  </si>
  <si>
    <t>GOL06_46</t>
  </si>
  <si>
    <t>GOL06_47</t>
  </si>
  <si>
    <t>GOL06_48</t>
  </si>
  <si>
    <t>GOL06_49</t>
  </si>
  <si>
    <t>GOL06_50</t>
  </si>
  <si>
    <t>GOL06_51</t>
  </si>
  <si>
    <t>GOL07_01</t>
  </si>
  <si>
    <t>GOL07_02</t>
  </si>
  <si>
    <t>GOL07_03</t>
  </si>
  <si>
    <t>GOL07_04</t>
  </si>
  <si>
    <t>GOL07_05</t>
  </si>
  <si>
    <t>GOL07_06</t>
  </si>
  <si>
    <t>GOL07_07</t>
  </si>
  <si>
    <t>GOL07_08</t>
  </si>
  <si>
    <t>GOL07_09</t>
  </si>
  <si>
    <t>GOL07_10</t>
  </si>
  <si>
    <t>GOL07_11</t>
  </si>
  <si>
    <t>GOL07_12</t>
  </si>
  <si>
    <t>GOL07_13</t>
  </si>
  <si>
    <t>GOL07_14</t>
  </si>
  <si>
    <t>GOL07_15</t>
  </si>
  <si>
    <t>GOL07_16</t>
  </si>
  <si>
    <t>GOL07_17</t>
  </si>
  <si>
    <t>GOL07_18</t>
  </si>
  <si>
    <t>GOL07_19</t>
  </si>
  <si>
    <t>GOL07_20</t>
  </si>
  <si>
    <t>GOL07_21</t>
  </si>
  <si>
    <t>GOL07_22</t>
  </si>
  <si>
    <t>GOL07_23</t>
  </si>
  <si>
    <t>GOL07_24</t>
  </si>
  <si>
    <t>GOL07_25</t>
  </si>
  <si>
    <t>GOL07_26</t>
  </si>
  <si>
    <t>GOL07_27</t>
  </si>
  <si>
    <t>GOL07_28</t>
  </si>
  <si>
    <t>GOL07_29</t>
  </si>
  <si>
    <t>GOL07_30</t>
  </si>
  <si>
    <t>GOL07_31</t>
  </si>
  <si>
    <t>GOL07_32</t>
  </si>
  <si>
    <t>GOL07_33</t>
  </si>
  <si>
    <t>GOL07_34</t>
  </si>
  <si>
    <t>GOL07_35</t>
  </si>
  <si>
    <t>GOL07_36</t>
  </si>
  <si>
    <t>GOL07_37</t>
  </si>
  <si>
    <t>GOL07_38</t>
  </si>
  <si>
    <t>GOL07_39</t>
  </si>
  <si>
    <t>GOL07_40</t>
  </si>
  <si>
    <t>GOL07_41</t>
  </si>
  <si>
    <t>GOL07_42</t>
  </si>
  <si>
    <t>GOL07_43</t>
  </si>
  <si>
    <t>GOL07_44</t>
  </si>
  <si>
    <t>GOL07_45</t>
  </si>
  <si>
    <t>GOL07_46</t>
  </si>
  <si>
    <t>GOL07_47</t>
  </si>
  <si>
    <t>GOL07_48</t>
  </si>
  <si>
    <t>GOL07_49</t>
  </si>
  <si>
    <t>GOL07_50</t>
  </si>
  <si>
    <t>GOL07_51</t>
  </si>
  <si>
    <t>GOL07_52</t>
  </si>
  <si>
    <t>GOL07_53</t>
  </si>
  <si>
    <t>GOL07_54</t>
  </si>
  <si>
    <t>GOL07_55</t>
  </si>
  <si>
    <t>GOL07_56</t>
  </si>
  <si>
    <t>GOL07_57</t>
  </si>
  <si>
    <t>GOL07_58</t>
  </si>
  <si>
    <t>GOL07_59</t>
  </si>
  <si>
    <t>GOL07_60</t>
  </si>
  <si>
    <t>GOL07_61</t>
  </si>
  <si>
    <t>GOL07_62</t>
  </si>
  <si>
    <t>GOL07_63</t>
  </si>
  <si>
    <t>GOL07_64</t>
  </si>
  <si>
    <t>GOL07_65</t>
  </si>
  <si>
    <t>GOL07_66</t>
  </si>
  <si>
    <t>GOL07_67</t>
  </si>
  <si>
    <t>GOL07_68</t>
  </si>
  <si>
    <t>GOL07_69</t>
  </si>
  <si>
    <t>GOL07_70</t>
  </si>
  <si>
    <t>GOL07_71</t>
  </si>
  <si>
    <t>GOL07_72</t>
  </si>
  <si>
    <t>GOL07_73</t>
  </si>
  <si>
    <t>GOL07_74</t>
  </si>
  <si>
    <t>GOL07_75</t>
  </si>
  <si>
    <t>GOL07_76</t>
  </si>
  <si>
    <t>GOL07_77</t>
  </si>
  <si>
    <t>GOL07_78</t>
  </si>
  <si>
    <t>GOL07_79</t>
  </si>
  <si>
    <t>GOL07_80</t>
  </si>
  <si>
    <t>GOL07_81</t>
  </si>
  <si>
    <t>GOL07_82</t>
  </si>
  <si>
    <t>GOL07_83</t>
  </si>
  <si>
    <t>GOL07_84</t>
  </si>
  <si>
    <t>GOL07_85</t>
  </si>
  <si>
    <t>GOL07_86</t>
  </si>
  <si>
    <t>GOL07_87</t>
  </si>
  <si>
    <t>GOL07_88</t>
  </si>
  <si>
    <t>GOL07_89</t>
  </si>
  <si>
    <t>GOL07_90</t>
  </si>
  <si>
    <t>GOL07_91</t>
  </si>
  <si>
    <t>GOL07_92</t>
  </si>
  <si>
    <t>GOL07_93</t>
  </si>
  <si>
    <t>GOL07_94</t>
  </si>
  <si>
    <t>GOL07_95</t>
  </si>
  <si>
    <t>GOL07_96</t>
  </si>
  <si>
    <t>GOL07_97</t>
  </si>
  <si>
    <t>GOL07_98</t>
  </si>
  <si>
    <t>GOL07_99</t>
  </si>
  <si>
    <t>GOL07_100</t>
  </si>
  <si>
    <t>GOL07_101</t>
  </si>
  <si>
    <t>GOL07_102</t>
  </si>
  <si>
    <t>GOL07_103</t>
  </si>
  <si>
    <t>GOL07_104</t>
  </si>
  <si>
    <t>GOL07_105</t>
  </si>
  <si>
    <t>GOL07_106</t>
  </si>
  <si>
    <t>GOL07_107</t>
  </si>
  <si>
    <t>GOL07_108</t>
  </si>
  <si>
    <t>GOL07_109</t>
  </si>
  <si>
    <t>GOL07_110</t>
  </si>
  <si>
    <t>GOL07_111</t>
  </si>
  <si>
    <t>GOL07_112</t>
  </si>
  <si>
    <t>GOL07_113</t>
  </si>
  <si>
    <t>GOL07_114</t>
  </si>
  <si>
    <t>GOL07_115</t>
  </si>
  <si>
    <t>GOL07_116</t>
  </si>
  <si>
    <t>GOL07_117</t>
  </si>
  <si>
    <t>GOL07_118</t>
  </si>
  <si>
    <t>GOL07_119</t>
  </si>
  <si>
    <t>GOL07_120</t>
  </si>
  <si>
    <t>GOL07a</t>
  </si>
  <si>
    <t>GOL07b</t>
  </si>
  <si>
    <t>GOL07c</t>
  </si>
  <si>
    <t>GOL07d</t>
  </si>
  <si>
    <t>GOL08_01</t>
  </si>
  <si>
    <t>GOL08_02</t>
  </si>
  <si>
    <t>GOL08_05</t>
  </si>
  <si>
    <t>GOL08_07</t>
  </si>
  <si>
    <t>GOL08_09</t>
  </si>
  <si>
    <t>GOL08_03</t>
  </si>
  <si>
    <t>GOL08_04</t>
  </si>
  <si>
    <t>GOL08_06</t>
  </si>
  <si>
    <t>GOL08_08</t>
  </si>
  <si>
    <t>GOL08_10</t>
  </si>
  <si>
    <t>GOL08_11</t>
  </si>
  <si>
    <t>GOL08_12</t>
  </si>
  <si>
    <t>GOL08_13</t>
  </si>
  <si>
    <t>GOL08_14</t>
  </si>
  <si>
    <t>GOL08_15</t>
  </si>
  <si>
    <t>GOL08_16</t>
  </si>
  <si>
    <t>GOL08_17</t>
  </si>
  <si>
    <t>GOL08_18</t>
  </si>
  <si>
    <t>GOL08_19</t>
  </si>
  <si>
    <t>GOL08_20</t>
  </si>
  <si>
    <t>GOL08_21</t>
  </si>
  <si>
    <t>GOL08_22</t>
  </si>
  <si>
    <t>GOL08_23</t>
  </si>
  <si>
    <t>GOL08_24</t>
  </si>
  <si>
    <t>GOL08_25</t>
  </si>
  <si>
    <t>GOL08_26</t>
  </si>
  <si>
    <t>GOL08_27</t>
  </si>
  <si>
    <t>GOL08_28</t>
  </si>
  <si>
    <t>GOL08_29</t>
  </si>
  <si>
    <t>GOL08_30</t>
  </si>
  <si>
    <t>GOL08_31</t>
  </si>
  <si>
    <t>GOL08_32</t>
  </si>
  <si>
    <t>GOL08_33</t>
  </si>
  <si>
    <t>GOL08_34</t>
  </si>
  <si>
    <t>GOL08_35</t>
  </si>
  <si>
    <t>GOL08_36</t>
  </si>
  <si>
    <t>GOL08_37</t>
  </si>
  <si>
    <t>GOL08_38</t>
  </si>
  <si>
    <t>GOL08_39</t>
  </si>
  <si>
    <t>GOL08_40</t>
  </si>
  <si>
    <t>GOL08_41</t>
  </si>
  <si>
    <t>GOL08_42</t>
  </si>
  <si>
    <t>GOL08_43</t>
  </si>
  <si>
    <t>GOL08_44</t>
  </si>
  <si>
    <t>GOL08_45</t>
  </si>
  <si>
    <t>GOL08_46</t>
  </si>
  <si>
    <t>GOL08_47</t>
  </si>
  <si>
    <t>GOL08_48</t>
  </si>
  <si>
    <t>ID</t>
  </si>
  <si>
    <t>LON</t>
  </si>
  <si>
    <t>LAT</t>
  </si>
  <si>
    <t>HEIGHT</t>
  </si>
  <si>
    <t>LABEL</t>
  </si>
  <si>
    <t>GOL08</t>
  </si>
  <si>
    <t>x</t>
  </si>
  <si>
    <t>z</t>
  </si>
  <si>
    <t>GOL07</t>
  </si>
  <si>
    <t>E48</t>
  </si>
  <si>
    <t>E47</t>
  </si>
  <si>
    <t>E46</t>
  </si>
  <si>
    <t>E45</t>
  </si>
  <si>
    <t>E44</t>
  </si>
  <si>
    <t>E43</t>
  </si>
  <si>
    <t>E42</t>
  </si>
  <si>
    <t>E41</t>
  </si>
  <si>
    <t>E40</t>
  </si>
  <si>
    <t>E39</t>
  </si>
  <si>
    <t>E38</t>
  </si>
  <si>
    <t>E37</t>
  </si>
  <si>
    <t>E36</t>
  </si>
  <si>
    <t>E35</t>
  </si>
  <si>
    <t>E34</t>
  </si>
  <si>
    <t>E33</t>
  </si>
  <si>
    <t>E32</t>
  </si>
  <si>
    <t>E31</t>
  </si>
  <si>
    <t>E30</t>
  </si>
  <si>
    <t>E29</t>
  </si>
  <si>
    <t>E28</t>
  </si>
  <si>
    <t>E27</t>
  </si>
  <si>
    <t>E26</t>
  </si>
  <si>
    <t>E25</t>
  </si>
  <si>
    <t>E24</t>
  </si>
  <si>
    <t>E23</t>
  </si>
  <si>
    <t>E22</t>
  </si>
  <si>
    <t>E21</t>
  </si>
  <si>
    <t>E20</t>
  </si>
  <si>
    <t>E19</t>
  </si>
  <si>
    <t>E18</t>
  </si>
  <si>
    <t>E17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</si>
  <si>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</si>
  <si>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</si>
  <si>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</si>
  <si>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</si>
  <si>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</si>
  <si>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</si>
  <si>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</si>
  <si>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</si>
  <si>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</si>
  <si>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</si>
  <si>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</si>
  <si>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</si>
  <si>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</si>
  <si>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</si>
  <si>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</si>
  <si>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</si>
  <si>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RST Topo</t>
  </si>
  <si>
    <t>Reflex W</t>
  </si>
  <si>
    <t>Pygimli</t>
  </si>
  <si>
    <t>OFF1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</si>
  <si>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</si>
  <si>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</si>
  <si>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</si>
  <si>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</si>
  <si>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</si>
  <si>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</si>
  <si>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</si>
  <si>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</si>
  <si>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</si>
  <si>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</si>
  <si>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</si>
  <si>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</si>
  <si>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</si>
  <si>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</si>
  <si>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</si>
  <si>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</si>
  <si>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</si>
  <si>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</si>
  <si>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</si>
  <si>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</si>
  <si>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</si>
  <si>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</si>
  <si>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</si>
  <si>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</si>
  <si>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OFF2</t>
  </si>
  <si>
    <t>Spacing</t>
  </si>
  <si>
    <t>OFF3</t>
  </si>
  <si>
    <t>OFF4</t>
  </si>
  <si>
    <t>RA1</t>
  </si>
  <si>
    <t>G1a</t>
  </si>
  <si>
    <t>G2a</t>
  </si>
  <si>
    <t>G3a</t>
  </si>
  <si>
    <t>G4a</t>
  </si>
  <si>
    <t>G5a</t>
  </si>
  <si>
    <t>G6a</t>
  </si>
  <si>
    <t>G7a</t>
  </si>
  <si>
    <t>G8a</t>
  </si>
  <si>
    <t>G9a</t>
  </si>
  <si>
    <t>G24a</t>
  </si>
  <si>
    <t>OFF3a</t>
  </si>
  <si>
    <t>G1b</t>
  </si>
  <si>
    <t>G2b</t>
  </si>
  <si>
    <t>G4b</t>
  </si>
  <si>
    <t>G3b</t>
  </si>
  <si>
    <t>G5b</t>
  </si>
  <si>
    <t>Pygimli ture horizontal</t>
  </si>
  <si>
    <t>Pygimli true</t>
  </si>
  <si>
    <t>ERT</t>
  </si>
  <si>
    <t>GOL07ab ERT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</si>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</sst>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b/>
      <i/>
      <sz val="10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4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23" fillId="33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26" fillId="33" borderId="0" xfId="0" applyNumberFormat="1" applyFont="1" applyFill="1" applyAlignment="1">
      <alignment horizontal="center"/>
    </xf>
    <xf numFmtId="2" fontId="27" fillId="33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4" fontId="29" fillId="33" borderId="0" xfId="0" applyNumberFormat="1" applyFont="1" applyFill="1" applyAlignment="1">
      <alignment horizontal="center"/>
    </xf>
    <xf numFmtId="2" fontId="29" fillId="33" borderId="0" xfId="0" applyNumberFormat="1" applyFont="1" applyFill="1" applyAlignment="1">
      <alignment horizontal="center"/>
    </xf>
    <xf numFmtId="164" fontId="19" fillId="34" borderId="0" xfId="0" applyNumberFormat="1" applyFont="1" applyFill="1" applyAlignment="1">
      <alignment horizontal="center"/>
    </xf>
    <xf numFmtId="2" fontId="19" fillId="34" borderId="0" xfId="0" applyNumberFormat="1" applyFont="1" applyFill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64" fontId="33" fillId="33" borderId="0" xfId="0" applyNumberFormat="1" applyFont="1" applyFill="1" applyAlignment="1">
      <alignment horizontal="center"/>
    </xf>
    <xf numFmtId="2" fontId="33" fillId="33" borderId="0" xfId="0" applyNumberFormat="1" applyFont="1" applyFill="1" applyAlignment="1">
      <alignment horizontal="center"/>
    </xf>
    <xf numFmtId="0" fontId="16" fillId="0" borderId="0" xfId="0" applyFont="1"/>
    <xf numFmtId="0" fontId="34" fillId="0" borderId="0" xfId="0" applyFont="1" applyAlignment="1">
      <alignment horizontal="left"/>
    </xf>
    <xf numFmtId="0" fontId="34" fillId="0" borderId="0" xfId="0" applyFont="1"/>
    <xf numFmtId="0" fontId="35" fillId="0" borderId="0" xfId="0" applyFont="1" applyAlignment="1">
      <alignment horizontal="center"/>
    </xf>
    <xf numFmtId="0" fontId="30" fillId="0" borderId="0" xfId="0" applyFont="1"/>
    <xf numFmtId="164" fontId="30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4" fillId="35" borderId="0" xfId="0" applyFont="1" applyFill="1"/>
    <xf numFmtId="0" fontId="36" fillId="0" borderId="0" xfId="0" applyFont="1"/>
    <xf numFmtId="164" fontId="0" fillId="36" borderId="0" xfId="0" applyNumberFormat="1" applyFill="1"/>
    <xf numFmtId="2" fontId="0" fillId="36" borderId="0" xfId="0" applyNumberFormat="1" applyFill="1"/>
    <xf numFmtId="0" fontId="24" fillId="36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2" fontId="23" fillId="33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Topo!$A$3:$A$50</c:f>
              <c:numCache>
                <c:formatCode>General</c:formatCode>
                <c:ptCount val="4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</c:numCache>
            </c:numRef>
          </c:xVal>
          <c:yVal>
            <c:numRef>
              <c:f>Topo!$B$3:$B$50</c:f>
              <c:numCache>
                <c:formatCode>General</c:formatCode>
                <c:ptCount val="48"/>
                <c:pt idx="0">
                  <c:v>3220.8310000000001</c:v>
                </c:pt>
                <c:pt idx="1">
                  <c:v>3220.64</c:v>
                </c:pt>
                <c:pt idx="2">
                  <c:v>3220.57</c:v>
                </c:pt>
                <c:pt idx="3">
                  <c:v>3221.4549999999999</c:v>
                </c:pt>
                <c:pt idx="4">
                  <c:v>3221.27</c:v>
                </c:pt>
                <c:pt idx="5">
                  <c:v>3221.5349999999999</c:v>
                </c:pt>
                <c:pt idx="6">
                  <c:v>3222.1109999999999</c:v>
                </c:pt>
                <c:pt idx="7">
                  <c:v>3223.0039999999999</c:v>
                </c:pt>
                <c:pt idx="8">
                  <c:v>3224.328</c:v>
                </c:pt>
                <c:pt idx="9">
                  <c:v>3225.6759999999999</c:v>
                </c:pt>
                <c:pt idx="10">
                  <c:v>3225.607</c:v>
                </c:pt>
                <c:pt idx="11">
                  <c:v>3225.7069999999999</c:v>
                </c:pt>
                <c:pt idx="12">
                  <c:v>3224.4349999999999</c:v>
                </c:pt>
                <c:pt idx="13">
                  <c:v>3226.01</c:v>
                </c:pt>
                <c:pt idx="14">
                  <c:v>3228.2220000000002</c:v>
                </c:pt>
                <c:pt idx="15">
                  <c:v>3227.3690000000001</c:v>
                </c:pt>
                <c:pt idx="16">
                  <c:v>3226.6759999999999</c:v>
                </c:pt>
                <c:pt idx="17">
                  <c:v>3226.3890000000001</c:v>
                </c:pt>
                <c:pt idx="18">
                  <c:v>3226.42</c:v>
                </c:pt>
                <c:pt idx="19">
                  <c:v>3227.0549999999998</c:v>
                </c:pt>
                <c:pt idx="20">
                  <c:v>3226.393</c:v>
                </c:pt>
                <c:pt idx="21">
                  <c:v>3226.33</c:v>
                </c:pt>
                <c:pt idx="22">
                  <c:v>3227.3290000000002</c:v>
                </c:pt>
                <c:pt idx="23">
                  <c:v>3228.3890000000001</c:v>
                </c:pt>
                <c:pt idx="24">
                  <c:v>3228.625</c:v>
                </c:pt>
                <c:pt idx="25">
                  <c:v>3229.7979999999998</c:v>
                </c:pt>
                <c:pt idx="26">
                  <c:v>3230.2669999999998</c:v>
                </c:pt>
                <c:pt idx="27">
                  <c:v>3231.0880000000002</c:v>
                </c:pt>
                <c:pt idx="28">
                  <c:v>3229.83</c:v>
                </c:pt>
                <c:pt idx="29">
                  <c:v>3230.4169999999999</c:v>
                </c:pt>
                <c:pt idx="30">
                  <c:v>3232.585</c:v>
                </c:pt>
                <c:pt idx="31">
                  <c:v>3232.5079999999998</c:v>
                </c:pt>
                <c:pt idx="32">
                  <c:v>3233.3530000000001</c:v>
                </c:pt>
                <c:pt idx="33">
                  <c:v>3234.3449999999998</c:v>
                </c:pt>
                <c:pt idx="34">
                  <c:v>3234.74</c:v>
                </c:pt>
                <c:pt idx="35">
                  <c:v>3236.0059999999999</c:v>
                </c:pt>
                <c:pt idx="36">
                  <c:v>3236.1289999999999</c:v>
                </c:pt>
                <c:pt idx="37">
                  <c:v>3237.223</c:v>
                </c:pt>
                <c:pt idx="38">
                  <c:v>3237.5329999999999</c:v>
                </c:pt>
                <c:pt idx="39">
                  <c:v>3237.58</c:v>
                </c:pt>
                <c:pt idx="40">
                  <c:v>3237.75</c:v>
                </c:pt>
                <c:pt idx="41">
                  <c:v>3238.8589999999999</c:v>
                </c:pt>
                <c:pt idx="42">
                  <c:v>3239.1</c:v>
                </c:pt>
                <c:pt idx="43">
                  <c:v>3239.6660000000002</c:v>
                </c:pt>
                <c:pt idx="44">
                  <c:v>3239.598</c:v>
                </c:pt>
                <c:pt idx="45">
                  <c:v>3241.326</c:v>
                </c:pt>
                <c:pt idx="46">
                  <c:v>3243.0120000000002</c:v>
                </c:pt>
                <c:pt idx="47">
                  <c:v>3244.3809999999999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3-475A-A5F5-E91FBDD0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1487"/>
        <c:axId val="321322335"/>
      </c:scatterChart>
      <c:valAx>
        <c:axId val="32136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22335"/>
        <c:crosses val="autoZero"/>
        <c:crossBetween val="midCat"/>
      </c:valAx>
      <c:valAx>
        <c:axId val="32132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6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GOL05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Topo!$D$3:$D$50</c:f>
              <c:numCache>
                <c:formatCode>General</c:formatCode>
                <c:ptCount val="4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</c:numCache>
            </c:numRef>
          </c:xVal>
          <c:yVal>
            <c:numRef>
              <c:f>Topo!$E$3:$E$50</c:f>
              <c:numCache>
                <c:formatCode>General</c:formatCode>
                <c:ptCount val="48"/>
                <c:pt idx="0">
                  <c:v>3399.2919999999999</c:v>
                </c:pt>
                <c:pt idx="1">
                  <c:v>3398.924</c:v>
                </c:pt>
                <c:pt idx="2">
                  <c:v>3398.107</c:v>
                </c:pt>
                <c:pt idx="3">
                  <c:v>3396.931</c:v>
                </c:pt>
                <c:pt idx="4">
                  <c:v>3396.4160000000002</c:v>
                </c:pt>
                <c:pt idx="5">
                  <c:v>3396.5540000000001</c:v>
                </c:pt>
                <c:pt idx="6">
                  <c:v>3397.0819999999999</c:v>
                </c:pt>
                <c:pt idx="7">
                  <c:v>3397.9180000000001</c:v>
                </c:pt>
                <c:pt idx="8">
                  <c:v>3398.55</c:v>
                </c:pt>
                <c:pt idx="9">
                  <c:v>3399.1379999999999</c:v>
                </c:pt>
                <c:pt idx="10">
                  <c:v>3399.95</c:v>
                </c:pt>
                <c:pt idx="11">
                  <c:v>3400.837</c:v>
                </c:pt>
                <c:pt idx="12">
                  <c:v>3401.5340000000001</c:v>
                </c:pt>
                <c:pt idx="13">
                  <c:v>3402.5369999999998</c:v>
                </c:pt>
                <c:pt idx="14">
                  <c:v>3404.067</c:v>
                </c:pt>
                <c:pt idx="15">
                  <c:v>3404.83</c:v>
                </c:pt>
                <c:pt idx="16">
                  <c:v>3405.9009999999998</c:v>
                </c:pt>
                <c:pt idx="17">
                  <c:v>3406.9009999999998</c:v>
                </c:pt>
                <c:pt idx="18">
                  <c:v>3407.8589999999999</c:v>
                </c:pt>
                <c:pt idx="19">
                  <c:v>3408.5569999999998</c:v>
                </c:pt>
                <c:pt idx="20">
                  <c:v>3409.884</c:v>
                </c:pt>
                <c:pt idx="21">
                  <c:v>3410.5819999999999</c:v>
                </c:pt>
                <c:pt idx="22">
                  <c:v>3411.46</c:v>
                </c:pt>
                <c:pt idx="23">
                  <c:v>3411.9479999999999</c:v>
                </c:pt>
                <c:pt idx="24">
                  <c:v>3412.433</c:v>
                </c:pt>
                <c:pt idx="25">
                  <c:v>3412.7820000000002</c:v>
                </c:pt>
                <c:pt idx="26">
                  <c:v>3413.2289999999998</c:v>
                </c:pt>
                <c:pt idx="27">
                  <c:v>3414.002</c:v>
                </c:pt>
                <c:pt idx="28">
                  <c:v>3414.415</c:v>
                </c:pt>
                <c:pt idx="29">
                  <c:v>3415.0830000000001</c:v>
                </c:pt>
                <c:pt idx="30">
                  <c:v>3415.8829999999998</c:v>
                </c:pt>
                <c:pt idx="31">
                  <c:v>3416.261</c:v>
                </c:pt>
                <c:pt idx="32">
                  <c:v>3416.616</c:v>
                </c:pt>
                <c:pt idx="33">
                  <c:v>3417.1550000000002</c:v>
                </c:pt>
                <c:pt idx="34">
                  <c:v>3417.9290000000001</c:v>
                </c:pt>
                <c:pt idx="35">
                  <c:v>3418.1030000000001</c:v>
                </c:pt>
                <c:pt idx="36">
                  <c:v>3418.23</c:v>
                </c:pt>
                <c:pt idx="37">
                  <c:v>3419.3240000000001</c:v>
                </c:pt>
                <c:pt idx="38">
                  <c:v>3419.904</c:v>
                </c:pt>
                <c:pt idx="39">
                  <c:v>3420.6</c:v>
                </c:pt>
                <c:pt idx="40">
                  <c:v>3421.0410000000002</c:v>
                </c:pt>
                <c:pt idx="41">
                  <c:v>3421.0880000000002</c:v>
                </c:pt>
                <c:pt idx="42">
                  <c:v>3421.009</c:v>
                </c:pt>
                <c:pt idx="43">
                  <c:v>3420.8879999999999</c:v>
                </c:pt>
                <c:pt idx="44">
                  <c:v>3420.415</c:v>
                </c:pt>
                <c:pt idx="45">
                  <c:v>3420.288</c:v>
                </c:pt>
                <c:pt idx="46">
                  <c:v>3420.491</c:v>
                </c:pt>
                <c:pt idx="47">
                  <c:v>3420.6210000000001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2-4767-B3CF-927D16D3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940991"/>
        <c:axId val="726143087"/>
      </c:scatterChart>
      <c:valAx>
        <c:axId val="32094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43087"/>
        <c:crosses val="autoZero"/>
        <c:crossBetween val="midCat"/>
      </c:valAx>
      <c:valAx>
        <c:axId val="7261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4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GOL06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Topo!$G$3:$G$53</c:f>
              <c:numCache>
                <c:formatCode>General</c:formatCode>
                <c:ptCount val="5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</c:numCache>
            </c:numRef>
          </c:xVal>
          <c:yVal>
            <c:numRef>
              <c:f>Topo!$H$3:$H$50</c:f>
              <c:numCache>
                <c:formatCode>General</c:formatCode>
                <c:ptCount val="48"/>
                <c:pt idx="0">
                  <c:v>3211.8040000000001</c:v>
                </c:pt>
                <c:pt idx="1">
                  <c:v>3210.0549999999998</c:v>
                </c:pt>
                <c:pt idx="2">
                  <c:v>3208.605</c:v>
                </c:pt>
                <c:pt idx="3">
                  <c:v>3207.2220000000002</c:v>
                </c:pt>
                <c:pt idx="4">
                  <c:v>3205.5540000000001</c:v>
                </c:pt>
                <c:pt idx="5">
                  <c:v>3204.3009999999999</c:v>
                </c:pt>
                <c:pt idx="6">
                  <c:v>3202.6289999999999</c:v>
                </c:pt>
                <c:pt idx="7">
                  <c:v>3201.6239999999998</c:v>
                </c:pt>
                <c:pt idx="8">
                  <c:v>3200.39</c:v>
                </c:pt>
                <c:pt idx="9">
                  <c:v>3199.252</c:v>
                </c:pt>
                <c:pt idx="10">
                  <c:v>3199.04</c:v>
                </c:pt>
                <c:pt idx="11">
                  <c:v>3199.3980000000001</c:v>
                </c:pt>
                <c:pt idx="12">
                  <c:v>3200.1039999999998</c:v>
                </c:pt>
                <c:pt idx="13">
                  <c:v>3200.1990000000001</c:v>
                </c:pt>
                <c:pt idx="14">
                  <c:v>3200.3420000000001</c:v>
                </c:pt>
                <c:pt idx="15">
                  <c:v>3199.2640000000001</c:v>
                </c:pt>
                <c:pt idx="16">
                  <c:v>3198.5219999999999</c:v>
                </c:pt>
                <c:pt idx="17">
                  <c:v>3197.73</c:v>
                </c:pt>
                <c:pt idx="18">
                  <c:v>3196.2820000000002</c:v>
                </c:pt>
                <c:pt idx="19">
                  <c:v>3195.1060000000002</c:v>
                </c:pt>
                <c:pt idx="20">
                  <c:v>3194.009</c:v>
                </c:pt>
                <c:pt idx="21">
                  <c:v>3194.2649999999999</c:v>
                </c:pt>
                <c:pt idx="22">
                  <c:v>3194.2449999999999</c:v>
                </c:pt>
                <c:pt idx="23">
                  <c:v>3193.2359999999999</c:v>
                </c:pt>
                <c:pt idx="24">
                  <c:v>3192.7440000000001</c:v>
                </c:pt>
                <c:pt idx="25">
                  <c:v>3191.683</c:v>
                </c:pt>
                <c:pt idx="26">
                  <c:v>3191.9340000000002</c:v>
                </c:pt>
                <c:pt idx="27">
                  <c:v>3191.9470000000001</c:v>
                </c:pt>
                <c:pt idx="28">
                  <c:v>3191.7220000000002</c:v>
                </c:pt>
                <c:pt idx="29">
                  <c:v>3190.6219999999998</c:v>
                </c:pt>
                <c:pt idx="30">
                  <c:v>3188.9250000000002</c:v>
                </c:pt>
                <c:pt idx="31">
                  <c:v>3187.8209999999999</c:v>
                </c:pt>
                <c:pt idx="32">
                  <c:v>3187.0120000000002</c:v>
                </c:pt>
                <c:pt idx="33">
                  <c:v>3186.971</c:v>
                </c:pt>
                <c:pt idx="34">
                  <c:v>3186.895</c:v>
                </c:pt>
                <c:pt idx="35">
                  <c:v>3186.2330000000002</c:v>
                </c:pt>
                <c:pt idx="36">
                  <c:v>3185.9369999999999</c:v>
                </c:pt>
                <c:pt idx="37">
                  <c:v>3185.4160000000002</c:v>
                </c:pt>
                <c:pt idx="38">
                  <c:v>3184.7310000000002</c:v>
                </c:pt>
                <c:pt idx="39">
                  <c:v>3184.2469999999998</c:v>
                </c:pt>
                <c:pt idx="40">
                  <c:v>3183.65</c:v>
                </c:pt>
                <c:pt idx="41">
                  <c:v>3180</c:v>
                </c:pt>
                <c:pt idx="42">
                  <c:v>3177.252</c:v>
                </c:pt>
                <c:pt idx="43">
                  <c:v>3174.1210000000001</c:v>
                </c:pt>
                <c:pt idx="44">
                  <c:v>3173.3589999999999</c:v>
                </c:pt>
                <c:pt idx="45">
                  <c:v>3172.348</c:v>
                </c:pt>
                <c:pt idx="46">
                  <c:v>3171.6109999999999</c:v>
                </c:pt>
                <c:pt idx="47">
                  <c:v>3170.5520000000001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2-45F7-AC47-5C324194F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274031"/>
        <c:axId val="732007311"/>
      </c:scatterChart>
      <c:valAx>
        <c:axId val="724274031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07311"/>
        <c:crosses val="autoZero"/>
        <c:crossBetween val="midCat"/>
      </c:valAx>
      <c:valAx>
        <c:axId val="7320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7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GOL07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Topo!$J$3:$J$122</c:f>
              <c:numCache>
                <c:formatCode>General</c:formatCode>
                <c:ptCount val="1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</c:numCache>
            </c:numRef>
          </c:xVal>
          <c:yVal>
            <c:numRef>
              <c:f>Topo!$K$3:$K$122</c:f>
              <c:numCache>
                <c:formatCode>General</c:formatCode>
                <c:ptCount val="120"/>
                <c:pt idx="0">
                  <c:v>3192.4050000000002</c:v>
                </c:pt>
                <c:pt idx="1">
                  <c:v>3191.74</c:v>
                </c:pt>
                <c:pt idx="2">
                  <c:v>3191.5459999999998</c:v>
                </c:pt>
                <c:pt idx="3">
                  <c:v>3191.55</c:v>
                </c:pt>
                <c:pt idx="4">
                  <c:v>3189.8789999999999</c:v>
                </c:pt>
                <c:pt idx="5">
                  <c:v>3190.5360000000001</c:v>
                </c:pt>
                <c:pt idx="6">
                  <c:v>3190.1480000000001</c:v>
                </c:pt>
                <c:pt idx="7">
                  <c:v>3188.3670000000002</c:v>
                </c:pt>
                <c:pt idx="8">
                  <c:v>3188.1080000000002</c:v>
                </c:pt>
                <c:pt idx="9">
                  <c:v>3187.65</c:v>
                </c:pt>
                <c:pt idx="10">
                  <c:v>3187.2330000000002</c:v>
                </c:pt>
                <c:pt idx="11">
                  <c:v>3187.5059999999999</c:v>
                </c:pt>
                <c:pt idx="12">
                  <c:v>3187.4929999999999</c:v>
                </c:pt>
                <c:pt idx="13">
                  <c:v>3186.431</c:v>
                </c:pt>
                <c:pt idx="14">
                  <c:v>3185.0169999999998</c:v>
                </c:pt>
                <c:pt idx="15">
                  <c:v>3184.0529999999999</c:v>
                </c:pt>
                <c:pt idx="16">
                  <c:v>3182.694</c:v>
                </c:pt>
                <c:pt idx="17">
                  <c:v>3182.0810000000001</c:v>
                </c:pt>
                <c:pt idx="18">
                  <c:v>3181.788</c:v>
                </c:pt>
                <c:pt idx="19">
                  <c:v>3181.7869999999998</c:v>
                </c:pt>
                <c:pt idx="20">
                  <c:v>3177.9870000000001</c:v>
                </c:pt>
                <c:pt idx="21">
                  <c:v>3178.241</c:v>
                </c:pt>
                <c:pt idx="22">
                  <c:v>3177.5610000000001</c:v>
                </c:pt>
                <c:pt idx="23">
                  <c:v>3177.2979999999998</c:v>
                </c:pt>
                <c:pt idx="24">
                  <c:v>3176.3989999999999</c:v>
                </c:pt>
                <c:pt idx="25">
                  <c:v>3176.056</c:v>
                </c:pt>
                <c:pt idx="26">
                  <c:v>3175.5819999999999</c:v>
                </c:pt>
                <c:pt idx="27">
                  <c:v>3175.1660000000002</c:v>
                </c:pt>
                <c:pt idx="28">
                  <c:v>3172.9690000000001</c:v>
                </c:pt>
                <c:pt idx="29">
                  <c:v>3173.1289999999999</c:v>
                </c:pt>
                <c:pt idx="30">
                  <c:v>3173.915</c:v>
                </c:pt>
                <c:pt idx="31">
                  <c:v>3173.35</c:v>
                </c:pt>
                <c:pt idx="32">
                  <c:v>3172.2719999999999</c:v>
                </c:pt>
                <c:pt idx="33">
                  <c:v>3174.35</c:v>
                </c:pt>
                <c:pt idx="34">
                  <c:v>3173.2689999999998</c:v>
                </c:pt>
                <c:pt idx="35">
                  <c:v>3173.9670000000001</c:v>
                </c:pt>
                <c:pt idx="36">
                  <c:v>3171.951</c:v>
                </c:pt>
                <c:pt idx="37">
                  <c:v>3172.36</c:v>
                </c:pt>
                <c:pt idx="38">
                  <c:v>3172.259</c:v>
                </c:pt>
                <c:pt idx="39">
                  <c:v>3171.31</c:v>
                </c:pt>
                <c:pt idx="40">
                  <c:v>3173.1619999999998</c:v>
                </c:pt>
                <c:pt idx="41">
                  <c:v>3174.806</c:v>
                </c:pt>
                <c:pt idx="42">
                  <c:v>3174.33</c:v>
                </c:pt>
                <c:pt idx="43">
                  <c:v>3173.0450000000001</c:v>
                </c:pt>
                <c:pt idx="44">
                  <c:v>3173.5419999999999</c:v>
                </c:pt>
                <c:pt idx="45">
                  <c:v>3173.8670000000002</c:v>
                </c:pt>
                <c:pt idx="46">
                  <c:v>3173.6419999999998</c:v>
                </c:pt>
                <c:pt idx="47">
                  <c:v>3174.9650000000001</c:v>
                </c:pt>
                <c:pt idx="48">
                  <c:v>3175.0889999999999</c:v>
                </c:pt>
                <c:pt idx="49">
                  <c:v>3175.1689999999999</c:v>
                </c:pt>
                <c:pt idx="50">
                  <c:v>3173.2370000000001</c:v>
                </c:pt>
                <c:pt idx="51">
                  <c:v>3172.2779999999998</c:v>
                </c:pt>
                <c:pt idx="52">
                  <c:v>3171.4639999999999</c:v>
                </c:pt>
                <c:pt idx="53">
                  <c:v>3170.7330000000002</c:v>
                </c:pt>
                <c:pt idx="54">
                  <c:v>3170.9920000000002</c:v>
                </c:pt>
                <c:pt idx="55">
                  <c:v>3169.2930000000001</c:v>
                </c:pt>
                <c:pt idx="56">
                  <c:v>3166.297</c:v>
                </c:pt>
                <c:pt idx="57">
                  <c:v>3165.18</c:v>
                </c:pt>
                <c:pt idx="58">
                  <c:v>3163.3919999999998</c:v>
                </c:pt>
                <c:pt idx="59">
                  <c:v>3159.6779999999999</c:v>
                </c:pt>
                <c:pt idx="60">
                  <c:v>3157.1689999999999</c:v>
                </c:pt>
                <c:pt idx="61">
                  <c:v>3155.087</c:v>
                </c:pt>
                <c:pt idx="62">
                  <c:v>3153.71</c:v>
                </c:pt>
                <c:pt idx="63">
                  <c:v>3153.424</c:v>
                </c:pt>
                <c:pt idx="64">
                  <c:v>3153.62</c:v>
                </c:pt>
                <c:pt idx="65">
                  <c:v>3152.5369999999998</c:v>
                </c:pt>
                <c:pt idx="66">
                  <c:v>3151.5970000000002</c:v>
                </c:pt>
                <c:pt idx="67">
                  <c:v>3151.1039999999998</c:v>
                </c:pt>
                <c:pt idx="68">
                  <c:v>3150.3420000000001</c:v>
                </c:pt>
                <c:pt idx="69">
                  <c:v>3147.3359999999998</c:v>
                </c:pt>
                <c:pt idx="70">
                  <c:v>3144.556</c:v>
                </c:pt>
                <c:pt idx="71">
                  <c:v>3143.625</c:v>
                </c:pt>
                <c:pt idx="72">
                  <c:v>3143.3359999999998</c:v>
                </c:pt>
                <c:pt idx="73">
                  <c:v>3141.6930000000002</c:v>
                </c:pt>
                <c:pt idx="74">
                  <c:v>3140.4769999999999</c:v>
                </c:pt>
                <c:pt idx="75">
                  <c:v>3139.2159999999999</c:v>
                </c:pt>
                <c:pt idx="76">
                  <c:v>3141.3589999999999</c:v>
                </c:pt>
                <c:pt idx="77">
                  <c:v>3142.444</c:v>
                </c:pt>
                <c:pt idx="78">
                  <c:v>3142.8809999999999</c:v>
                </c:pt>
                <c:pt idx="79">
                  <c:v>3141.3139999999999</c:v>
                </c:pt>
                <c:pt idx="80">
                  <c:v>3140.2849999999999</c:v>
                </c:pt>
                <c:pt idx="81">
                  <c:v>3141.239</c:v>
                </c:pt>
                <c:pt idx="82">
                  <c:v>3141.2730000000001</c:v>
                </c:pt>
                <c:pt idx="83">
                  <c:v>3139.5059999999999</c:v>
                </c:pt>
                <c:pt idx="84">
                  <c:v>3137.5650000000001</c:v>
                </c:pt>
                <c:pt idx="85">
                  <c:v>3136.998</c:v>
                </c:pt>
                <c:pt idx="86">
                  <c:v>3135.8150000000001</c:v>
                </c:pt>
                <c:pt idx="87">
                  <c:v>3134.556</c:v>
                </c:pt>
                <c:pt idx="88">
                  <c:v>3133.721</c:v>
                </c:pt>
                <c:pt idx="89">
                  <c:v>3133.2359999999999</c:v>
                </c:pt>
                <c:pt idx="90">
                  <c:v>3132.5010000000002</c:v>
                </c:pt>
                <c:pt idx="91">
                  <c:v>3131.6320000000001</c:v>
                </c:pt>
                <c:pt idx="92">
                  <c:v>3132.19</c:v>
                </c:pt>
                <c:pt idx="93">
                  <c:v>3130.837</c:v>
                </c:pt>
                <c:pt idx="94">
                  <c:v>3129.13</c:v>
                </c:pt>
                <c:pt idx="95">
                  <c:v>3129.8589999999999</c:v>
                </c:pt>
                <c:pt idx="96">
                  <c:v>3127.8960000000002</c:v>
                </c:pt>
                <c:pt idx="97">
                  <c:v>3127.799</c:v>
                </c:pt>
                <c:pt idx="98">
                  <c:v>3126.4609999999998</c:v>
                </c:pt>
                <c:pt idx="99">
                  <c:v>3125.846</c:v>
                </c:pt>
                <c:pt idx="100">
                  <c:v>3126.2910000000002</c:v>
                </c:pt>
                <c:pt idx="101">
                  <c:v>3126.752</c:v>
                </c:pt>
                <c:pt idx="102">
                  <c:v>3126.1869999999999</c:v>
                </c:pt>
                <c:pt idx="103">
                  <c:v>3124.5770000000002</c:v>
                </c:pt>
                <c:pt idx="104">
                  <c:v>3122.7640000000001</c:v>
                </c:pt>
                <c:pt idx="105">
                  <c:v>3120.8420000000001</c:v>
                </c:pt>
                <c:pt idx="106">
                  <c:v>3122.116</c:v>
                </c:pt>
                <c:pt idx="107">
                  <c:v>3120.3510000000001</c:v>
                </c:pt>
                <c:pt idx="108">
                  <c:v>3118.5369999999998</c:v>
                </c:pt>
                <c:pt idx="109">
                  <c:v>3118.402</c:v>
                </c:pt>
                <c:pt idx="110">
                  <c:v>3116.732</c:v>
                </c:pt>
                <c:pt idx="111">
                  <c:v>3115.2779999999998</c:v>
                </c:pt>
                <c:pt idx="112">
                  <c:v>3114.0610000000001</c:v>
                </c:pt>
                <c:pt idx="113">
                  <c:v>3114.0189999999998</c:v>
                </c:pt>
                <c:pt idx="114">
                  <c:v>3113.4</c:v>
                </c:pt>
                <c:pt idx="115">
                  <c:v>3112.0549999999998</c:v>
                </c:pt>
                <c:pt idx="116">
                  <c:v>3110.9290000000001</c:v>
                </c:pt>
                <c:pt idx="117">
                  <c:v>3109.9430000000002</c:v>
                </c:pt>
                <c:pt idx="118">
                  <c:v>3108.194</c:v>
                </c:pt>
                <c:pt idx="119">
                  <c:v>3107.404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6-4B5D-BF0B-F2951B022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205263"/>
        <c:axId val="322329199"/>
      </c:scatterChart>
      <c:valAx>
        <c:axId val="1259205263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29199"/>
        <c:crosses val="autoZero"/>
        <c:crossBetween val="midCat"/>
      </c:valAx>
      <c:valAx>
        <c:axId val="3223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20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GOL08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Topo!$M$3:$M$50</c:f>
              <c:numCache>
                <c:formatCode>General</c:formatCode>
                <c:ptCount val="4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</c:numCache>
            </c:numRef>
          </c:xVal>
          <c:yVal>
            <c:numRef>
              <c:f>Topo!$N$3:$N$50</c:f>
              <c:numCache>
                <c:formatCode>General</c:formatCode>
                <c:ptCount val="48"/>
                <c:pt idx="0">
                  <c:v>3021.2080000000001</c:v>
                </c:pt>
                <c:pt idx="1">
                  <c:v>3022.489</c:v>
                </c:pt>
                <c:pt idx="2">
                  <c:v>3025.1089999999999</c:v>
                </c:pt>
                <c:pt idx="3">
                  <c:v>3027.86</c:v>
                </c:pt>
                <c:pt idx="4">
                  <c:v>3029.7660000000001</c:v>
                </c:pt>
                <c:pt idx="5">
                  <c:v>3031.085</c:v>
                </c:pt>
                <c:pt idx="6">
                  <c:v>3032.5970000000002</c:v>
                </c:pt>
                <c:pt idx="7">
                  <c:v>3033.7840000000001</c:v>
                </c:pt>
                <c:pt idx="8">
                  <c:v>3034.7379999999998</c:v>
                </c:pt>
                <c:pt idx="9">
                  <c:v>3035.9470000000001</c:v>
                </c:pt>
                <c:pt idx="10">
                  <c:v>3036.4969999999998</c:v>
                </c:pt>
                <c:pt idx="11">
                  <c:v>3037.1619999999998</c:v>
                </c:pt>
                <c:pt idx="12">
                  <c:v>3038.0810000000001</c:v>
                </c:pt>
                <c:pt idx="13">
                  <c:v>3039.5079999999998</c:v>
                </c:pt>
                <c:pt idx="14">
                  <c:v>3041.6970000000001</c:v>
                </c:pt>
                <c:pt idx="15">
                  <c:v>3044.029</c:v>
                </c:pt>
                <c:pt idx="16">
                  <c:v>3045.569</c:v>
                </c:pt>
                <c:pt idx="17">
                  <c:v>3047.0279999999998</c:v>
                </c:pt>
                <c:pt idx="18">
                  <c:v>3048.924</c:v>
                </c:pt>
                <c:pt idx="19">
                  <c:v>3051.8270000000002</c:v>
                </c:pt>
                <c:pt idx="20">
                  <c:v>3054.9690000000001</c:v>
                </c:pt>
                <c:pt idx="21">
                  <c:v>3056.7579999999998</c:v>
                </c:pt>
                <c:pt idx="22">
                  <c:v>3057.7779999999998</c:v>
                </c:pt>
                <c:pt idx="23">
                  <c:v>3059.7170000000001</c:v>
                </c:pt>
                <c:pt idx="24">
                  <c:v>3061.9340000000002</c:v>
                </c:pt>
                <c:pt idx="25">
                  <c:v>3062.99</c:v>
                </c:pt>
                <c:pt idx="26">
                  <c:v>3064.52</c:v>
                </c:pt>
                <c:pt idx="27">
                  <c:v>3067.1860000000001</c:v>
                </c:pt>
                <c:pt idx="28">
                  <c:v>3068.549</c:v>
                </c:pt>
                <c:pt idx="29">
                  <c:v>3069.962</c:v>
                </c:pt>
                <c:pt idx="30">
                  <c:v>3071.8470000000002</c:v>
                </c:pt>
                <c:pt idx="31">
                  <c:v>3073.7269999999999</c:v>
                </c:pt>
                <c:pt idx="32">
                  <c:v>3075.1190000000001</c:v>
                </c:pt>
                <c:pt idx="33">
                  <c:v>3076.4690000000001</c:v>
                </c:pt>
                <c:pt idx="34">
                  <c:v>3077.5189999999998</c:v>
                </c:pt>
                <c:pt idx="35">
                  <c:v>3078.5740000000001</c:v>
                </c:pt>
                <c:pt idx="36">
                  <c:v>3078.66</c:v>
                </c:pt>
                <c:pt idx="37">
                  <c:v>3080.8119999999999</c:v>
                </c:pt>
                <c:pt idx="38">
                  <c:v>3082.0430000000001</c:v>
                </c:pt>
                <c:pt idx="39">
                  <c:v>3083.1860000000001</c:v>
                </c:pt>
                <c:pt idx="40">
                  <c:v>3084.6280000000002</c:v>
                </c:pt>
                <c:pt idx="41">
                  <c:v>3086.0160000000001</c:v>
                </c:pt>
                <c:pt idx="42">
                  <c:v>3085.5770000000002</c:v>
                </c:pt>
                <c:pt idx="43">
                  <c:v>3087.2649999999999</c:v>
                </c:pt>
                <c:pt idx="44">
                  <c:v>3088.1689999999999</c:v>
                </c:pt>
                <c:pt idx="45">
                  <c:v>3089.5120000000002</c:v>
                </c:pt>
                <c:pt idx="46">
                  <c:v>3090.5729999999999</c:v>
                </c:pt>
                <c:pt idx="47">
                  <c:v>3088.3310000000001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1-4BE6-949F-210D98863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699967"/>
        <c:axId val="1263213887"/>
      </c:scatterChart>
      <c:valAx>
        <c:axId val="7376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13887"/>
        <c:crosses val="autoZero"/>
        <c:crossBetween val="midCat"/>
      </c:valAx>
      <c:valAx>
        <c:axId val="12632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689256185319177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GOL07_RST_ab_correct!$D$3:$D$28</c:f>
              <c:numCache>
                <c:formatCode>General</c:formatCode>
                <c:ptCount val="26"/>
                <c:pt idx="0">
                  <c:v>3192.4050000000002</c:v>
                </c:pt>
                <c:pt idx="1">
                  <c:v>3192.4050000000002</c:v>
                </c:pt>
                <c:pt idx="2">
                  <c:v>3191.74</c:v>
                </c:pt>
                <c:pt idx="3">
                  <c:v>3191.5459999999998</c:v>
                </c:pt>
                <c:pt idx="4">
                  <c:v>3191.55</c:v>
                </c:pt>
                <c:pt idx="5">
                  <c:v>3189.8789999999999</c:v>
                </c:pt>
                <c:pt idx="6">
                  <c:v>3190.5360000000001</c:v>
                </c:pt>
                <c:pt idx="7">
                  <c:v>3190.1480000000001</c:v>
                </c:pt>
                <c:pt idx="8">
                  <c:v>3188.3670000000002</c:v>
                </c:pt>
                <c:pt idx="9">
                  <c:v>3188.1080000000002</c:v>
                </c:pt>
                <c:pt idx="10">
                  <c:v>3187.65</c:v>
                </c:pt>
                <c:pt idx="11">
                  <c:v>3187.2330000000002</c:v>
                </c:pt>
                <c:pt idx="12">
                  <c:v>3187.5059999999999</c:v>
                </c:pt>
                <c:pt idx="13">
                  <c:v>3187.4929999999999</c:v>
                </c:pt>
                <c:pt idx="14">
                  <c:v>3186.431</c:v>
                </c:pt>
                <c:pt idx="15">
                  <c:v>3185.0169999999998</c:v>
                </c:pt>
                <c:pt idx="16">
                  <c:v>3184.0529999999999</c:v>
                </c:pt>
                <c:pt idx="17">
                  <c:v>3182.694</c:v>
                </c:pt>
                <c:pt idx="18">
                  <c:v>3182.0810000000001</c:v>
                </c:pt>
                <c:pt idx="19">
                  <c:v>3181.788</c:v>
                </c:pt>
                <c:pt idx="20">
                  <c:v>3181.7869999999998</c:v>
                </c:pt>
                <c:pt idx="21">
                  <c:v>3177.9870000000001</c:v>
                </c:pt>
                <c:pt idx="22">
                  <c:v>3178.241</c:v>
                </c:pt>
                <c:pt idx="23">
                  <c:v>3177.5610000000001</c:v>
                </c:pt>
                <c:pt idx="24">
                  <c:v>3177.2979999999998</c:v>
                </c:pt>
                <c:pt idx="25">
                  <c:v>3177.2979999999998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9-42B4-897C-E2C99CAC2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15007"/>
        <c:axId val="892736879"/>
      </c:scatterChart>
      <c:valAx>
        <c:axId val="88881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736879"/>
        <c:crosses val="autoZero"/>
        <c:crossBetween val="midCat"/>
      </c:valAx>
      <c:valAx>
        <c:axId val="89273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1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114300</xdr:rowOff>
    </xdr:from>
    <xdr:to>
      <xdr:col>5</xdr:col>
      <xdr:colOff>662940</xdr:colOff>
      <xdr:row>14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BC12214-AC3E-4562-A761-0BE1FF47E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14</xdr:row>
      <xdr:rowOff>99060</xdr:rowOff>
    </xdr:from>
    <xdr:to>
      <xdr:col>6</xdr:col>
      <xdr:colOff>640080</xdr:colOff>
      <xdr:row>23</xdr:row>
      <xdr:rowOff>83820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CC7008-C391-410F-B652-551AF96CA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762000</xdr:colOff>
      <xdr:row>3</xdr:row>
      <xdr:rowOff>167640</xdr:rowOff>
    </xdr:from>
    <xdr:to>
      <xdr:col>11</xdr:col>
      <xdr:colOff>579120</xdr:colOff>
      <xdr:row>12</xdr:row>
      <xdr:rowOff>15240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39F7C2D-5258-4488-8038-A3176A436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144780</xdr:colOff>
      <xdr:row>14</xdr:row>
      <xdr:rowOff>22860</xdr:rowOff>
    </xdr:from>
    <xdr:to>
      <xdr:col>12</xdr:col>
      <xdr:colOff>754380</xdr:colOff>
      <xdr:row>22</xdr:row>
      <xdr:rowOff>53340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283A177-7257-41BF-9AA0-13D9D5B60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426720</xdr:colOff>
      <xdr:row>3</xdr:row>
      <xdr:rowOff>22860</xdr:rowOff>
    </xdr:from>
    <xdr:to>
      <xdr:col>18</xdr:col>
      <xdr:colOff>243840</xdr:colOff>
      <xdr:row>14</xdr:row>
      <xdr:rowOff>60960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DEDF63B1-7895-4126-A443-DC1FB5112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35</xdr:row>
      <xdr:rowOff>142874</xdr:rowOff>
    </xdr:from>
    <xdr:to>
      <xdr:col>18</xdr:col>
      <xdr:colOff>276226</xdr:colOff>
      <xdr:row>43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55762-F0DF-4720-8B75-1E99622D9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workbookViewId="0">
      <selection activeCell="J20" sqref="J20"/>
    </sheetView>
  </sheetViews>
  <sheetFormatPr defaultColWidth="10.81640625" defaultRowHeight="14.5" x14ac:dyDescent="0.35"/>
  <sheetData>
    <row r="1" spans="1:5" x14ac:dyDescent="0.35">
      <c r="A1" t="s">
        <v>983</v>
      </c>
      <c r="B1" t="s">
        <v>984</v>
      </c>
      <c r="C1" t="s">
        <v>985</v>
      </c>
      <c r="D1" t="s">
        <v>986</v>
      </c>
      <c r="E1" t="s">
        <v>987</v>
      </c>
    </row>
    <row r="2" spans="1:5" x14ac:dyDescent="0.35">
      <c r="A2" t="s">
        <v>661</v>
      </c>
      <c r="B2" s="1">
        <v>74.486576229999997</v>
      </c>
      <c r="C2" s="1">
        <v>42.479418600000002</v>
      </c>
      <c r="D2" s="1">
        <v>3244.3809999999999</v>
      </c>
      <c r="E2" t="s">
        <v>709</v>
      </c>
    </row>
    <row r="3" spans="1:5" x14ac:dyDescent="0.35">
      <c r="A3" t="s">
        <v>662</v>
      </c>
      <c r="B3" s="1">
        <v>74.486537960000007</v>
      </c>
      <c r="C3" s="1">
        <v>42.479448240000004</v>
      </c>
      <c r="D3" s="1">
        <v>3243.0120000000002</v>
      </c>
    </row>
    <row r="4" spans="1:5" x14ac:dyDescent="0.35">
      <c r="A4" t="s">
        <v>666</v>
      </c>
      <c r="B4" s="1">
        <v>74.486489710000001</v>
      </c>
      <c r="C4" s="1">
        <v>42.479475450000002</v>
      </c>
      <c r="D4" s="1">
        <v>3241.326</v>
      </c>
    </row>
    <row r="5" spans="1:5" x14ac:dyDescent="0.35">
      <c r="A5" t="s">
        <v>669</v>
      </c>
      <c r="B5" s="1">
        <v>74.486451680000002</v>
      </c>
      <c r="C5" s="1">
        <v>42.479502449999998</v>
      </c>
      <c r="D5" s="1">
        <v>3239.598</v>
      </c>
    </row>
    <row r="6" spans="1:5" x14ac:dyDescent="0.35">
      <c r="A6" t="s">
        <v>667</v>
      </c>
      <c r="B6" s="1">
        <v>74.486404129999997</v>
      </c>
      <c r="C6" s="1">
        <v>42.479527679999997</v>
      </c>
      <c r="D6" s="1">
        <v>3239.6660000000002</v>
      </c>
    </row>
    <row r="7" spans="1:5" x14ac:dyDescent="0.35">
      <c r="A7" t="s">
        <v>663</v>
      </c>
      <c r="B7" s="1">
        <v>74.486359129999997</v>
      </c>
      <c r="C7" s="1">
        <v>42.479558480000001</v>
      </c>
      <c r="D7" s="1">
        <v>3239.1</v>
      </c>
    </row>
    <row r="8" spans="1:5" x14ac:dyDescent="0.35">
      <c r="A8" t="s">
        <v>668</v>
      </c>
      <c r="B8" s="1">
        <v>74.486319249999994</v>
      </c>
      <c r="C8" s="1">
        <v>42.479586810000001</v>
      </c>
      <c r="D8" s="1">
        <v>3238.8589999999999</v>
      </c>
    </row>
    <row r="9" spans="1:5" x14ac:dyDescent="0.35">
      <c r="A9" t="s">
        <v>664</v>
      </c>
      <c r="B9" s="1">
        <v>74.486273449999999</v>
      </c>
      <c r="C9" s="1">
        <v>42.47961608</v>
      </c>
      <c r="D9" s="1">
        <v>3237.75</v>
      </c>
    </row>
    <row r="10" spans="1:5" x14ac:dyDescent="0.35">
      <c r="A10" t="s">
        <v>665</v>
      </c>
      <c r="B10" s="1">
        <v>74.486222749999996</v>
      </c>
      <c r="C10" s="1">
        <v>42.479643840000001</v>
      </c>
      <c r="D10" s="1">
        <v>3237.58</v>
      </c>
    </row>
    <row r="11" spans="1:5" x14ac:dyDescent="0.35">
      <c r="A11" t="s">
        <v>670</v>
      </c>
      <c r="B11" s="1">
        <v>74.486187900000004</v>
      </c>
      <c r="C11" s="1">
        <v>42.479675110000002</v>
      </c>
      <c r="D11" s="1">
        <v>3237.5329999999999</v>
      </c>
    </row>
    <row r="12" spans="1:5" x14ac:dyDescent="0.35">
      <c r="A12" t="s">
        <v>671</v>
      </c>
      <c r="B12" s="1">
        <v>74.486142619999995</v>
      </c>
      <c r="C12" s="1">
        <v>42.479705500000001</v>
      </c>
      <c r="D12" s="1">
        <v>3237.223</v>
      </c>
    </row>
    <row r="13" spans="1:5" x14ac:dyDescent="0.35">
      <c r="A13" t="s">
        <v>672</v>
      </c>
      <c r="B13" s="1">
        <v>74.486099890000006</v>
      </c>
      <c r="C13" s="1">
        <v>42.479734540000003</v>
      </c>
      <c r="D13" s="1">
        <v>3236.1289999999999</v>
      </c>
    </row>
    <row r="14" spans="1:5" x14ac:dyDescent="0.35">
      <c r="A14" t="s">
        <v>673</v>
      </c>
      <c r="B14" s="1">
        <v>74.486057869999996</v>
      </c>
      <c r="C14" s="1">
        <v>42.479763329999997</v>
      </c>
      <c r="D14" s="1">
        <v>3236.0059999999999</v>
      </c>
    </row>
    <row r="15" spans="1:5" x14ac:dyDescent="0.35">
      <c r="A15" t="s">
        <v>674</v>
      </c>
      <c r="B15" s="1">
        <v>74.486013589999999</v>
      </c>
      <c r="C15" s="1">
        <v>42.47979531</v>
      </c>
      <c r="D15" s="1">
        <v>3234.74</v>
      </c>
    </row>
    <row r="16" spans="1:5" x14ac:dyDescent="0.35">
      <c r="A16" t="s">
        <v>675</v>
      </c>
      <c r="B16" s="1">
        <v>74.485971019999994</v>
      </c>
      <c r="C16" s="1">
        <v>42.479821989999998</v>
      </c>
      <c r="D16" s="1">
        <v>3234.3449999999998</v>
      </c>
    </row>
    <row r="17" spans="1:4" x14ac:dyDescent="0.35">
      <c r="A17" t="s">
        <v>676</v>
      </c>
      <c r="B17" s="1">
        <v>74.485926809999995</v>
      </c>
      <c r="C17" s="1">
        <v>42.479854719999999</v>
      </c>
      <c r="D17" s="1">
        <v>3233.3530000000001</v>
      </c>
    </row>
    <row r="18" spans="1:4" x14ac:dyDescent="0.35">
      <c r="A18" t="s">
        <v>677</v>
      </c>
      <c r="B18" s="1">
        <v>74.485883509999994</v>
      </c>
      <c r="C18" s="1">
        <v>42.479883100000002</v>
      </c>
      <c r="D18" s="1">
        <v>3232.5079999999998</v>
      </c>
    </row>
    <row r="19" spans="1:4" x14ac:dyDescent="0.35">
      <c r="A19" t="s">
        <v>678</v>
      </c>
      <c r="B19" s="1">
        <v>74.485838409999999</v>
      </c>
      <c r="C19" s="1">
        <v>42.479911190000003</v>
      </c>
      <c r="D19" s="1">
        <v>3232.585</v>
      </c>
    </row>
    <row r="20" spans="1:4" x14ac:dyDescent="0.35">
      <c r="A20" t="s">
        <v>679</v>
      </c>
      <c r="B20" s="1">
        <v>74.485801670000001</v>
      </c>
      <c r="C20" s="1">
        <v>42.479942149999999</v>
      </c>
      <c r="D20" s="1">
        <v>3230.4169999999999</v>
      </c>
    </row>
    <row r="21" spans="1:4" x14ac:dyDescent="0.35">
      <c r="A21" t="s">
        <v>680</v>
      </c>
      <c r="B21" s="1">
        <v>74.485759729999998</v>
      </c>
      <c r="C21" s="1">
        <v>42.479971200000001</v>
      </c>
      <c r="D21" s="1">
        <v>3229.83</v>
      </c>
    </row>
    <row r="22" spans="1:4" x14ac:dyDescent="0.35">
      <c r="A22" t="s">
        <v>681</v>
      </c>
      <c r="B22" s="1">
        <v>74.485712789999994</v>
      </c>
      <c r="C22" s="1">
        <v>42.480004870000002</v>
      </c>
      <c r="D22" s="1">
        <v>3231.0880000000002</v>
      </c>
    </row>
    <row r="23" spans="1:4" x14ac:dyDescent="0.35">
      <c r="A23" t="s">
        <v>682</v>
      </c>
      <c r="B23" s="1">
        <v>74.48567439</v>
      </c>
      <c r="C23" s="1">
        <v>42.480034699999997</v>
      </c>
      <c r="D23" s="1">
        <v>3230.2669999999998</v>
      </c>
    </row>
    <row r="24" spans="1:4" x14ac:dyDescent="0.35">
      <c r="A24" t="s">
        <v>683</v>
      </c>
      <c r="B24" s="1">
        <v>74.485627620000002</v>
      </c>
      <c r="C24" s="1">
        <v>42.480067079999998</v>
      </c>
      <c r="D24" s="1">
        <v>3229.7979999999998</v>
      </c>
    </row>
    <row r="25" spans="1:4" x14ac:dyDescent="0.35">
      <c r="A25" t="s">
        <v>684</v>
      </c>
      <c r="B25" s="1">
        <v>74.485595009999997</v>
      </c>
      <c r="C25" s="1">
        <v>42.480097200000003</v>
      </c>
      <c r="D25" s="1">
        <v>3228.625</v>
      </c>
    </row>
    <row r="26" spans="1:4" x14ac:dyDescent="0.35">
      <c r="A26" t="s">
        <v>685</v>
      </c>
      <c r="B26" s="1">
        <v>74.485546150000005</v>
      </c>
      <c r="C26" s="1">
        <v>42.480124830000001</v>
      </c>
      <c r="D26" s="1">
        <v>3228.3890000000001</v>
      </c>
    </row>
    <row r="27" spans="1:4" x14ac:dyDescent="0.35">
      <c r="A27" t="s">
        <v>686</v>
      </c>
      <c r="B27" s="1">
        <v>74.485502749999995</v>
      </c>
      <c r="C27" s="1">
        <v>42.480153520000002</v>
      </c>
      <c r="D27" s="1">
        <v>3227.3290000000002</v>
      </c>
    </row>
    <row r="28" spans="1:4" x14ac:dyDescent="0.35">
      <c r="A28" t="s">
        <v>687</v>
      </c>
      <c r="B28" s="1">
        <v>74.485453460000002</v>
      </c>
      <c r="C28" s="1">
        <v>42.480179659999997</v>
      </c>
      <c r="D28" s="1">
        <v>3226.33</v>
      </c>
    </row>
    <row r="29" spans="1:4" x14ac:dyDescent="0.35">
      <c r="A29" t="s">
        <v>688</v>
      </c>
      <c r="B29" s="1">
        <v>74.485406749999996</v>
      </c>
      <c r="C29" s="1">
        <v>42.480204870000001</v>
      </c>
      <c r="D29" s="1">
        <v>3226.393</v>
      </c>
    </row>
    <row r="30" spans="1:4" x14ac:dyDescent="0.35">
      <c r="A30" t="s">
        <v>689</v>
      </c>
      <c r="B30" s="1">
        <v>74.485357149999999</v>
      </c>
      <c r="C30" s="1">
        <v>42.480232340000001</v>
      </c>
      <c r="D30" s="1">
        <v>3227.0549999999998</v>
      </c>
    </row>
    <row r="31" spans="1:4" x14ac:dyDescent="0.35">
      <c r="A31" t="s">
        <v>690</v>
      </c>
      <c r="B31" s="1">
        <v>74.485309349999994</v>
      </c>
      <c r="C31" s="1">
        <v>42.480258560000003</v>
      </c>
      <c r="D31" s="1">
        <v>3226.42</v>
      </c>
    </row>
    <row r="32" spans="1:4" x14ac:dyDescent="0.35">
      <c r="A32" t="s">
        <v>691</v>
      </c>
      <c r="B32" s="1">
        <v>74.48525961</v>
      </c>
      <c r="C32" s="1">
        <v>42.480281679999997</v>
      </c>
      <c r="D32" s="1">
        <v>3226.3890000000001</v>
      </c>
    </row>
    <row r="33" spans="1:4" x14ac:dyDescent="0.35">
      <c r="A33" t="s">
        <v>692</v>
      </c>
      <c r="B33" s="1">
        <v>74.485211629999995</v>
      </c>
      <c r="C33" s="1">
        <v>42.480308919999999</v>
      </c>
      <c r="D33" s="1">
        <v>3226.6759999999999</v>
      </c>
    </row>
    <row r="34" spans="1:4" x14ac:dyDescent="0.35">
      <c r="A34" t="s">
        <v>693</v>
      </c>
      <c r="B34" s="1">
        <v>74.48517287</v>
      </c>
      <c r="C34" s="1">
        <v>42.480343599999998</v>
      </c>
      <c r="D34" s="1">
        <v>3227.3690000000001</v>
      </c>
    </row>
    <row r="35" spans="1:4" x14ac:dyDescent="0.35">
      <c r="A35" t="s">
        <v>694</v>
      </c>
      <c r="B35" s="1">
        <v>74.485124690000006</v>
      </c>
      <c r="C35" s="1">
        <v>42.480370890000003</v>
      </c>
      <c r="D35" s="1">
        <v>3228.2220000000002</v>
      </c>
    </row>
    <row r="36" spans="1:4" x14ac:dyDescent="0.35">
      <c r="A36" t="s">
        <v>695</v>
      </c>
      <c r="B36" s="1">
        <v>74.485084850000007</v>
      </c>
      <c r="C36" s="1">
        <v>42.480395950000002</v>
      </c>
      <c r="D36" s="1">
        <v>3226.01</v>
      </c>
    </row>
    <row r="37" spans="1:4" x14ac:dyDescent="0.35">
      <c r="A37" t="s">
        <v>696</v>
      </c>
      <c r="B37" s="1">
        <v>74.485041420000002</v>
      </c>
      <c r="C37" s="1">
        <v>42.480423899999998</v>
      </c>
      <c r="D37" s="1">
        <v>3224.4349999999999</v>
      </c>
    </row>
    <row r="38" spans="1:4" x14ac:dyDescent="0.35">
      <c r="A38" t="s">
        <v>697</v>
      </c>
      <c r="B38" s="1">
        <v>74.484994119999996</v>
      </c>
      <c r="C38" s="1">
        <v>42.480453400000002</v>
      </c>
      <c r="D38" s="1">
        <v>3225.7069999999999</v>
      </c>
    </row>
    <row r="39" spans="1:4" x14ac:dyDescent="0.35">
      <c r="A39" t="s">
        <v>698</v>
      </c>
      <c r="B39" s="1">
        <v>74.484946440000002</v>
      </c>
      <c r="C39" s="1">
        <v>42.480479699999997</v>
      </c>
      <c r="D39" s="1">
        <v>3225.607</v>
      </c>
    </row>
    <row r="40" spans="1:4" x14ac:dyDescent="0.35">
      <c r="A40" t="s">
        <v>699</v>
      </c>
      <c r="B40" s="1">
        <v>74.48490185</v>
      </c>
      <c r="C40" s="1">
        <v>42.480508309999998</v>
      </c>
      <c r="D40" s="1">
        <v>3225.6759999999999</v>
      </c>
    </row>
    <row r="41" spans="1:4" x14ac:dyDescent="0.35">
      <c r="A41" t="s">
        <v>700</v>
      </c>
      <c r="B41" s="1">
        <v>74.484857300000002</v>
      </c>
      <c r="C41" s="1">
        <v>42.480539380000003</v>
      </c>
      <c r="D41" s="1">
        <v>3224.328</v>
      </c>
    </row>
    <row r="42" spans="1:4" x14ac:dyDescent="0.35">
      <c r="A42" t="s">
        <v>701</v>
      </c>
      <c r="B42" s="1">
        <v>74.484817699999994</v>
      </c>
      <c r="C42" s="1">
        <v>42.48056708</v>
      </c>
      <c r="D42" s="1">
        <v>3223.0039999999999</v>
      </c>
    </row>
    <row r="43" spans="1:4" x14ac:dyDescent="0.35">
      <c r="A43" t="s">
        <v>702</v>
      </c>
      <c r="B43" s="1">
        <v>74.484771269999996</v>
      </c>
      <c r="C43" s="1">
        <v>42.48059413</v>
      </c>
      <c r="D43" s="1">
        <v>3222.1109999999999</v>
      </c>
    </row>
    <row r="44" spans="1:4" x14ac:dyDescent="0.35">
      <c r="A44" t="s">
        <v>703</v>
      </c>
      <c r="B44" s="1">
        <v>74.484725679999997</v>
      </c>
      <c r="C44" s="1">
        <v>42.48062642</v>
      </c>
      <c r="D44" s="1">
        <v>3221.5349999999999</v>
      </c>
    </row>
    <row r="45" spans="1:4" x14ac:dyDescent="0.35">
      <c r="A45" t="s">
        <v>704</v>
      </c>
      <c r="B45" s="1">
        <v>74.484682849999999</v>
      </c>
      <c r="C45" s="1">
        <v>42.480655329999998</v>
      </c>
      <c r="D45" s="1">
        <v>3221.27</v>
      </c>
    </row>
    <row r="46" spans="1:4" x14ac:dyDescent="0.35">
      <c r="A46" t="s">
        <v>705</v>
      </c>
      <c r="B46" s="1">
        <v>74.484642300000004</v>
      </c>
      <c r="C46" s="1">
        <v>42.480688069999999</v>
      </c>
      <c r="D46" s="1">
        <v>3221.4549999999999</v>
      </c>
    </row>
    <row r="47" spans="1:4" x14ac:dyDescent="0.35">
      <c r="A47" t="s">
        <v>706</v>
      </c>
      <c r="B47" s="1">
        <v>74.484598779999999</v>
      </c>
      <c r="C47" s="1">
        <v>42.480718269999997</v>
      </c>
      <c r="D47" s="1">
        <v>3220.57</v>
      </c>
    </row>
    <row r="48" spans="1:4" x14ac:dyDescent="0.35">
      <c r="A48" t="s">
        <v>707</v>
      </c>
      <c r="B48" s="1">
        <v>74.484554639999999</v>
      </c>
      <c r="C48" s="1">
        <v>42.480748509999998</v>
      </c>
      <c r="D48" s="1">
        <v>3220.64</v>
      </c>
    </row>
    <row r="49" spans="1:5" x14ac:dyDescent="0.35">
      <c r="A49" t="s">
        <v>708</v>
      </c>
      <c r="B49" s="1">
        <v>74.484510099999994</v>
      </c>
      <c r="C49" s="1">
        <v>42.480776890000001</v>
      </c>
      <c r="D49" s="1">
        <v>3220.8310000000001</v>
      </c>
    </row>
    <row r="50" spans="1:5" x14ac:dyDescent="0.35">
      <c r="A50" t="s">
        <v>710</v>
      </c>
      <c r="B50" s="4">
        <v>74.486645809999999</v>
      </c>
      <c r="C50" s="4">
        <v>42.476834570000001</v>
      </c>
      <c r="D50" s="4">
        <v>3399.2919999999999</v>
      </c>
      <c r="E50" t="s">
        <v>758</v>
      </c>
    </row>
    <row r="51" spans="1:5" x14ac:dyDescent="0.35">
      <c r="A51" t="s">
        <v>711</v>
      </c>
      <c r="B51" s="4">
        <v>74.486673289999999</v>
      </c>
      <c r="C51" s="4">
        <v>42.476795699999997</v>
      </c>
      <c r="D51" s="4">
        <v>3398.924</v>
      </c>
    </row>
    <row r="52" spans="1:5" x14ac:dyDescent="0.35">
      <c r="A52" t="s">
        <v>712</v>
      </c>
      <c r="B52" s="4">
        <v>74.486709570000002</v>
      </c>
      <c r="C52" s="4">
        <v>42.47676027</v>
      </c>
      <c r="D52" s="4">
        <v>3398.107</v>
      </c>
    </row>
    <row r="53" spans="1:5" x14ac:dyDescent="0.35">
      <c r="A53" t="s">
        <v>713</v>
      </c>
      <c r="B53" s="4">
        <v>74.486743140000002</v>
      </c>
      <c r="C53" s="4">
        <v>42.476722580000001</v>
      </c>
      <c r="D53" s="4">
        <v>3396.931</v>
      </c>
    </row>
    <row r="54" spans="1:5" x14ac:dyDescent="0.35">
      <c r="A54" t="s">
        <v>714</v>
      </c>
      <c r="B54" s="4">
        <v>74.486776759999998</v>
      </c>
      <c r="C54" s="4">
        <v>42.476686800000003</v>
      </c>
      <c r="D54" s="4">
        <v>3396.4160000000002</v>
      </c>
    </row>
    <row r="55" spans="1:5" x14ac:dyDescent="0.35">
      <c r="A55" t="s">
        <v>715</v>
      </c>
      <c r="B55" s="4">
        <v>74.486809239999999</v>
      </c>
      <c r="C55" s="4">
        <v>42.476651689999997</v>
      </c>
      <c r="D55" s="4">
        <v>3396.5540000000001</v>
      </c>
    </row>
    <row r="56" spans="1:5" x14ac:dyDescent="0.35">
      <c r="A56" t="s">
        <v>716</v>
      </c>
      <c r="B56" s="4">
        <v>74.486847879999999</v>
      </c>
      <c r="C56" s="4">
        <v>42.476617529999999</v>
      </c>
      <c r="D56" s="4">
        <v>3397.0819999999999</v>
      </c>
    </row>
    <row r="57" spans="1:5" x14ac:dyDescent="0.35">
      <c r="A57" t="s">
        <v>717</v>
      </c>
      <c r="B57" s="4">
        <v>74.486877019999994</v>
      </c>
      <c r="C57" s="4">
        <v>42.476574280000001</v>
      </c>
      <c r="D57" s="4">
        <v>3397.9180000000001</v>
      </c>
    </row>
    <row r="58" spans="1:5" x14ac:dyDescent="0.35">
      <c r="A58" t="s">
        <v>718</v>
      </c>
      <c r="B58" s="4">
        <v>74.48691006</v>
      </c>
      <c r="C58" s="4">
        <v>42.47653854</v>
      </c>
      <c r="D58" s="4">
        <v>3398.55</v>
      </c>
    </row>
    <row r="59" spans="1:5" x14ac:dyDescent="0.35">
      <c r="A59" t="s">
        <v>719</v>
      </c>
      <c r="B59" s="4">
        <v>74.486943960000005</v>
      </c>
      <c r="C59" s="4">
        <v>42.476502490000001</v>
      </c>
      <c r="D59" s="4">
        <v>3399.1379999999999</v>
      </c>
    </row>
    <row r="60" spans="1:5" x14ac:dyDescent="0.35">
      <c r="A60" t="s">
        <v>720</v>
      </c>
      <c r="B60" s="4">
        <v>74.486976130000002</v>
      </c>
      <c r="C60" s="4">
        <v>42.476468590000003</v>
      </c>
      <c r="D60" s="4">
        <v>3399.95</v>
      </c>
    </row>
    <row r="61" spans="1:5" x14ac:dyDescent="0.35">
      <c r="A61" t="s">
        <v>721</v>
      </c>
      <c r="B61" s="4">
        <v>74.487008450000005</v>
      </c>
      <c r="C61" s="4">
        <v>42.476425800000001</v>
      </c>
      <c r="D61" s="4">
        <v>3400.837</v>
      </c>
    </row>
    <row r="62" spans="1:5" x14ac:dyDescent="0.35">
      <c r="A62" t="s">
        <v>722</v>
      </c>
      <c r="B62" s="4">
        <v>74.487036549999999</v>
      </c>
      <c r="C62" s="4">
        <v>42.476390500000001</v>
      </c>
      <c r="D62" s="4">
        <v>3401.5340000000001</v>
      </c>
    </row>
    <row r="63" spans="1:5" x14ac:dyDescent="0.35">
      <c r="A63" t="s">
        <v>723</v>
      </c>
      <c r="B63" s="4">
        <v>74.487064630000006</v>
      </c>
      <c r="C63" s="4">
        <v>42.47635047</v>
      </c>
      <c r="D63" s="4">
        <v>3402.5369999999998</v>
      </c>
    </row>
    <row r="64" spans="1:5" x14ac:dyDescent="0.35">
      <c r="A64" t="s">
        <v>724</v>
      </c>
      <c r="B64" s="4">
        <v>74.487107629999997</v>
      </c>
      <c r="C64" s="4">
        <v>42.476315929999998</v>
      </c>
      <c r="D64" s="4">
        <v>3404.067</v>
      </c>
    </row>
    <row r="65" spans="1:4" x14ac:dyDescent="0.35">
      <c r="A65" t="s">
        <v>725</v>
      </c>
      <c r="B65" s="4">
        <v>74.487133409999998</v>
      </c>
      <c r="C65" s="4">
        <v>42.47628151</v>
      </c>
      <c r="D65" s="4">
        <v>3404.83</v>
      </c>
    </row>
    <row r="66" spans="1:4" x14ac:dyDescent="0.35">
      <c r="A66" t="s">
        <v>726</v>
      </c>
      <c r="B66" s="4">
        <v>74.487161220000004</v>
      </c>
      <c r="C66" s="4">
        <v>42.47624064</v>
      </c>
      <c r="D66" s="4">
        <v>3405.9009999999998</v>
      </c>
    </row>
    <row r="67" spans="1:4" x14ac:dyDescent="0.35">
      <c r="A67" t="s">
        <v>727</v>
      </c>
      <c r="B67" s="4">
        <v>74.487195290000003</v>
      </c>
      <c r="C67" s="4">
        <v>42.476204860000003</v>
      </c>
      <c r="D67" s="4">
        <v>3406.9009999999998</v>
      </c>
    </row>
    <row r="68" spans="1:4" x14ac:dyDescent="0.35">
      <c r="A68" t="s">
        <v>728</v>
      </c>
      <c r="B68" s="4">
        <v>74.487227419999996</v>
      </c>
      <c r="C68" s="4">
        <v>42.476168149999999</v>
      </c>
      <c r="D68" s="4">
        <v>3407.8589999999999</v>
      </c>
    </row>
    <row r="69" spans="1:4" x14ac:dyDescent="0.35">
      <c r="A69" t="s">
        <v>729</v>
      </c>
      <c r="B69" s="4">
        <v>74.487258670000003</v>
      </c>
      <c r="C69" s="4">
        <v>42.47613372</v>
      </c>
      <c r="D69" s="4">
        <v>3408.5569999999998</v>
      </c>
    </row>
    <row r="70" spans="1:4" x14ac:dyDescent="0.35">
      <c r="A70" t="s">
        <v>730</v>
      </c>
      <c r="B70" s="4">
        <v>74.487292449999998</v>
      </c>
      <c r="C70" s="4">
        <v>42.476093990000003</v>
      </c>
      <c r="D70" s="4">
        <v>3409.884</v>
      </c>
    </row>
    <row r="71" spans="1:4" x14ac:dyDescent="0.35">
      <c r="A71" t="s">
        <v>731</v>
      </c>
      <c r="B71" s="4">
        <v>74.487330049999997</v>
      </c>
      <c r="C71" s="4">
        <v>42.47606021</v>
      </c>
      <c r="D71" s="4">
        <v>3410.5819999999999</v>
      </c>
    </row>
    <row r="72" spans="1:4" x14ac:dyDescent="0.35">
      <c r="A72" t="s">
        <v>732</v>
      </c>
      <c r="B72" s="4">
        <v>74.487360499999994</v>
      </c>
      <c r="C72" s="4">
        <v>42.476022970000002</v>
      </c>
      <c r="D72" s="4">
        <v>3411.46</v>
      </c>
    </row>
    <row r="73" spans="1:4" x14ac:dyDescent="0.35">
      <c r="A73" t="s">
        <v>733</v>
      </c>
      <c r="B73" s="4">
        <v>74.487395829999997</v>
      </c>
      <c r="C73" s="4">
        <v>42.475987779999997</v>
      </c>
      <c r="D73" s="4">
        <v>3411.9479999999999</v>
      </c>
    </row>
    <row r="74" spans="1:4" x14ac:dyDescent="0.35">
      <c r="A74" t="s">
        <v>734</v>
      </c>
      <c r="B74" s="4">
        <v>74.487415850000005</v>
      </c>
      <c r="C74" s="4">
        <v>42.47595012</v>
      </c>
      <c r="D74" s="4">
        <v>3412.433</v>
      </c>
    </row>
    <row r="75" spans="1:4" x14ac:dyDescent="0.35">
      <c r="A75" t="s">
        <v>735</v>
      </c>
      <c r="B75" s="4">
        <v>74.487450339999995</v>
      </c>
      <c r="C75" s="4">
        <v>42.475909100000003</v>
      </c>
      <c r="D75" s="4">
        <v>3412.7820000000002</v>
      </c>
    </row>
    <row r="76" spans="1:4" x14ac:dyDescent="0.35">
      <c r="A76" t="s">
        <v>736</v>
      </c>
      <c r="B76" s="4">
        <v>74.487485140000004</v>
      </c>
      <c r="C76" s="4">
        <v>42.475875680000001</v>
      </c>
      <c r="D76" s="4">
        <v>3413.2289999999998</v>
      </c>
    </row>
    <row r="77" spans="1:4" x14ac:dyDescent="0.35">
      <c r="A77" t="s">
        <v>737</v>
      </c>
      <c r="B77" s="4">
        <v>74.487520529999998</v>
      </c>
      <c r="C77" s="4">
        <v>42.475837579999997</v>
      </c>
      <c r="D77" s="4">
        <v>3414.002</v>
      </c>
    </row>
    <row r="78" spans="1:4" x14ac:dyDescent="0.35">
      <c r="A78" t="s">
        <v>738</v>
      </c>
      <c r="B78" s="4">
        <v>74.487545879999999</v>
      </c>
      <c r="C78" s="4">
        <v>42.475795669999997</v>
      </c>
      <c r="D78" s="4">
        <v>3414.415</v>
      </c>
    </row>
    <row r="79" spans="1:4" x14ac:dyDescent="0.35">
      <c r="A79" t="s">
        <v>739</v>
      </c>
      <c r="B79" s="4">
        <v>74.487577029999997</v>
      </c>
      <c r="C79" s="4">
        <v>42.475754979999998</v>
      </c>
      <c r="D79" s="4">
        <v>3415.0830000000001</v>
      </c>
    </row>
    <row r="80" spans="1:4" x14ac:dyDescent="0.35">
      <c r="A80" t="s">
        <v>740</v>
      </c>
      <c r="B80" s="4">
        <v>74.487606549999995</v>
      </c>
      <c r="C80" s="4">
        <v>42.475722699999999</v>
      </c>
      <c r="D80" s="4">
        <v>3415.8829999999998</v>
      </c>
    </row>
    <row r="81" spans="1:4" x14ac:dyDescent="0.35">
      <c r="A81" t="s">
        <v>741</v>
      </c>
      <c r="B81" s="4">
        <v>74.487634650000004</v>
      </c>
      <c r="C81" s="4">
        <v>42.475681289999997</v>
      </c>
      <c r="D81" s="4">
        <v>3416.261</v>
      </c>
    </row>
    <row r="82" spans="1:4" x14ac:dyDescent="0.35">
      <c r="A82" t="s">
        <v>742</v>
      </c>
      <c r="B82" s="4">
        <v>74.487658510000003</v>
      </c>
      <c r="C82" s="4">
        <v>42.475637550000002</v>
      </c>
      <c r="D82" s="4">
        <v>3416.616</v>
      </c>
    </row>
    <row r="83" spans="1:4" x14ac:dyDescent="0.35">
      <c r="A83" t="s">
        <v>743</v>
      </c>
      <c r="B83" s="4">
        <v>74.487689230000001</v>
      </c>
      <c r="C83" s="4">
        <v>42.475599719999998</v>
      </c>
      <c r="D83" s="4">
        <v>3417.1550000000002</v>
      </c>
    </row>
    <row r="84" spans="1:4" x14ac:dyDescent="0.35">
      <c r="A84" t="s">
        <v>744</v>
      </c>
      <c r="B84" s="4">
        <v>74.487720539999998</v>
      </c>
      <c r="C84" s="4">
        <v>42.475563520000001</v>
      </c>
      <c r="D84" s="4">
        <v>3417.9290000000001</v>
      </c>
    </row>
    <row r="85" spans="1:4" x14ac:dyDescent="0.35">
      <c r="A85" t="s">
        <v>745</v>
      </c>
      <c r="B85" s="4">
        <v>74.487746580000007</v>
      </c>
      <c r="C85" s="4">
        <v>42.475523539999998</v>
      </c>
      <c r="D85" s="4">
        <v>3418.1030000000001</v>
      </c>
    </row>
    <row r="86" spans="1:4" x14ac:dyDescent="0.35">
      <c r="A86" t="s">
        <v>746</v>
      </c>
      <c r="B86" s="4">
        <v>74.487775999999997</v>
      </c>
      <c r="C86" s="4">
        <v>42.475483070000003</v>
      </c>
      <c r="D86" s="4">
        <v>3418.23</v>
      </c>
    </row>
    <row r="87" spans="1:4" x14ac:dyDescent="0.35">
      <c r="A87" t="s">
        <v>747</v>
      </c>
      <c r="B87" s="4">
        <v>74.487809029999994</v>
      </c>
      <c r="C87" s="4">
        <v>42.475443419999998</v>
      </c>
      <c r="D87" s="4">
        <v>3419.3240000000001</v>
      </c>
    </row>
    <row r="88" spans="1:4" x14ac:dyDescent="0.35">
      <c r="A88" t="s">
        <v>748</v>
      </c>
      <c r="B88" s="4">
        <v>74.487833949999995</v>
      </c>
      <c r="C88" s="4">
        <v>42.475407789999998</v>
      </c>
      <c r="D88" s="4">
        <v>3419.904</v>
      </c>
    </row>
    <row r="89" spans="1:4" x14ac:dyDescent="0.35">
      <c r="A89" t="s">
        <v>749</v>
      </c>
      <c r="B89" s="4">
        <v>74.487867879999996</v>
      </c>
      <c r="C89" s="4">
        <v>42.475369639999997</v>
      </c>
      <c r="D89" s="4">
        <v>3420.6</v>
      </c>
    </row>
    <row r="90" spans="1:4" x14ac:dyDescent="0.35">
      <c r="A90" t="s">
        <v>750</v>
      </c>
      <c r="B90" s="4">
        <v>74.487893319999998</v>
      </c>
      <c r="C90" s="4">
        <v>42.47532923</v>
      </c>
      <c r="D90" s="4">
        <v>3421.0410000000002</v>
      </c>
    </row>
    <row r="91" spans="1:4" x14ac:dyDescent="0.35">
      <c r="A91" t="s">
        <v>751</v>
      </c>
      <c r="B91" s="4">
        <v>74.487930129999995</v>
      </c>
      <c r="C91" s="4">
        <v>42.475288820000003</v>
      </c>
      <c r="D91" s="4">
        <v>3421.0880000000002</v>
      </c>
    </row>
    <row r="92" spans="1:4" x14ac:dyDescent="0.35">
      <c r="A92" t="s">
        <v>752</v>
      </c>
      <c r="B92" s="4">
        <v>74.487960430000001</v>
      </c>
      <c r="C92" s="4">
        <v>42.475255850000003</v>
      </c>
      <c r="D92" s="4">
        <v>3421.009</v>
      </c>
    </row>
    <row r="93" spans="1:4" x14ac:dyDescent="0.35">
      <c r="A93" t="s">
        <v>753</v>
      </c>
      <c r="B93" s="4">
        <v>74.487996809999999</v>
      </c>
      <c r="C93" s="4">
        <v>42.47521759</v>
      </c>
      <c r="D93" s="4">
        <v>3420.8879999999999</v>
      </c>
    </row>
    <row r="94" spans="1:4" x14ac:dyDescent="0.35">
      <c r="A94" t="s">
        <v>754</v>
      </c>
      <c r="B94" s="4">
        <v>74.488033630000004</v>
      </c>
      <c r="C94" s="4">
        <v>42.47517817</v>
      </c>
      <c r="D94" s="4">
        <v>3420.415</v>
      </c>
    </row>
    <row r="95" spans="1:4" x14ac:dyDescent="0.35">
      <c r="A95" t="s">
        <v>755</v>
      </c>
      <c r="B95" s="4">
        <v>74.488069980000006</v>
      </c>
      <c r="C95" s="4">
        <v>42.475146889999998</v>
      </c>
      <c r="D95" s="4">
        <v>3420.288</v>
      </c>
    </row>
    <row r="96" spans="1:4" x14ac:dyDescent="0.35">
      <c r="A96" t="s">
        <v>756</v>
      </c>
      <c r="B96" s="4">
        <v>74.488114859999996</v>
      </c>
      <c r="C96" s="4">
        <v>42.475114499999997</v>
      </c>
      <c r="D96" s="4">
        <v>3420.491</v>
      </c>
    </row>
    <row r="97" spans="1:5" x14ac:dyDescent="0.35">
      <c r="A97" t="s">
        <v>757</v>
      </c>
      <c r="B97" s="4">
        <v>74.488144250000005</v>
      </c>
      <c r="C97" s="4">
        <v>42.475072689999998</v>
      </c>
      <c r="D97" s="4">
        <v>3420.6210000000001</v>
      </c>
    </row>
    <row r="98" spans="1:5" x14ac:dyDescent="0.35">
      <c r="A98" t="s">
        <v>759</v>
      </c>
      <c r="B98" s="4">
        <v>74.489796720000001</v>
      </c>
      <c r="C98" s="4">
        <v>42.479997750000003</v>
      </c>
      <c r="D98" s="4">
        <v>3212.2959999999998</v>
      </c>
      <c r="E98" t="s">
        <v>762</v>
      </c>
    </row>
    <row r="99" spans="1:5" x14ac:dyDescent="0.35">
      <c r="A99" t="s">
        <v>760</v>
      </c>
      <c r="B99" s="4">
        <v>74.489815160000006</v>
      </c>
      <c r="C99" s="4">
        <v>42.4800167</v>
      </c>
      <c r="D99" s="4">
        <v>3211.8040000000001</v>
      </c>
    </row>
    <row r="100" spans="1:5" x14ac:dyDescent="0.35">
      <c r="A100" t="s">
        <v>761</v>
      </c>
      <c r="B100" s="4">
        <v>74.489852389999996</v>
      </c>
      <c r="C100" s="4">
        <v>42.480053560000002</v>
      </c>
      <c r="D100" s="4">
        <v>3210.0549999999998</v>
      </c>
    </row>
    <row r="101" spans="1:5" x14ac:dyDescent="0.35">
      <c r="A101" t="s">
        <v>763</v>
      </c>
      <c r="B101" s="4">
        <v>74.489882069999993</v>
      </c>
      <c r="C101" s="4">
        <v>42.48008789</v>
      </c>
      <c r="D101" s="4">
        <v>3208.605</v>
      </c>
    </row>
    <row r="102" spans="1:5" x14ac:dyDescent="0.35">
      <c r="A102" t="s">
        <v>764</v>
      </c>
      <c r="B102" s="4">
        <v>74.489919319999998</v>
      </c>
      <c r="C102" s="4">
        <v>42.480123310000003</v>
      </c>
      <c r="D102" s="4">
        <v>3207.2220000000002</v>
      </c>
    </row>
    <row r="103" spans="1:5" x14ac:dyDescent="0.35">
      <c r="A103" t="s">
        <v>765</v>
      </c>
      <c r="B103" s="4">
        <v>74.489945809999995</v>
      </c>
      <c r="C103" s="4">
        <v>42.480163179999998</v>
      </c>
      <c r="D103" s="4">
        <v>3205.5540000000001</v>
      </c>
    </row>
    <row r="104" spans="1:5" x14ac:dyDescent="0.35">
      <c r="A104" t="s">
        <v>766</v>
      </c>
      <c r="B104" s="4">
        <v>74.489970040000003</v>
      </c>
      <c r="C104" s="4">
        <v>42.480200660000001</v>
      </c>
      <c r="D104" s="4">
        <v>3204.3009999999999</v>
      </c>
    </row>
    <row r="105" spans="1:5" x14ac:dyDescent="0.35">
      <c r="A105" t="s">
        <v>767</v>
      </c>
      <c r="B105" s="4">
        <v>74.489993470000002</v>
      </c>
      <c r="C105" s="4">
        <v>42.480236210000001</v>
      </c>
      <c r="D105" s="4">
        <v>3202.6289999999999</v>
      </c>
    </row>
    <row r="106" spans="1:5" x14ac:dyDescent="0.35">
      <c r="A106" t="s">
        <v>768</v>
      </c>
      <c r="B106" s="4">
        <v>74.490026510000007</v>
      </c>
      <c r="C106" s="4">
        <v>42.480285129999999</v>
      </c>
      <c r="D106" s="4">
        <v>3201.6239999999998</v>
      </c>
    </row>
    <row r="107" spans="1:5" x14ac:dyDescent="0.35">
      <c r="A107" t="s">
        <v>769</v>
      </c>
      <c r="B107" s="4">
        <v>74.490041869999999</v>
      </c>
      <c r="C107" s="4">
        <v>42.480317390000003</v>
      </c>
      <c r="D107" s="4">
        <v>3200.39</v>
      </c>
    </row>
    <row r="108" spans="1:5" x14ac:dyDescent="0.35">
      <c r="A108" t="s">
        <v>770</v>
      </c>
      <c r="B108" s="4">
        <v>74.490076700000003</v>
      </c>
      <c r="C108" s="4">
        <v>42.480348589999998</v>
      </c>
      <c r="D108" s="4">
        <v>3199.252</v>
      </c>
    </row>
    <row r="109" spans="1:5" x14ac:dyDescent="0.35">
      <c r="A109" t="s">
        <v>771</v>
      </c>
      <c r="B109" s="4">
        <v>74.490095830000001</v>
      </c>
      <c r="C109" s="4">
        <v>42.480395819999998</v>
      </c>
      <c r="D109" s="4">
        <v>3199.04</v>
      </c>
    </row>
    <row r="110" spans="1:5" x14ac:dyDescent="0.35">
      <c r="A110" t="s">
        <v>772</v>
      </c>
      <c r="B110" s="4">
        <v>74.490111470000002</v>
      </c>
      <c r="C110" s="4">
        <v>42.480430499999997</v>
      </c>
      <c r="D110" s="4">
        <v>3199.3980000000001</v>
      </c>
    </row>
    <row r="111" spans="1:5" x14ac:dyDescent="0.35">
      <c r="A111" t="s">
        <v>773</v>
      </c>
      <c r="B111" s="4">
        <v>74.490135370000004</v>
      </c>
      <c r="C111" s="4">
        <v>42.480476959999997</v>
      </c>
      <c r="D111" s="4">
        <v>3200.1039999999998</v>
      </c>
    </row>
    <row r="112" spans="1:5" x14ac:dyDescent="0.35">
      <c r="A112" t="s">
        <v>774</v>
      </c>
      <c r="B112" s="4">
        <v>74.490149819999999</v>
      </c>
      <c r="C112" s="4">
        <v>42.480524719999998</v>
      </c>
      <c r="D112" s="4">
        <v>3200.1990000000001</v>
      </c>
    </row>
    <row r="113" spans="1:4" x14ac:dyDescent="0.35">
      <c r="A113" t="s">
        <v>775</v>
      </c>
      <c r="B113" s="4">
        <v>74.490176320000003</v>
      </c>
      <c r="C113" s="4">
        <v>42.480560869999998</v>
      </c>
      <c r="D113" s="4">
        <v>3200.3420000000001</v>
      </c>
    </row>
    <row r="114" spans="1:4" x14ac:dyDescent="0.35">
      <c r="A114" t="s">
        <v>776</v>
      </c>
      <c r="B114" s="4">
        <v>74.490217139999999</v>
      </c>
      <c r="C114" s="4">
        <v>42.48059688</v>
      </c>
      <c r="D114" s="4">
        <v>3199.2640000000001</v>
      </c>
    </row>
    <row r="115" spans="1:4" x14ac:dyDescent="0.35">
      <c r="A115" t="s">
        <v>777</v>
      </c>
      <c r="B115" s="4">
        <v>74.490236890000006</v>
      </c>
      <c r="C115" s="4">
        <v>42.480636830000002</v>
      </c>
      <c r="D115" s="4">
        <v>3198.5219999999999</v>
      </c>
    </row>
    <row r="116" spans="1:4" x14ac:dyDescent="0.35">
      <c r="A116" t="s">
        <v>778</v>
      </c>
      <c r="B116" s="4">
        <v>74.490243460000002</v>
      </c>
      <c r="C116" s="4">
        <v>42.480677999999997</v>
      </c>
      <c r="D116" s="4">
        <v>3197.73</v>
      </c>
    </row>
    <row r="117" spans="1:4" x14ac:dyDescent="0.35">
      <c r="A117" t="s">
        <v>779</v>
      </c>
      <c r="B117" s="4">
        <v>74.490258780000005</v>
      </c>
      <c r="C117" s="4">
        <v>42.480723939999997</v>
      </c>
      <c r="D117" s="4">
        <v>3196.2820000000002</v>
      </c>
    </row>
    <row r="118" spans="1:4" x14ac:dyDescent="0.35">
      <c r="A118" t="s">
        <v>780</v>
      </c>
      <c r="B118" s="4">
        <v>74.490279130000005</v>
      </c>
      <c r="C118" s="4">
        <v>42.480758780000002</v>
      </c>
      <c r="D118" s="4">
        <v>3195.1060000000002</v>
      </c>
    </row>
    <row r="119" spans="1:4" x14ac:dyDescent="0.35">
      <c r="A119" t="s">
        <v>781</v>
      </c>
      <c r="B119" s="4">
        <v>74.490295790000005</v>
      </c>
      <c r="C119" s="4">
        <v>42.480804390000003</v>
      </c>
      <c r="D119" s="4">
        <v>3194.009</v>
      </c>
    </row>
    <row r="120" spans="1:4" x14ac:dyDescent="0.35">
      <c r="A120" t="s">
        <v>782</v>
      </c>
      <c r="B120" s="4">
        <v>74.490329119999998</v>
      </c>
      <c r="C120" s="4">
        <v>42.4808375</v>
      </c>
      <c r="D120" s="4">
        <v>3194.2649999999999</v>
      </c>
    </row>
    <row r="121" spans="1:4" x14ac:dyDescent="0.35">
      <c r="A121" t="s">
        <v>783</v>
      </c>
      <c r="B121" s="4">
        <v>74.490354389999993</v>
      </c>
      <c r="C121" s="4">
        <v>42.480882319999999</v>
      </c>
      <c r="D121" s="4">
        <v>3194.2449999999999</v>
      </c>
    </row>
    <row r="122" spans="1:4" x14ac:dyDescent="0.35">
      <c r="A122" t="s">
        <v>784</v>
      </c>
      <c r="B122" s="4">
        <v>74.490374110000005</v>
      </c>
      <c r="C122" s="4">
        <v>42.480919700000001</v>
      </c>
      <c r="D122" s="4">
        <v>3193.2359999999999</v>
      </c>
    </row>
    <row r="123" spans="1:4" x14ac:dyDescent="0.35">
      <c r="A123" t="s">
        <v>785</v>
      </c>
      <c r="B123" s="4">
        <v>74.490391579999994</v>
      </c>
      <c r="C123" s="4">
        <v>42.480944229999999</v>
      </c>
      <c r="D123" s="4">
        <v>3192.7440000000001</v>
      </c>
    </row>
    <row r="124" spans="1:4" x14ac:dyDescent="0.35">
      <c r="A124" t="s">
        <v>786</v>
      </c>
      <c r="B124" s="4">
        <v>74.490425439999996</v>
      </c>
      <c r="C124" s="4">
        <v>42.480983459999997</v>
      </c>
      <c r="D124" s="4">
        <v>3191.683</v>
      </c>
    </row>
    <row r="125" spans="1:4" x14ac:dyDescent="0.35">
      <c r="A125" t="s">
        <v>787</v>
      </c>
      <c r="B125" s="4">
        <v>74.490470439999996</v>
      </c>
      <c r="C125" s="4">
        <v>42.480991860000003</v>
      </c>
      <c r="D125" s="4">
        <v>3191.9340000000002</v>
      </c>
    </row>
    <row r="126" spans="1:4" x14ac:dyDescent="0.35">
      <c r="A126" t="s">
        <v>788</v>
      </c>
      <c r="B126" s="4">
        <v>74.490460139999996</v>
      </c>
      <c r="C126" s="4">
        <v>42.481017829999999</v>
      </c>
      <c r="D126" s="4">
        <v>3191.761</v>
      </c>
    </row>
    <row r="127" spans="1:4" x14ac:dyDescent="0.35">
      <c r="A127" t="s">
        <v>789</v>
      </c>
      <c r="B127" s="4">
        <v>74.490461670000002</v>
      </c>
      <c r="C127" s="4">
        <v>42.481017180000002</v>
      </c>
      <c r="D127" s="4">
        <v>3191.8560000000002</v>
      </c>
    </row>
    <row r="128" spans="1:4" x14ac:dyDescent="0.35">
      <c r="A128" t="s">
        <v>790</v>
      </c>
      <c r="B128" s="4">
        <v>74.490483549999993</v>
      </c>
      <c r="C128" s="4">
        <v>42.481059180000003</v>
      </c>
      <c r="D128" s="4">
        <v>3191.9470000000001</v>
      </c>
    </row>
    <row r="129" spans="1:4" x14ac:dyDescent="0.35">
      <c r="A129" t="s">
        <v>791</v>
      </c>
      <c r="B129" s="4">
        <v>74.490522279999993</v>
      </c>
      <c r="C129" s="4">
        <v>42.481091220000003</v>
      </c>
      <c r="D129" s="4">
        <v>3191.7220000000002</v>
      </c>
    </row>
    <row r="130" spans="1:4" x14ac:dyDescent="0.35">
      <c r="A130" t="s">
        <v>792</v>
      </c>
      <c r="B130" s="4">
        <v>74.490554029999998</v>
      </c>
      <c r="C130" s="4">
        <v>42.481127440000002</v>
      </c>
      <c r="D130" s="4">
        <v>3190.6219999999998</v>
      </c>
    </row>
    <row r="131" spans="1:4" x14ac:dyDescent="0.35">
      <c r="A131" t="s">
        <v>793</v>
      </c>
      <c r="B131" s="4">
        <v>74.490595819999996</v>
      </c>
      <c r="C131" s="4">
        <v>42.481161559999997</v>
      </c>
      <c r="D131" s="4">
        <v>3188.9250000000002</v>
      </c>
    </row>
    <row r="132" spans="1:4" x14ac:dyDescent="0.35">
      <c r="A132" t="s">
        <v>794</v>
      </c>
      <c r="B132" s="4">
        <v>74.490613740000001</v>
      </c>
      <c r="C132" s="4">
        <v>42.481200999999999</v>
      </c>
      <c r="D132" s="4">
        <v>3187.8209999999999</v>
      </c>
    </row>
    <row r="133" spans="1:4" x14ac:dyDescent="0.35">
      <c r="A133" t="s">
        <v>795</v>
      </c>
      <c r="B133" s="4">
        <v>74.490653039999998</v>
      </c>
      <c r="C133" s="4">
        <v>42.481236199999998</v>
      </c>
      <c r="D133" s="4">
        <v>3187.0120000000002</v>
      </c>
    </row>
    <row r="134" spans="1:4" x14ac:dyDescent="0.35">
      <c r="A134" t="s">
        <v>796</v>
      </c>
      <c r="B134" s="4">
        <v>74.490682930000006</v>
      </c>
      <c r="C134" s="4">
        <v>42.481281709999998</v>
      </c>
      <c r="D134" s="4">
        <v>3186.971</v>
      </c>
    </row>
    <row r="135" spans="1:4" x14ac:dyDescent="0.35">
      <c r="A135" t="s">
        <v>797</v>
      </c>
      <c r="B135" s="4">
        <v>74.490716059999997</v>
      </c>
      <c r="C135" s="4">
        <v>42.481308630000001</v>
      </c>
      <c r="D135" s="4">
        <v>3186.895</v>
      </c>
    </row>
    <row r="136" spans="1:4" x14ac:dyDescent="0.35">
      <c r="A136" t="s">
        <v>798</v>
      </c>
      <c r="B136" s="4">
        <v>74.49075363</v>
      </c>
      <c r="C136" s="4">
        <v>42.4813495</v>
      </c>
      <c r="D136" s="4">
        <v>3186.2330000000002</v>
      </c>
    </row>
    <row r="137" spans="1:4" x14ac:dyDescent="0.35">
      <c r="A137" t="s">
        <v>799</v>
      </c>
      <c r="B137" s="4">
        <v>74.490794589999993</v>
      </c>
      <c r="C137" s="4">
        <v>42.481375800000002</v>
      </c>
      <c r="D137" s="4">
        <v>3185.9369999999999</v>
      </c>
    </row>
    <row r="138" spans="1:4" x14ac:dyDescent="0.35">
      <c r="A138" t="s">
        <v>800</v>
      </c>
      <c r="B138" s="4">
        <v>74.490829559999995</v>
      </c>
      <c r="C138" s="4">
        <v>42.481420280000002</v>
      </c>
      <c r="D138" s="4">
        <v>3185.4160000000002</v>
      </c>
    </row>
    <row r="139" spans="1:4" x14ac:dyDescent="0.35">
      <c r="A139" t="s">
        <v>801</v>
      </c>
      <c r="B139" s="4">
        <v>74.490866229999995</v>
      </c>
      <c r="C139" s="4">
        <v>42.481454630000002</v>
      </c>
      <c r="D139" s="4">
        <v>3184.7310000000002</v>
      </c>
    </row>
    <row r="140" spans="1:4" x14ac:dyDescent="0.35">
      <c r="A140" t="s">
        <v>802</v>
      </c>
      <c r="B140" s="4">
        <v>74.490879660000004</v>
      </c>
      <c r="C140" s="4">
        <v>42.481489940000003</v>
      </c>
      <c r="D140" s="4">
        <v>3184.2469999999998</v>
      </c>
    </row>
    <row r="141" spans="1:4" x14ac:dyDescent="0.35">
      <c r="A141" t="s">
        <v>803</v>
      </c>
      <c r="B141" s="4">
        <v>74.490930579999997</v>
      </c>
      <c r="C141" s="4">
        <v>42.481526680000002</v>
      </c>
      <c r="D141" s="4">
        <v>3183.65</v>
      </c>
    </row>
    <row r="142" spans="1:4" x14ac:dyDescent="0.35">
      <c r="A142" t="s">
        <v>804</v>
      </c>
      <c r="B142" s="4">
        <v>74.490957230000006</v>
      </c>
      <c r="C142" s="4">
        <v>42.481561689999999</v>
      </c>
      <c r="D142" s="4">
        <v>3182.962</v>
      </c>
    </row>
    <row r="143" spans="1:4" x14ac:dyDescent="0.35">
      <c r="A143" t="s">
        <v>805</v>
      </c>
      <c r="B143" s="4">
        <v>74.490990769999996</v>
      </c>
      <c r="C143" s="4">
        <v>42.481618589999997</v>
      </c>
      <c r="D143" s="4">
        <v>3177.252</v>
      </c>
    </row>
    <row r="144" spans="1:4" x14ac:dyDescent="0.35">
      <c r="A144" t="s">
        <v>806</v>
      </c>
      <c r="B144" s="4">
        <v>74.491011299999997</v>
      </c>
      <c r="C144" s="4">
        <v>42.481664330000001</v>
      </c>
      <c r="D144" s="4">
        <v>3174.1210000000001</v>
      </c>
    </row>
    <row r="145" spans="1:5" x14ac:dyDescent="0.35">
      <c r="A145" t="s">
        <v>807</v>
      </c>
      <c r="B145" s="4">
        <v>74.491034159999998</v>
      </c>
      <c r="C145" s="4">
        <v>42.481680519999998</v>
      </c>
      <c r="D145" s="4">
        <v>3173.3589999999999</v>
      </c>
    </row>
    <row r="146" spans="1:5" x14ac:dyDescent="0.35">
      <c r="A146" t="s">
        <v>808</v>
      </c>
      <c r="B146" s="4">
        <v>74.491084709999996</v>
      </c>
      <c r="C146" s="4">
        <v>42.481716929999997</v>
      </c>
      <c r="D146" s="4">
        <v>3172.348</v>
      </c>
    </row>
    <row r="147" spans="1:5" x14ac:dyDescent="0.35">
      <c r="A147" t="s">
        <v>809</v>
      </c>
      <c r="B147" s="4">
        <v>74.491125859999997</v>
      </c>
      <c r="C147" s="4">
        <v>42.481754590000001</v>
      </c>
      <c r="D147" s="4">
        <v>3171.6109999999999</v>
      </c>
    </row>
    <row r="148" spans="1:5" x14ac:dyDescent="0.35">
      <c r="A148" t="s">
        <v>810</v>
      </c>
      <c r="B148" s="4">
        <v>74.491129529999995</v>
      </c>
      <c r="C148" s="4">
        <v>42.48179167</v>
      </c>
      <c r="D148" s="4">
        <v>3170.5520000000001</v>
      </c>
    </row>
    <row r="149" spans="1:5" x14ac:dyDescent="0.35">
      <c r="A149" t="s">
        <v>811</v>
      </c>
      <c r="B149" s="1">
        <v>74.499172520000002</v>
      </c>
      <c r="C149" s="1">
        <v>42.482185909999998</v>
      </c>
      <c r="D149" s="1">
        <v>3192.4050000000002</v>
      </c>
      <c r="E149" t="s">
        <v>931</v>
      </c>
    </row>
    <row r="150" spans="1:5" x14ac:dyDescent="0.35">
      <c r="A150" t="s">
        <v>812</v>
      </c>
      <c r="B150" s="1">
        <v>74.499134240000004</v>
      </c>
      <c r="C150" s="1">
        <v>42.482206769999998</v>
      </c>
      <c r="D150" s="1">
        <v>3191.74</v>
      </c>
    </row>
    <row r="151" spans="1:5" x14ac:dyDescent="0.35">
      <c r="A151" t="s">
        <v>813</v>
      </c>
      <c r="B151" s="1">
        <v>74.49909203</v>
      </c>
      <c r="C151" s="1">
        <v>42.482238670000001</v>
      </c>
      <c r="D151" s="1">
        <v>3191.5459999999998</v>
      </c>
    </row>
    <row r="152" spans="1:5" x14ac:dyDescent="0.35">
      <c r="A152" t="s">
        <v>814</v>
      </c>
      <c r="B152" s="1">
        <v>74.499040710000003</v>
      </c>
      <c r="C152" s="1">
        <v>42.482266279999997</v>
      </c>
      <c r="D152" s="1">
        <v>3191.55</v>
      </c>
    </row>
    <row r="153" spans="1:5" x14ac:dyDescent="0.35">
      <c r="A153" t="s">
        <v>815</v>
      </c>
      <c r="B153" s="1">
        <v>74.498981349999994</v>
      </c>
      <c r="C153" s="1">
        <v>42.482301579999998</v>
      </c>
      <c r="D153" s="1">
        <v>3189.8789999999999</v>
      </c>
    </row>
    <row r="154" spans="1:5" x14ac:dyDescent="0.35">
      <c r="A154" t="s">
        <v>816</v>
      </c>
      <c r="B154" s="1">
        <v>74.498937769999998</v>
      </c>
      <c r="C154" s="1">
        <v>42.482321259999999</v>
      </c>
      <c r="D154" s="1">
        <v>3190.5360000000001</v>
      </c>
    </row>
    <row r="155" spans="1:5" x14ac:dyDescent="0.35">
      <c r="A155" t="s">
        <v>817</v>
      </c>
      <c r="B155" s="1">
        <v>74.498891130000004</v>
      </c>
      <c r="C155" s="1">
        <v>42.482351749999999</v>
      </c>
      <c r="D155" s="1">
        <v>3190.1480000000001</v>
      </c>
    </row>
    <row r="156" spans="1:5" x14ac:dyDescent="0.35">
      <c r="A156" t="s">
        <v>818</v>
      </c>
      <c r="B156" s="1">
        <v>74.498836069999996</v>
      </c>
      <c r="C156" s="1">
        <v>42.48238654</v>
      </c>
      <c r="D156" s="1">
        <v>3188.3670000000002</v>
      </c>
    </row>
    <row r="157" spans="1:5" x14ac:dyDescent="0.35">
      <c r="A157" t="s">
        <v>819</v>
      </c>
      <c r="B157" s="1">
        <v>74.498797819999993</v>
      </c>
      <c r="C157" s="1">
        <v>42.482414480000003</v>
      </c>
      <c r="D157" s="1">
        <v>3188.1080000000002</v>
      </c>
    </row>
    <row r="158" spans="1:5" x14ac:dyDescent="0.35">
      <c r="A158" t="s">
        <v>820</v>
      </c>
      <c r="B158" s="1">
        <v>74.498755700000004</v>
      </c>
      <c r="C158" s="1">
        <v>42.482447090000001</v>
      </c>
      <c r="D158" s="1">
        <v>3187.65</v>
      </c>
    </row>
    <row r="159" spans="1:5" x14ac:dyDescent="0.35">
      <c r="A159" t="s">
        <v>821</v>
      </c>
      <c r="B159" s="1">
        <v>74.498717979999995</v>
      </c>
      <c r="C159" s="1">
        <v>42.482477459999998</v>
      </c>
      <c r="D159" s="1">
        <v>3187.2330000000002</v>
      </c>
    </row>
    <row r="160" spans="1:5" x14ac:dyDescent="0.35">
      <c r="A160" t="s">
        <v>822</v>
      </c>
      <c r="B160" s="1">
        <v>74.498664039999994</v>
      </c>
      <c r="C160" s="1">
        <v>42.482499820000001</v>
      </c>
      <c r="D160" s="1">
        <v>3187.5059999999999</v>
      </c>
    </row>
    <row r="161" spans="1:5" x14ac:dyDescent="0.35">
      <c r="A161" t="s">
        <v>823</v>
      </c>
      <c r="B161" s="1">
        <v>74.498616060000003</v>
      </c>
      <c r="C161" s="1">
        <v>42.482528189999996</v>
      </c>
      <c r="D161" s="1">
        <v>3187.4929999999999</v>
      </c>
    </row>
    <row r="162" spans="1:5" x14ac:dyDescent="0.35">
      <c r="A162" t="s">
        <v>824</v>
      </c>
      <c r="B162" s="1">
        <v>74.498579300000003</v>
      </c>
      <c r="C162" s="1">
        <v>42.482552300000002</v>
      </c>
      <c r="D162" s="1">
        <v>3186.431</v>
      </c>
    </row>
    <row r="163" spans="1:5" x14ac:dyDescent="0.35">
      <c r="A163" t="s">
        <v>825</v>
      </c>
      <c r="B163" s="1">
        <v>74.49853804</v>
      </c>
      <c r="C163" s="1">
        <v>42.482581590000002</v>
      </c>
      <c r="D163" s="1">
        <v>3185.0169999999998</v>
      </c>
    </row>
    <row r="164" spans="1:5" x14ac:dyDescent="0.35">
      <c r="A164" t="s">
        <v>826</v>
      </c>
      <c r="B164" s="1">
        <v>74.498494300000004</v>
      </c>
      <c r="C164" s="1">
        <v>42.482605929999998</v>
      </c>
      <c r="D164" s="1">
        <v>3184.0529999999999</v>
      </c>
    </row>
    <row r="165" spans="1:5" x14ac:dyDescent="0.35">
      <c r="A165" t="s">
        <v>827</v>
      </c>
      <c r="B165" s="1">
        <v>74.498448269999997</v>
      </c>
      <c r="C165" s="1">
        <v>42.482630929999999</v>
      </c>
      <c r="D165" s="1">
        <v>3182.694</v>
      </c>
    </row>
    <row r="166" spans="1:5" x14ac:dyDescent="0.35">
      <c r="A166" t="s">
        <v>828</v>
      </c>
      <c r="B166" s="1">
        <v>74.498385769999999</v>
      </c>
      <c r="C166" s="1">
        <v>42.482663430000002</v>
      </c>
      <c r="D166" s="1">
        <v>3182.0810000000001</v>
      </c>
    </row>
    <row r="167" spans="1:5" x14ac:dyDescent="0.35">
      <c r="A167" t="s">
        <v>829</v>
      </c>
      <c r="B167" s="1">
        <v>74.498345270000002</v>
      </c>
      <c r="C167" s="1">
        <v>42.482686180000002</v>
      </c>
      <c r="D167" s="1">
        <v>3181.788</v>
      </c>
    </row>
    <row r="168" spans="1:5" x14ac:dyDescent="0.35">
      <c r="A168" t="s">
        <v>830</v>
      </c>
      <c r="B168" s="1">
        <v>74.498294430000001</v>
      </c>
      <c r="C168" s="1">
        <v>42.482720200000003</v>
      </c>
      <c r="D168" s="1">
        <v>3181.7869999999998</v>
      </c>
    </row>
    <row r="169" spans="1:5" x14ac:dyDescent="0.35">
      <c r="A169" t="s">
        <v>831</v>
      </c>
      <c r="B169" s="1">
        <v>74.498257580000001</v>
      </c>
      <c r="C169" s="1">
        <v>42.48275443</v>
      </c>
      <c r="D169" s="1">
        <v>3177.9870000000001</v>
      </c>
    </row>
    <row r="170" spans="1:5" x14ac:dyDescent="0.35">
      <c r="A170" t="s">
        <v>832</v>
      </c>
      <c r="B170" s="1">
        <v>74.498227110000002</v>
      </c>
      <c r="C170" s="1">
        <v>42.482779860000001</v>
      </c>
      <c r="D170" s="1">
        <v>3178.241</v>
      </c>
    </row>
    <row r="171" spans="1:5" x14ac:dyDescent="0.35">
      <c r="A171" t="s">
        <v>833</v>
      </c>
      <c r="B171" s="1">
        <v>74.498169910000001</v>
      </c>
      <c r="C171" s="1">
        <v>42.482820340000004</v>
      </c>
      <c r="D171" s="1">
        <v>3177.5610000000001</v>
      </c>
    </row>
    <row r="172" spans="1:5" x14ac:dyDescent="0.35">
      <c r="A172" t="s">
        <v>834</v>
      </c>
      <c r="B172" s="1">
        <v>74.49811742</v>
      </c>
      <c r="C172" s="1">
        <v>42.482852690000001</v>
      </c>
      <c r="D172" s="1">
        <v>3177.2979999999998</v>
      </c>
    </row>
    <row r="173" spans="1:5" x14ac:dyDescent="0.35">
      <c r="A173" t="s">
        <v>835</v>
      </c>
      <c r="B173" s="1">
        <v>74.498055170000001</v>
      </c>
      <c r="C173" s="1">
        <v>42.482882930000002</v>
      </c>
      <c r="D173" s="1">
        <v>3176.3989999999999</v>
      </c>
      <c r="E173" t="s">
        <v>932</v>
      </c>
    </row>
    <row r="174" spans="1:5" x14ac:dyDescent="0.35">
      <c r="A174" t="s">
        <v>836</v>
      </c>
      <c r="B174" s="1">
        <v>74.498015870000003</v>
      </c>
      <c r="C174" s="1">
        <v>42.482908629999997</v>
      </c>
      <c r="D174" s="1">
        <v>3176.056</v>
      </c>
    </row>
    <row r="175" spans="1:5" x14ac:dyDescent="0.35">
      <c r="A175" t="s">
        <v>837</v>
      </c>
      <c r="B175" s="1">
        <v>74.497956610000003</v>
      </c>
      <c r="C175" s="1">
        <v>42.482941109999999</v>
      </c>
      <c r="D175" s="1">
        <v>3175.5819999999999</v>
      </c>
    </row>
    <row r="176" spans="1:5" x14ac:dyDescent="0.35">
      <c r="A176" t="s">
        <v>838</v>
      </c>
      <c r="B176" s="1">
        <v>74.497918709999993</v>
      </c>
      <c r="C176" s="1">
        <v>42.48296371</v>
      </c>
      <c r="D176" s="1">
        <v>3175.1660000000002</v>
      </c>
    </row>
    <row r="177" spans="1:4" x14ac:dyDescent="0.35">
      <c r="A177" t="s">
        <v>839</v>
      </c>
      <c r="B177" s="1">
        <v>74.497866770000002</v>
      </c>
      <c r="C177" s="1">
        <v>42.482996630000002</v>
      </c>
      <c r="D177" s="1">
        <v>3172.9690000000001</v>
      </c>
    </row>
    <row r="178" spans="1:4" x14ac:dyDescent="0.35">
      <c r="A178" t="s">
        <v>840</v>
      </c>
      <c r="B178" s="1">
        <v>74.497834220000001</v>
      </c>
      <c r="C178" s="1">
        <v>42.483020590000002</v>
      </c>
      <c r="D178" s="1">
        <v>3173.1289999999999</v>
      </c>
    </row>
    <row r="179" spans="1:4" x14ac:dyDescent="0.35">
      <c r="A179" t="s">
        <v>841</v>
      </c>
      <c r="B179" s="1">
        <v>74.497774550000003</v>
      </c>
      <c r="C179" s="1">
        <v>42.483052630000003</v>
      </c>
      <c r="D179" s="1">
        <v>3173.915</v>
      </c>
    </row>
    <row r="180" spans="1:4" x14ac:dyDescent="0.35">
      <c r="A180" t="s">
        <v>842</v>
      </c>
      <c r="B180" s="1">
        <v>74.497748090000002</v>
      </c>
      <c r="C180" s="1">
        <v>42.483082029999998</v>
      </c>
      <c r="D180" s="1">
        <v>3173.35</v>
      </c>
    </row>
    <row r="181" spans="1:4" x14ac:dyDescent="0.35">
      <c r="A181" t="s">
        <v>843</v>
      </c>
      <c r="B181" s="1">
        <v>74.497696189999999</v>
      </c>
      <c r="C181" s="1">
        <v>42.483107189999998</v>
      </c>
      <c r="D181" s="1">
        <v>3172.2719999999999</v>
      </c>
    </row>
    <row r="182" spans="1:4" x14ac:dyDescent="0.35">
      <c r="A182" t="s">
        <v>844</v>
      </c>
      <c r="B182" s="1">
        <v>74.497636450000002</v>
      </c>
      <c r="C182" s="1">
        <v>42.483139039999998</v>
      </c>
      <c r="D182" s="1">
        <v>3174.35</v>
      </c>
    </row>
    <row r="183" spans="1:4" x14ac:dyDescent="0.35">
      <c r="A183" t="s">
        <v>845</v>
      </c>
      <c r="B183" s="1">
        <v>74.497611930000005</v>
      </c>
      <c r="C183" s="1">
        <v>42.483167760000001</v>
      </c>
      <c r="D183" s="1">
        <v>3173.2689999999998</v>
      </c>
    </row>
    <row r="184" spans="1:4" x14ac:dyDescent="0.35">
      <c r="A184" t="s">
        <v>846</v>
      </c>
      <c r="B184" s="1">
        <v>74.497550509999996</v>
      </c>
      <c r="C184" s="1">
        <v>42.483199630000001</v>
      </c>
      <c r="D184" s="1">
        <v>3173.9670000000001</v>
      </c>
    </row>
    <row r="185" spans="1:4" x14ac:dyDescent="0.35">
      <c r="A185" t="s">
        <v>847</v>
      </c>
      <c r="B185" s="1">
        <v>74.497499820000002</v>
      </c>
      <c r="C185" s="1">
        <v>42.483218919999999</v>
      </c>
      <c r="D185" s="1">
        <v>3171.951</v>
      </c>
    </row>
    <row r="186" spans="1:4" x14ac:dyDescent="0.35">
      <c r="A186" t="s">
        <v>848</v>
      </c>
      <c r="B186" s="1">
        <v>74.497444959999996</v>
      </c>
      <c r="C186" s="1">
        <v>42.483240600000002</v>
      </c>
      <c r="D186" s="1">
        <v>3172.36</v>
      </c>
    </row>
    <row r="187" spans="1:4" x14ac:dyDescent="0.35">
      <c r="A187" t="s">
        <v>849</v>
      </c>
      <c r="B187" s="1">
        <v>74.497386410000004</v>
      </c>
      <c r="C187" s="1">
        <v>42.483271969999997</v>
      </c>
      <c r="D187" s="1">
        <v>3172.259</v>
      </c>
    </row>
    <row r="188" spans="1:4" x14ac:dyDescent="0.35">
      <c r="A188" t="s">
        <v>850</v>
      </c>
      <c r="B188" s="1">
        <v>74.497350900000001</v>
      </c>
      <c r="C188" s="1">
        <v>42.483294960000002</v>
      </c>
      <c r="D188" s="1">
        <v>3171.31</v>
      </c>
    </row>
    <row r="189" spans="1:4" x14ac:dyDescent="0.35">
      <c r="A189" t="s">
        <v>851</v>
      </c>
      <c r="B189" s="1">
        <v>74.497303939999995</v>
      </c>
      <c r="C189" s="1">
        <v>42.483316430000002</v>
      </c>
      <c r="D189" s="1">
        <v>3173.1619999999998</v>
      </c>
    </row>
    <row r="190" spans="1:4" x14ac:dyDescent="0.35">
      <c r="A190" t="s">
        <v>852</v>
      </c>
      <c r="B190" s="1">
        <v>74.497248619999993</v>
      </c>
      <c r="C190" s="1">
        <v>42.483342469999997</v>
      </c>
      <c r="D190" s="1">
        <v>3174.806</v>
      </c>
    </row>
    <row r="191" spans="1:4" x14ac:dyDescent="0.35">
      <c r="A191" t="s">
        <v>853</v>
      </c>
      <c r="B191" s="1">
        <v>74.49719623</v>
      </c>
      <c r="C191" s="1">
        <v>42.483366709999999</v>
      </c>
      <c r="D191" s="1">
        <v>3174.33</v>
      </c>
    </row>
    <row r="192" spans="1:4" x14ac:dyDescent="0.35">
      <c r="A192" t="s">
        <v>854</v>
      </c>
      <c r="B192" s="1">
        <v>74.497147810000001</v>
      </c>
      <c r="C192" s="1">
        <v>42.483389520000003</v>
      </c>
      <c r="D192" s="1">
        <v>3173.0450000000001</v>
      </c>
    </row>
    <row r="193" spans="1:5" x14ac:dyDescent="0.35">
      <c r="A193" t="s">
        <v>855</v>
      </c>
      <c r="B193" s="1">
        <v>74.497103510000002</v>
      </c>
      <c r="C193" s="1">
        <v>42.483415149999999</v>
      </c>
      <c r="D193" s="1">
        <v>3173.5419999999999</v>
      </c>
    </row>
    <row r="194" spans="1:5" x14ac:dyDescent="0.35">
      <c r="A194" t="s">
        <v>856</v>
      </c>
      <c r="B194" s="1">
        <v>74.497058409999994</v>
      </c>
      <c r="C194" s="1">
        <v>42.483433759999997</v>
      </c>
      <c r="D194" s="1">
        <v>3173.8670000000002</v>
      </c>
    </row>
    <row r="195" spans="1:5" x14ac:dyDescent="0.35">
      <c r="A195" t="s">
        <v>857</v>
      </c>
      <c r="B195" s="1">
        <v>74.497018539999999</v>
      </c>
      <c r="C195" s="1">
        <v>42.483460389999998</v>
      </c>
      <c r="D195" s="1">
        <v>3173.6419999999998</v>
      </c>
    </row>
    <row r="196" spans="1:5" x14ac:dyDescent="0.35">
      <c r="A196" t="s">
        <v>858</v>
      </c>
      <c r="B196" s="1">
        <v>74.496976849999996</v>
      </c>
      <c r="C196" s="1">
        <v>42.483488530000002</v>
      </c>
      <c r="D196" s="1">
        <v>3174.9650000000001</v>
      </c>
    </row>
    <row r="197" spans="1:5" x14ac:dyDescent="0.35">
      <c r="A197" t="s">
        <v>859</v>
      </c>
      <c r="B197" s="1">
        <v>74.496929300000005</v>
      </c>
      <c r="C197" s="1">
        <v>42.483538979999999</v>
      </c>
      <c r="D197" s="1">
        <v>3175.0889999999999</v>
      </c>
      <c r="E197" t="s">
        <v>933</v>
      </c>
    </row>
    <row r="198" spans="1:5" x14ac:dyDescent="0.35">
      <c r="A198" t="s">
        <v>860</v>
      </c>
      <c r="B198" s="1">
        <v>74.496894710000007</v>
      </c>
      <c r="C198" s="1">
        <v>42.483562810000002</v>
      </c>
      <c r="D198" s="1">
        <v>3175.1689999999999</v>
      </c>
    </row>
    <row r="199" spans="1:5" x14ac:dyDescent="0.35">
      <c r="A199" t="s">
        <v>861</v>
      </c>
      <c r="B199" s="1">
        <v>74.496855460000006</v>
      </c>
      <c r="C199" s="1">
        <v>42.483595119999997</v>
      </c>
      <c r="D199" s="1">
        <v>3173.2370000000001</v>
      </c>
    </row>
    <row r="200" spans="1:5" x14ac:dyDescent="0.35">
      <c r="A200" t="s">
        <v>862</v>
      </c>
      <c r="B200" s="1">
        <v>74.496809519999999</v>
      </c>
      <c r="C200" s="1">
        <v>42.483631080000002</v>
      </c>
      <c r="D200" s="1">
        <v>3172.2779999999998</v>
      </c>
    </row>
    <row r="201" spans="1:5" x14ac:dyDescent="0.35">
      <c r="A201" t="s">
        <v>863</v>
      </c>
      <c r="B201" s="1">
        <v>74.496763229999999</v>
      </c>
      <c r="C201" s="1">
        <v>42.483661740000002</v>
      </c>
      <c r="D201" s="1">
        <v>3171.4639999999999</v>
      </c>
    </row>
    <row r="202" spans="1:5" x14ac:dyDescent="0.35">
      <c r="A202" t="s">
        <v>864</v>
      </c>
      <c r="B202" s="1">
        <v>74.496728050000002</v>
      </c>
      <c r="C202" s="1">
        <v>42.483683259999999</v>
      </c>
      <c r="D202" s="1">
        <v>3170.7330000000002</v>
      </c>
    </row>
    <row r="203" spans="1:5" x14ac:dyDescent="0.35">
      <c r="A203" t="s">
        <v>865</v>
      </c>
      <c r="B203" s="1">
        <v>74.496684049999999</v>
      </c>
      <c r="C203" s="1">
        <v>42.483710600000002</v>
      </c>
      <c r="D203" s="1">
        <v>3170.9920000000002</v>
      </c>
    </row>
    <row r="204" spans="1:5" x14ac:dyDescent="0.35">
      <c r="A204" t="s">
        <v>866</v>
      </c>
      <c r="B204" s="1">
        <v>74.496635949999998</v>
      </c>
      <c r="C204" s="1">
        <v>42.483733479999998</v>
      </c>
      <c r="D204" s="1">
        <v>3169.2930000000001</v>
      </c>
    </row>
    <row r="205" spans="1:5" x14ac:dyDescent="0.35">
      <c r="A205" t="s">
        <v>867</v>
      </c>
      <c r="B205" s="1">
        <v>74.496590010000006</v>
      </c>
      <c r="C205" s="1">
        <v>42.483757130000001</v>
      </c>
      <c r="D205" s="1">
        <v>3166.297</v>
      </c>
    </row>
    <row r="206" spans="1:5" x14ac:dyDescent="0.35">
      <c r="A206" t="s">
        <v>868</v>
      </c>
      <c r="B206" s="1">
        <v>74.496539540000001</v>
      </c>
      <c r="C206" s="1">
        <v>42.483781720000003</v>
      </c>
      <c r="D206" s="1">
        <v>3165.18</v>
      </c>
    </row>
    <row r="207" spans="1:5" x14ac:dyDescent="0.35">
      <c r="A207" t="s">
        <v>869</v>
      </c>
      <c r="B207" s="1">
        <v>74.496491509999998</v>
      </c>
      <c r="C207" s="1">
        <v>42.483809520000001</v>
      </c>
      <c r="D207" s="1">
        <v>3163.3919999999998</v>
      </c>
    </row>
    <row r="208" spans="1:5" x14ac:dyDescent="0.35">
      <c r="A208" t="s">
        <v>870</v>
      </c>
      <c r="B208" s="1">
        <v>74.496452250000004</v>
      </c>
      <c r="C208" s="1">
        <v>42.483827380000001</v>
      </c>
      <c r="D208" s="1">
        <v>3159.6779999999999</v>
      </c>
    </row>
    <row r="209" spans="1:5" x14ac:dyDescent="0.35">
      <c r="A209" t="s">
        <v>871</v>
      </c>
      <c r="B209" s="1">
        <v>74.496418809999994</v>
      </c>
      <c r="C209" s="1">
        <v>42.483844599999998</v>
      </c>
      <c r="D209" s="1">
        <v>3157.1689999999999</v>
      </c>
    </row>
    <row r="210" spans="1:5" x14ac:dyDescent="0.35">
      <c r="A210" t="s">
        <v>872</v>
      </c>
      <c r="B210" s="1">
        <v>74.496371690000004</v>
      </c>
      <c r="C210" s="1">
        <v>42.483866769999999</v>
      </c>
      <c r="D210" s="1">
        <v>3155.087</v>
      </c>
    </row>
    <row r="211" spans="1:5" x14ac:dyDescent="0.35">
      <c r="A211" t="s">
        <v>873</v>
      </c>
      <c r="B211" s="1">
        <v>74.49632192</v>
      </c>
      <c r="C211" s="1">
        <v>42.483894620000001</v>
      </c>
      <c r="D211" s="1">
        <v>3153.71</v>
      </c>
    </row>
    <row r="212" spans="1:5" x14ac:dyDescent="0.35">
      <c r="A212" t="s">
        <v>874</v>
      </c>
      <c r="B212" s="1">
        <v>74.496277590000005</v>
      </c>
      <c r="C212" s="1">
        <v>42.483915009999997</v>
      </c>
      <c r="D212" s="1">
        <v>3153.424</v>
      </c>
    </row>
    <row r="213" spans="1:5" x14ac:dyDescent="0.35">
      <c r="A213" t="s">
        <v>875</v>
      </c>
      <c r="B213" s="1">
        <v>74.496219780000004</v>
      </c>
      <c r="C213" s="1">
        <v>42.483945550000001</v>
      </c>
      <c r="D213" s="1">
        <v>3153.62</v>
      </c>
    </row>
    <row r="214" spans="1:5" x14ac:dyDescent="0.35">
      <c r="A214" t="s">
        <v>876</v>
      </c>
      <c r="B214" s="1">
        <v>74.496170169999999</v>
      </c>
      <c r="C214" s="1">
        <v>42.48397405</v>
      </c>
      <c r="D214" s="1">
        <v>3152.5369999999998</v>
      </c>
    </row>
    <row r="215" spans="1:5" x14ac:dyDescent="0.35">
      <c r="A215" t="s">
        <v>877</v>
      </c>
      <c r="B215" s="1">
        <v>74.496113870000002</v>
      </c>
      <c r="C215" s="1">
        <v>42.483997700000003</v>
      </c>
      <c r="D215" s="1">
        <v>3151.5970000000002</v>
      </c>
    </row>
    <row r="216" spans="1:5" x14ac:dyDescent="0.35">
      <c r="A216" t="s">
        <v>878</v>
      </c>
      <c r="B216" s="1">
        <v>74.496077979999995</v>
      </c>
      <c r="C216" s="1">
        <v>42.484021009999999</v>
      </c>
      <c r="D216" s="1">
        <v>3151.1039999999998</v>
      </c>
    </row>
    <row r="217" spans="1:5" x14ac:dyDescent="0.35">
      <c r="A217" t="s">
        <v>879</v>
      </c>
      <c r="B217" s="1">
        <v>74.496021830000004</v>
      </c>
      <c r="C217" s="1">
        <v>42.484053369999998</v>
      </c>
      <c r="D217" s="1">
        <v>3150.3420000000001</v>
      </c>
    </row>
    <row r="218" spans="1:5" x14ac:dyDescent="0.35">
      <c r="A218" t="s">
        <v>880</v>
      </c>
      <c r="B218" s="1">
        <v>74.495977710000005</v>
      </c>
      <c r="C218" s="1">
        <v>42.484089429999997</v>
      </c>
      <c r="D218" s="1">
        <v>3147.3359999999998</v>
      </c>
    </row>
    <row r="219" spans="1:5" x14ac:dyDescent="0.35">
      <c r="A219" t="s">
        <v>881</v>
      </c>
      <c r="B219" s="1">
        <v>74.495943589999996</v>
      </c>
      <c r="C219" s="1">
        <v>42.484118850000002</v>
      </c>
      <c r="D219" s="1">
        <v>3144.556</v>
      </c>
    </row>
    <row r="220" spans="1:5" x14ac:dyDescent="0.35">
      <c r="A220" t="s">
        <v>882</v>
      </c>
      <c r="B220" s="1">
        <v>74.495903839999997</v>
      </c>
      <c r="C220" s="1">
        <v>42.484141020000003</v>
      </c>
      <c r="D220" s="1">
        <v>3143.625</v>
      </c>
    </row>
    <row r="221" spans="1:5" x14ac:dyDescent="0.35">
      <c r="A221" t="s">
        <v>883</v>
      </c>
      <c r="B221" s="1">
        <v>74.495840270000002</v>
      </c>
      <c r="C221" s="1">
        <v>42.484125759999998</v>
      </c>
      <c r="D221" s="1">
        <v>3143.3359999999998</v>
      </c>
      <c r="E221" t="s">
        <v>934</v>
      </c>
    </row>
    <row r="222" spans="1:5" x14ac:dyDescent="0.35">
      <c r="A222" t="s">
        <v>884</v>
      </c>
      <c r="B222" s="1">
        <v>74.495798500000006</v>
      </c>
      <c r="C222" s="1">
        <v>42.484139229999997</v>
      </c>
      <c r="D222" s="1">
        <v>3141.6930000000002</v>
      </c>
    </row>
    <row r="223" spans="1:5" x14ac:dyDescent="0.35">
      <c r="A223" t="s">
        <v>885</v>
      </c>
      <c r="B223" s="1">
        <v>74.495742309999997</v>
      </c>
      <c r="C223" s="1">
        <v>42.48416838</v>
      </c>
      <c r="D223" s="1">
        <v>3140.4769999999999</v>
      </c>
    </row>
    <row r="224" spans="1:5" x14ac:dyDescent="0.35">
      <c r="A224" t="s">
        <v>886</v>
      </c>
      <c r="B224" s="1">
        <v>74.495707179999997</v>
      </c>
      <c r="C224" s="1">
        <v>42.48419852</v>
      </c>
      <c r="D224" s="1">
        <v>3139.2159999999999</v>
      </c>
    </row>
    <row r="225" spans="1:4" x14ac:dyDescent="0.35">
      <c r="A225" t="s">
        <v>887</v>
      </c>
      <c r="B225" s="1">
        <v>74.495671689999995</v>
      </c>
      <c r="C225" s="1">
        <v>42.484219090000003</v>
      </c>
      <c r="D225" s="1">
        <v>3141.3589999999999</v>
      </c>
    </row>
    <row r="226" spans="1:4" x14ac:dyDescent="0.35">
      <c r="A226" t="s">
        <v>888</v>
      </c>
      <c r="B226" s="1">
        <v>74.495648689999996</v>
      </c>
      <c r="C226" s="1">
        <v>42.48425082</v>
      </c>
      <c r="D226" s="1">
        <v>3142.444</v>
      </c>
    </row>
    <row r="227" spans="1:4" x14ac:dyDescent="0.35">
      <c r="A227" t="s">
        <v>889</v>
      </c>
      <c r="B227" s="1">
        <v>74.495570110000003</v>
      </c>
      <c r="C227" s="1">
        <v>42.48428088</v>
      </c>
      <c r="D227" s="1">
        <v>3142.8809999999999</v>
      </c>
    </row>
    <row r="228" spans="1:4" x14ac:dyDescent="0.35">
      <c r="A228" t="s">
        <v>890</v>
      </c>
      <c r="B228" s="1">
        <v>74.495523399999996</v>
      </c>
      <c r="C228" s="1">
        <v>42.484300009999998</v>
      </c>
      <c r="D228" s="1">
        <v>3141.3139999999999</v>
      </c>
    </row>
    <row r="229" spans="1:4" x14ac:dyDescent="0.35">
      <c r="A229" t="s">
        <v>891</v>
      </c>
      <c r="B229" s="1">
        <v>74.495476490000001</v>
      </c>
      <c r="C229" s="1">
        <v>42.484323430000003</v>
      </c>
      <c r="D229" s="1">
        <v>3140.2849999999999</v>
      </c>
    </row>
    <row r="230" spans="1:4" x14ac:dyDescent="0.35">
      <c r="A230" t="s">
        <v>892</v>
      </c>
      <c r="B230" s="1">
        <v>74.495431859999997</v>
      </c>
      <c r="C230" s="1">
        <v>42.484357279999998</v>
      </c>
      <c r="D230" s="1">
        <v>3141.239</v>
      </c>
    </row>
    <row r="231" spans="1:4" x14ac:dyDescent="0.35">
      <c r="A231" t="s">
        <v>893</v>
      </c>
      <c r="B231" s="1">
        <v>74.495379380000003</v>
      </c>
      <c r="C231" s="1">
        <v>42.484386989999997</v>
      </c>
      <c r="D231" s="1">
        <v>3141.2730000000001</v>
      </c>
    </row>
    <row r="232" spans="1:4" x14ac:dyDescent="0.35">
      <c r="A232" t="s">
        <v>894</v>
      </c>
      <c r="B232" s="1">
        <v>74.495332129999994</v>
      </c>
      <c r="C232" s="1">
        <v>42.484405279999997</v>
      </c>
      <c r="D232" s="1">
        <v>3139.5059999999999</v>
      </c>
    </row>
    <row r="233" spans="1:4" x14ac:dyDescent="0.35">
      <c r="A233" t="s">
        <v>895</v>
      </c>
      <c r="B233" s="1">
        <v>74.49528214</v>
      </c>
      <c r="C233" s="1">
        <v>42.484434780000001</v>
      </c>
      <c r="D233" s="1">
        <v>3137.5650000000001</v>
      </c>
    </row>
    <row r="234" spans="1:4" x14ac:dyDescent="0.35">
      <c r="A234" t="s">
        <v>896</v>
      </c>
      <c r="B234" s="1">
        <v>74.4952392</v>
      </c>
      <c r="C234" s="1">
        <v>42.48445692</v>
      </c>
      <c r="D234" s="1">
        <v>3136.998</v>
      </c>
    </row>
    <row r="235" spans="1:4" x14ac:dyDescent="0.35">
      <c r="A235" t="s">
        <v>897</v>
      </c>
      <c r="B235" s="1">
        <v>74.495189809999999</v>
      </c>
      <c r="C235" s="1">
        <v>42.484480560000002</v>
      </c>
      <c r="D235" s="1">
        <v>3135.8150000000001</v>
      </c>
    </row>
    <row r="236" spans="1:4" x14ac:dyDescent="0.35">
      <c r="A236" t="s">
        <v>898</v>
      </c>
      <c r="B236" s="1">
        <v>74.495141480000001</v>
      </c>
      <c r="C236" s="1">
        <v>42.484508769999998</v>
      </c>
      <c r="D236" s="1">
        <v>3134.556</v>
      </c>
    </row>
    <row r="237" spans="1:4" x14ac:dyDescent="0.35">
      <c r="A237" t="s">
        <v>899</v>
      </c>
      <c r="B237" s="1">
        <v>74.495093650000001</v>
      </c>
      <c r="C237" s="1">
        <v>42.48453962</v>
      </c>
      <c r="D237" s="1">
        <v>3133.721</v>
      </c>
    </row>
    <row r="238" spans="1:4" x14ac:dyDescent="0.35">
      <c r="A238" t="s">
        <v>900</v>
      </c>
      <c r="B238" s="1">
        <v>74.495047139999997</v>
      </c>
      <c r="C238" s="1">
        <v>42.484568230000001</v>
      </c>
      <c r="D238" s="1">
        <v>3133.2359999999999</v>
      </c>
    </row>
    <row r="239" spans="1:4" x14ac:dyDescent="0.35">
      <c r="A239" t="s">
        <v>901</v>
      </c>
      <c r="B239" s="1">
        <v>74.494995770000003</v>
      </c>
      <c r="C239" s="1">
        <v>42.48459029</v>
      </c>
      <c r="D239" s="1">
        <v>3132.5010000000002</v>
      </c>
    </row>
    <row r="240" spans="1:4" x14ac:dyDescent="0.35">
      <c r="A240" t="s">
        <v>902</v>
      </c>
      <c r="B240" s="1">
        <v>74.49495718</v>
      </c>
      <c r="C240" s="1">
        <v>42.484610099999998</v>
      </c>
      <c r="D240" s="1">
        <v>3131.6320000000001</v>
      </c>
    </row>
    <row r="241" spans="1:4" x14ac:dyDescent="0.35">
      <c r="A241" t="s">
        <v>903</v>
      </c>
      <c r="B241" s="1">
        <v>74.494909329999999</v>
      </c>
      <c r="C241" s="1">
        <v>42.484643159999997</v>
      </c>
      <c r="D241" s="1">
        <v>3132.19</v>
      </c>
    </row>
    <row r="242" spans="1:4" x14ac:dyDescent="0.35">
      <c r="A242" t="s">
        <v>904</v>
      </c>
      <c r="B242" s="1">
        <v>74.494852170000001</v>
      </c>
      <c r="C242" s="1">
        <v>42.484665960000001</v>
      </c>
      <c r="D242" s="1">
        <v>3130.837</v>
      </c>
    </row>
    <row r="243" spans="1:4" x14ac:dyDescent="0.35">
      <c r="A243" t="s">
        <v>905</v>
      </c>
      <c r="B243" s="1">
        <v>74.494811420000005</v>
      </c>
      <c r="C243" s="1">
        <v>42.484696960000001</v>
      </c>
      <c r="D243" s="1">
        <v>3129.13</v>
      </c>
    </row>
    <row r="244" spans="1:4" x14ac:dyDescent="0.35">
      <c r="A244" t="s">
        <v>906</v>
      </c>
      <c r="B244" s="1">
        <v>74.494761600000004</v>
      </c>
      <c r="C244" s="1">
        <v>42.484727489999997</v>
      </c>
      <c r="D244" s="1">
        <v>3129.8589999999999</v>
      </c>
    </row>
    <row r="245" spans="1:4" x14ac:dyDescent="0.35">
      <c r="A245" t="s">
        <v>907</v>
      </c>
      <c r="B245" s="1">
        <v>74.494724829999996</v>
      </c>
      <c r="C245" s="1">
        <v>42.484744139999997</v>
      </c>
      <c r="D245" s="1">
        <v>3127.8960000000002</v>
      </c>
    </row>
    <row r="246" spans="1:4" x14ac:dyDescent="0.35">
      <c r="A246" t="s">
        <v>908</v>
      </c>
      <c r="B246" s="1">
        <v>74.494685290000007</v>
      </c>
      <c r="C246" s="1">
        <v>42.484780389999997</v>
      </c>
      <c r="D246" s="1">
        <v>3127.799</v>
      </c>
    </row>
    <row r="247" spans="1:4" x14ac:dyDescent="0.35">
      <c r="A247" t="s">
        <v>909</v>
      </c>
      <c r="B247" s="1">
        <v>74.494627460000004</v>
      </c>
      <c r="C247" s="1">
        <v>42.484814020000002</v>
      </c>
      <c r="D247" s="1">
        <v>3126.4609999999998</v>
      </c>
    </row>
    <row r="248" spans="1:4" x14ac:dyDescent="0.35">
      <c r="A248" t="s">
        <v>910</v>
      </c>
      <c r="B248" s="1">
        <v>74.494572669999997</v>
      </c>
      <c r="C248" s="1">
        <v>42.484837550000002</v>
      </c>
      <c r="D248" s="1">
        <v>3125.846</v>
      </c>
    </row>
    <row r="249" spans="1:4" x14ac:dyDescent="0.35">
      <c r="A249" t="s">
        <v>911</v>
      </c>
      <c r="B249" s="1">
        <v>74.494531190000004</v>
      </c>
      <c r="C249" s="1">
        <v>42.484864799999997</v>
      </c>
      <c r="D249" s="1">
        <v>3126.2910000000002</v>
      </c>
    </row>
    <row r="250" spans="1:4" x14ac:dyDescent="0.35">
      <c r="A250" t="s">
        <v>912</v>
      </c>
      <c r="B250" s="1">
        <v>74.494484349999993</v>
      </c>
      <c r="C250" s="1">
        <v>42.484884770000001</v>
      </c>
      <c r="D250" s="1">
        <v>3126.752</v>
      </c>
    </row>
    <row r="251" spans="1:4" x14ac:dyDescent="0.35">
      <c r="A251" t="s">
        <v>913</v>
      </c>
      <c r="B251" s="1">
        <v>74.494432160000002</v>
      </c>
      <c r="C251" s="1">
        <v>42.484911410000002</v>
      </c>
      <c r="D251" s="1">
        <v>3126.1869999999999</v>
      </c>
    </row>
    <row r="252" spans="1:4" x14ac:dyDescent="0.35">
      <c r="A252" t="s">
        <v>914</v>
      </c>
      <c r="B252" s="1">
        <v>74.494397849999999</v>
      </c>
      <c r="C252" s="1">
        <v>42.48494058</v>
      </c>
      <c r="D252" s="1">
        <v>3124.5770000000002</v>
      </c>
    </row>
    <row r="253" spans="1:4" x14ac:dyDescent="0.35">
      <c r="A253" t="s">
        <v>915</v>
      </c>
      <c r="B253" s="1">
        <v>74.494339539999999</v>
      </c>
      <c r="C253" s="1">
        <v>42.484968979999998</v>
      </c>
      <c r="D253" s="1">
        <v>3122.7640000000001</v>
      </c>
    </row>
    <row r="254" spans="1:4" x14ac:dyDescent="0.35">
      <c r="A254" t="s">
        <v>916</v>
      </c>
      <c r="B254" s="1">
        <v>74.494298229999998</v>
      </c>
      <c r="C254" s="1">
        <v>42.484998670000003</v>
      </c>
      <c r="D254" s="1">
        <v>3120.8420000000001</v>
      </c>
    </row>
    <row r="255" spans="1:4" x14ac:dyDescent="0.35">
      <c r="A255" t="s">
        <v>917</v>
      </c>
      <c r="B255" s="1">
        <v>74.494252840000001</v>
      </c>
      <c r="C255" s="1">
        <v>42.485026959999999</v>
      </c>
      <c r="D255" s="1">
        <v>3122.116</v>
      </c>
    </row>
    <row r="256" spans="1:4" x14ac:dyDescent="0.35">
      <c r="A256" t="s">
        <v>918</v>
      </c>
      <c r="B256" s="1">
        <v>74.494196779999996</v>
      </c>
      <c r="C256" s="1">
        <v>42.485051089999999</v>
      </c>
      <c r="D256" s="1">
        <v>3120.3510000000001</v>
      </c>
    </row>
    <row r="257" spans="1:5" x14ac:dyDescent="0.35">
      <c r="A257" t="s">
        <v>919</v>
      </c>
      <c r="B257" s="1">
        <v>74.494146599999993</v>
      </c>
      <c r="C257" s="1">
        <v>42.48507978</v>
      </c>
      <c r="D257" s="1">
        <v>3118.5369999999998</v>
      </c>
    </row>
    <row r="258" spans="1:5" x14ac:dyDescent="0.35">
      <c r="A258" t="s">
        <v>920</v>
      </c>
      <c r="B258" s="1">
        <v>74.494105169999997</v>
      </c>
      <c r="C258" s="1">
        <v>42.485103899999999</v>
      </c>
      <c r="D258" s="1">
        <v>3118.402</v>
      </c>
    </row>
    <row r="259" spans="1:5" x14ac:dyDescent="0.35">
      <c r="A259" t="s">
        <v>921</v>
      </c>
      <c r="B259" s="1">
        <v>74.49406553</v>
      </c>
      <c r="C259" s="1">
        <v>42.485129100000002</v>
      </c>
      <c r="D259" s="1">
        <v>3116.732</v>
      </c>
    </row>
    <row r="260" spans="1:5" x14ac:dyDescent="0.35">
      <c r="A260" t="s">
        <v>922</v>
      </c>
      <c r="B260" s="1">
        <v>74.494012080000005</v>
      </c>
      <c r="C260" s="1">
        <v>42.485148959999997</v>
      </c>
      <c r="D260" s="1">
        <v>3115.2779999999998</v>
      </c>
    </row>
    <row r="261" spans="1:5" x14ac:dyDescent="0.35">
      <c r="A261" t="s">
        <v>923</v>
      </c>
      <c r="B261" s="1">
        <v>74.493974980000004</v>
      </c>
      <c r="C261" s="1">
        <v>42.485173539999998</v>
      </c>
      <c r="D261" s="1">
        <v>3114.0610000000001</v>
      </c>
    </row>
    <row r="262" spans="1:5" x14ac:dyDescent="0.35">
      <c r="A262" t="s">
        <v>924</v>
      </c>
      <c r="B262" s="1">
        <v>74.493921540000002</v>
      </c>
      <c r="C262" s="1">
        <v>42.485202749999999</v>
      </c>
      <c r="D262" s="1">
        <v>3114.0189999999998</v>
      </c>
    </row>
    <row r="263" spans="1:5" x14ac:dyDescent="0.35">
      <c r="A263" t="s">
        <v>925</v>
      </c>
      <c r="B263" s="1">
        <v>74.493880290000007</v>
      </c>
      <c r="C263" s="1">
        <v>42.485228929999998</v>
      </c>
      <c r="D263" s="1">
        <v>3113.4</v>
      </c>
    </row>
    <row r="264" spans="1:5" x14ac:dyDescent="0.35">
      <c r="A264" t="s">
        <v>926</v>
      </c>
      <c r="B264" s="1">
        <v>74.493830079999995</v>
      </c>
      <c r="C264" s="1">
        <v>42.48525901</v>
      </c>
      <c r="D264" s="1">
        <v>3112.0549999999998</v>
      </c>
    </row>
    <row r="265" spans="1:5" x14ac:dyDescent="0.35">
      <c r="A265" t="s">
        <v>927</v>
      </c>
      <c r="B265" s="1">
        <v>74.493788710000004</v>
      </c>
      <c r="C265" s="1">
        <v>42.485282669999997</v>
      </c>
      <c r="D265" s="1">
        <v>3110.9290000000001</v>
      </c>
    </row>
    <row r="266" spans="1:5" x14ac:dyDescent="0.35">
      <c r="A266" t="s">
        <v>928</v>
      </c>
      <c r="B266" s="1">
        <v>74.493731389999994</v>
      </c>
      <c r="C266" s="1">
        <v>42.485302060000002</v>
      </c>
      <c r="D266" s="1">
        <v>3109.9430000000002</v>
      </c>
    </row>
    <row r="267" spans="1:5" x14ac:dyDescent="0.35">
      <c r="A267" t="s">
        <v>929</v>
      </c>
      <c r="B267" s="1">
        <v>74.493693339999993</v>
      </c>
      <c r="C267" s="1">
        <v>42.485334600000002</v>
      </c>
      <c r="D267" s="1">
        <v>3108.194</v>
      </c>
    </row>
    <row r="268" spans="1:5" x14ac:dyDescent="0.35">
      <c r="A268" t="s">
        <v>930</v>
      </c>
      <c r="B268" s="1">
        <v>74.493648699999994</v>
      </c>
      <c r="C268" s="1">
        <v>42.485361300000001</v>
      </c>
      <c r="D268" s="1">
        <v>3107.404</v>
      </c>
    </row>
    <row r="269" spans="1:5" x14ac:dyDescent="0.35">
      <c r="A269" t="s">
        <v>935</v>
      </c>
      <c r="B269" s="1">
        <v>74.489908240000005</v>
      </c>
      <c r="C269" s="1">
        <v>42.488778449999998</v>
      </c>
      <c r="D269" s="1">
        <v>3021.2080000000001</v>
      </c>
      <c r="E269" t="s">
        <v>988</v>
      </c>
    </row>
    <row r="270" spans="1:5" x14ac:dyDescent="0.35">
      <c r="A270" t="s">
        <v>936</v>
      </c>
      <c r="B270" s="1">
        <v>74.489962779999999</v>
      </c>
      <c r="C270" s="1">
        <v>42.488774110000001</v>
      </c>
      <c r="D270" s="1">
        <v>3022.489</v>
      </c>
    </row>
    <row r="271" spans="1:5" x14ac:dyDescent="0.35">
      <c r="A271" t="s">
        <v>940</v>
      </c>
      <c r="B271" s="1">
        <v>74.490024629999994</v>
      </c>
      <c r="C271" s="1">
        <v>42.488761019999998</v>
      </c>
      <c r="D271" s="1">
        <v>3025.1089999999999</v>
      </c>
    </row>
    <row r="272" spans="1:5" x14ac:dyDescent="0.35">
      <c r="A272" t="s">
        <v>941</v>
      </c>
      <c r="B272" s="1">
        <v>74.490084479999993</v>
      </c>
      <c r="C272" s="1">
        <v>42.48875735</v>
      </c>
      <c r="D272" s="1">
        <v>3027.86</v>
      </c>
    </row>
    <row r="273" spans="1:4" x14ac:dyDescent="0.35">
      <c r="A273" t="s">
        <v>937</v>
      </c>
      <c r="B273" s="1">
        <v>74.490141390000005</v>
      </c>
      <c r="C273" s="1">
        <v>42.488746489999997</v>
      </c>
      <c r="D273" s="1">
        <v>3029.7660000000001</v>
      </c>
    </row>
    <row r="274" spans="1:4" x14ac:dyDescent="0.35">
      <c r="A274" t="s">
        <v>942</v>
      </c>
      <c r="B274" s="1">
        <v>74.490198359999994</v>
      </c>
      <c r="C274" s="1">
        <v>42.488743030000002</v>
      </c>
      <c r="D274" s="1">
        <v>3031.085</v>
      </c>
    </row>
    <row r="275" spans="1:4" x14ac:dyDescent="0.35">
      <c r="A275" t="s">
        <v>938</v>
      </c>
      <c r="B275" s="1">
        <v>74.490254379999996</v>
      </c>
      <c r="C275" s="1">
        <v>42.488730959999998</v>
      </c>
      <c r="D275" s="1">
        <v>3032.5970000000002</v>
      </c>
    </row>
    <row r="276" spans="1:4" x14ac:dyDescent="0.35">
      <c r="A276" t="s">
        <v>943</v>
      </c>
      <c r="B276" s="1">
        <v>74.4902996</v>
      </c>
      <c r="C276" s="1">
        <v>42.488723200000003</v>
      </c>
      <c r="D276" s="1">
        <v>3033.7840000000001</v>
      </c>
    </row>
    <row r="277" spans="1:4" x14ac:dyDescent="0.35">
      <c r="A277" t="s">
        <v>939</v>
      </c>
      <c r="B277" s="1">
        <v>74.490359810000001</v>
      </c>
      <c r="C277" s="1">
        <v>42.488719289999999</v>
      </c>
      <c r="D277" s="1">
        <v>3034.7379999999998</v>
      </c>
    </row>
    <row r="278" spans="1:4" x14ac:dyDescent="0.35">
      <c r="A278" t="s">
        <v>944</v>
      </c>
      <c r="B278" s="1">
        <v>74.490411330000001</v>
      </c>
      <c r="C278" s="1">
        <v>42.488706499999999</v>
      </c>
      <c r="D278" s="1">
        <v>3035.9470000000001</v>
      </c>
    </row>
    <row r="279" spans="1:4" x14ac:dyDescent="0.35">
      <c r="A279" t="s">
        <v>945</v>
      </c>
      <c r="B279" s="1">
        <v>74.490462870000002</v>
      </c>
      <c r="C279" s="1">
        <v>42.488693140000002</v>
      </c>
      <c r="D279" s="1">
        <v>3036.4969999999998</v>
      </c>
    </row>
    <row r="280" spans="1:4" x14ac:dyDescent="0.35">
      <c r="A280" t="s">
        <v>946</v>
      </c>
      <c r="B280" s="1">
        <v>74.490521150000006</v>
      </c>
      <c r="C280" s="1">
        <v>42.488684489999997</v>
      </c>
      <c r="D280" s="1">
        <v>3037.1619999999998</v>
      </c>
    </row>
    <row r="281" spans="1:4" x14ac:dyDescent="0.35">
      <c r="A281" t="s">
        <v>947</v>
      </c>
      <c r="B281" s="1">
        <v>74.490582439999997</v>
      </c>
      <c r="C281" s="1">
        <v>42.488677629999998</v>
      </c>
      <c r="D281" s="1">
        <v>3038.0810000000001</v>
      </c>
    </row>
    <row r="282" spans="1:4" x14ac:dyDescent="0.35">
      <c r="A282" t="s">
        <v>948</v>
      </c>
      <c r="B282" s="1">
        <v>74.490633979999998</v>
      </c>
      <c r="C282" s="1">
        <v>42.488669940000001</v>
      </c>
      <c r="D282" s="1">
        <v>3039.5079999999998</v>
      </c>
    </row>
    <row r="283" spans="1:4" x14ac:dyDescent="0.35">
      <c r="A283" t="s">
        <v>949</v>
      </c>
      <c r="B283" s="1">
        <v>74.490690849999993</v>
      </c>
      <c r="C283" s="1">
        <v>42.488666139999999</v>
      </c>
      <c r="D283" s="1">
        <v>3041.6970000000001</v>
      </c>
    </row>
    <row r="284" spans="1:4" x14ac:dyDescent="0.35">
      <c r="A284" t="s">
        <v>950</v>
      </c>
      <c r="B284" s="1">
        <v>74.490743629999997</v>
      </c>
      <c r="C284" s="1">
        <v>42.488661909999998</v>
      </c>
      <c r="D284" s="1">
        <v>3044.029</v>
      </c>
    </row>
    <row r="285" spans="1:4" x14ac:dyDescent="0.35">
      <c r="A285" t="s">
        <v>951</v>
      </c>
      <c r="B285" s="1">
        <v>74.490791779999995</v>
      </c>
      <c r="C285" s="1">
        <v>42.488657519999997</v>
      </c>
      <c r="D285" s="1">
        <v>3045.569</v>
      </c>
    </row>
    <row r="286" spans="1:4" x14ac:dyDescent="0.35">
      <c r="A286" t="s">
        <v>952</v>
      </c>
      <c r="B286" s="1">
        <v>74.490849179999998</v>
      </c>
      <c r="C286" s="1">
        <v>42.488649879999997</v>
      </c>
      <c r="D286" s="1">
        <v>3047.0279999999998</v>
      </c>
    </row>
    <row r="287" spans="1:4" x14ac:dyDescent="0.35">
      <c r="A287" t="s">
        <v>953</v>
      </c>
      <c r="B287" s="1">
        <v>74.490913370000001</v>
      </c>
      <c r="C287" s="1">
        <v>42.488641229999999</v>
      </c>
      <c r="D287" s="1">
        <v>3048.924</v>
      </c>
    </row>
    <row r="288" spans="1:4" x14ac:dyDescent="0.35">
      <c r="A288" t="s">
        <v>954</v>
      </c>
      <c r="B288" s="1">
        <v>74.49098146</v>
      </c>
      <c r="C288" s="1">
        <v>42.488641899999998</v>
      </c>
      <c r="D288" s="1">
        <v>3051.8270000000002</v>
      </c>
    </row>
    <row r="289" spans="1:4" x14ac:dyDescent="0.35">
      <c r="A289" t="s">
        <v>955</v>
      </c>
      <c r="B289" s="1">
        <v>74.491031500000005</v>
      </c>
      <c r="C289" s="1">
        <v>42.488639650000003</v>
      </c>
      <c r="D289" s="1">
        <v>3054.9690000000001</v>
      </c>
    </row>
    <row r="290" spans="1:4" x14ac:dyDescent="0.35">
      <c r="A290" t="s">
        <v>956</v>
      </c>
      <c r="B290" s="1">
        <v>74.491082980000002</v>
      </c>
      <c r="C290" s="1">
        <v>42.48863368</v>
      </c>
      <c r="D290" s="1">
        <v>3056.7579999999998</v>
      </c>
    </row>
    <row r="291" spans="1:4" x14ac:dyDescent="0.35">
      <c r="A291" t="s">
        <v>957</v>
      </c>
      <c r="B291" s="1">
        <v>74.491139509999996</v>
      </c>
      <c r="C291" s="1">
        <v>42.488637740000001</v>
      </c>
      <c r="D291" s="1">
        <v>3057.7779999999998</v>
      </c>
    </row>
    <row r="292" spans="1:4" x14ac:dyDescent="0.35">
      <c r="A292" t="s">
        <v>958</v>
      </c>
      <c r="B292" s="1">
        <v>74.491199870000003</v>
      </c>
      <c r="C292" s="1">
        <v>42.488627819999998</v>
      </c>
      <c r="D292" s="1">
        <v>3059.7170000000001</v>
      </c>
    </row>
    <row r="293" spans="1:4" x14ac:dyDescent="0.35">
      <c r="A293" t="s">
        <v>959</v>
      </c>
      <c r="B293" s="1">
        <v>74.491252630000005</v>
      </c>
      <c r="C293" s="1">
        <v>42.488621309999999</v>
      </c>
      <c r="D293" s="1">
        <v>3061.9340000000002</v>
      </c>
    </row>
    <row r="294" spans="1:4" x14ac:dyDescent="0.35">
      <c r="A294" t="s">
        <v>960</v>
      </c>
      <c r="B294" s="1">
        <v>74.491293350000007</v>
      </c>
      <c r="C294" s="1">
        <v>42.488617159999997</v>
      </c>
      <c r="D294" s="1">
        <v>3062.99</v>
      </c>
    </row>
    <row r="295" spans="1:4" x14ac:dyDescent="0.35">
      <c r="A295" t="s">
        <v>961</v>
      </c>
      <c r="B295" s="1">
        <v>74.491345559999999</v>
      </c>
      <c r="C295" s="1">
        <v>42.488624710000003</v>
      </c>
      <c r="D295" s="1">
        <v>3064.52</v>
      </c>
    </row>
    <row r="296" spans="1:4" x14ac:dyDescent="0.35">
      <c r="A296" t="s">
        <v>962</v>
      </c>
      <c r="B296" s="1">
        <v>74.491410680000001</v>
      </c>
      <c r="C296" s="1">
        <v>42.488638080000001</v>
      </c>
      <c r="D296" s="1">
        <v>3067.1860000000001</v>
      </c>
    </row>
    <row r="297" spans="1:4" x14ac:dyDescent="0.35">
      <c r="A297" t="s">
        <v>963</v>
      </c>
      <c r="B297" s="1">
        <v>74.491474109999999</v>
      </c>
      <c r="C297" s="1">
        <v>42.488638819999998</v>
      </c>
      <c r="D297" s="1">
        <v>3068.549</v>
      </c>
    </row>
    <row r="298" spans="1:4" x14ac:dyDescent="0.35">
      <c r="A298" t="s">
        <v>964</v>
      </c>
      <c r="B298" s="1">
        <v>74.491525600000003</v>
      </c>
      <c r="C298" s="1">
        <v>42.488650939999999</v>
      </c>
      <c r="D298" s="1">
        <v>3069.962</v>
      </c>
    </row>
    <row r="299" spans="1:4" x14ac:dyDescent="0.35">
      <c r="A299" t="s">
        <v>965</v>
      </c>
      <c r="B299" s="1">
        <v>74.49157572</v>
      </c>
      <c r="C299" s="1">
        <v>42.4886622</v>
      </c>
      <c r="D299" s="1">
        <v>3071.8470000000002</v>
      </c>
    </row>
    <row r="300" spans="1:4" x14ac:dyDescent="0.35">
      <c r="A300" t="s">
        <v>966</v>
      </c>
      <c r="B300" s="1">
        <v>74.491618059999993</v>
      </c>
      <c r="C300" s="1">
        <v>42.48868813</v>
      </c>
      <c r="D300" s="1">
        <v>3073.7269999999999</v>
      </c>
    </row>
    <row r="301" spans="1:4" x14ac:dyDescent="0.35">
      <c r="A301" t="s">
        <v>967</v>
      </c>
      <c r="B301" s="1">
        <v>74.491676720000001</v>
      </c>
      <c r="C301" s="1">
        <v>42.488693490000003</v>
      </c>
      <c r="D301" s="1">
        <v>3075.1190000000001</v>
      </c>
    </row>
    <row r="302" spans="1:4" x14ac:dyDescent="0.35">
      <c r="A302" t="s">
        <v>968</v>
      </c>
      <c r="B302" s="1">
        <v>74.491742489999993</v>
      </c>
      <c r="C302" s="1">
        <v>42.48869818</v>
      </c>
      <c r="D302" s="1">
        <v>3076.4690000000001</v>
      </c>
    </row>
    <row r="303" spans="1:4" x14ac:dyDescent="0.35">
      <c r="A303" t="s">
        <v>969</v>
      </c>
      <c r="B303" s="1">
        <v>74.491786860000005</v>
      </c>
      <c r="C303" s="1">
        <v>42.488702930000002</v>
      </c>
      <c r="D303" s="1">
        <v>3077.5189999999998</v>
      </c>
    </row>
    <row r="304" spans="1:4" x14ac:dyDescent="0.35">
      <c r="A304" t="s">
        <v>970</v>
      </c>
      <c r="B304" s="1">
        <v>74.491836410000005</v>
      </c>
      <c r="C304" s="1">
        <v>42.488714119999997</v>
      </c>
      <c r="D304" s="1">
        <v>3078.5740000000001</v>
      </c>
    </row>
    <row r="305" spans="1:4" x14ac:dyDescent="0.35">
      <c r="A305" t="s">
        <v>971</v>
      </c>
      <c r="B305" s="1">
        <v>74.491894009999996</v>
      </c>
      <c r="C305" s="1">
        <v>42.488731719999997</v>
      </c>
      <c r="D305" s="1">
        <v>3078.66</v>
      </c>
    </row>
    <row r="306" spans="1:4" x14ac:dyDescent="0.35">
      <c r="A306" t="s">
        <v>972</v>
      </c>
      <c r="B306" s="1">
        <v>74.491957670000005</v>
      </c>
      <c r="C306" s="1">
        <v>42.488742420000001</v>
      </c>
      <c r="D306" s="1">
        <v>3080.8119999999999</v>
      </c>
    </row>
    <row r="307" spans="1:4" x14ac:dyDescent="0.35">
      <c r="A307" t="s">
        <v>973</v>
      </c>
      <c r="B307" s="1">
        <v>74.492001920000007</v>
      </c>
      <c r="C307" s="1">
        <v>42.488755769999997</v>
      </c>
      <c r="D307" s="1">
        <v>3082.0430000000001</v>
      </c>
    </row>
    <row r="308" spans="1:4" x14ac:dyDescent="0.35">
      <c r="A308" t="s">
        <v>974</v>
      </c>
      <c r="B308" s="1">
        <v>74.492045989999994</v>
      </c>
      <c r="C308" s="1">
        <v>42.488763200000001</v>
      </c>
      <c r="D308" s="1">
        <v>3083.1860000000001</v>
      </c>
    </row>
    <row r="309" spans="1:4" x14ac:dyDescent="0.35">
      <c r="A309" t="s">
        <v>975</v>
      </c>
      <c r="B309" s="1">
        <v>74.492102549999998</v>
      </c>
      <c r="C309" s="1">
        <v>42.488785249999999</v>
      </c>
      <c r="D309" s="1">
        <v>3084.6280000000002</v>
      </c>
    </row>
    <row r="310" spans="1:4" x14ac:dyDescent="0.35">
      <c r="A310" t="s">
        <v>976</v>
      </c>
      <c r="B310" s="1">
        <v>74.492168399999997</v>
      </c>
      <c r="C310" s="1">
        <v>42.48878406</v>
      </c>
      <c r="D310" s="1">
        <v>3086.0160000000001</v>
      </c>
    </row>
    <row r="311" spans="1:4" x14ac:dyDescent="0.35">
      <c r="A311" t="s">
        <v>977</v>
      </c>
      <c r="B311" s="1">
        <v>74.492215630000004</v>
      </c>
      <c r="C311" s="1">
        <v>42.488795580000001</v>
      </c>
      <c r="D311" s="1">
        <v>3085.5770000000002</v>
      </c>
    </row>
    <row r="312" spans="1:4" x14ac:dyDescent="0.35">
      <c r="A312" t="s">
        <v>978</v>
      </c>
      <c r="B312" s="1">
        <v>74.492261450000001</v>
      </c>
      <c r="C312" s="1">
        <v>42.488795459999999</v>
      </c>
      <c r="D312" s="1">
        <v>3087.2649999999999</v>
      </c>
    </row>
    <row r="313" spans="1:4" x14ac:dyDescent="0.35">
      <c r="A313" t="s">
        <v>979</v>
      </c>
      <c r="B313" s="1">
        <v>74.492298419999997</v>
      </c>
      <c r="C313" s="1">
        <v>42.488798629999998</v>
      </c>
      <c r="D313" s="1">
        <v>3088.1689999999999</v>
      </c>
    </row>
    <row r="314" spans="1:4" x14ac:dyDescent="0.35">
      <c r="A314" t="s">
        <v>980</v>
      </c>
      <c r="B314" s="1">
        <v>74.492353120000004</v>
      </c>
      <c r="C314" s="1">
        <v>42.48880166</v>
      </c>
      <c r="D314" s="1">
        <v>3089.5120000000002</v>
      </c>
    </row>
    <row r="315" spans="1:4" x14ac:dyDescent="0.35">
      <c r="A315" t="s">
        <v>981</v>
      </c>
      <c r="B315" s="1">
        <v>74.492407380000003</v>
      </c>
      <c r="C315" s="1">
        <v>42.488818420000001</v>
      </c>
      <c r="D315" s="1">
        <v>3090.5729999999999</v>
      </c>
    </row>
    <row r="316" spans="1:4" x14ac:dyDescent="0.35">
      <c r="A316" t="s">
        <v>982</v>
      </c>
      <c r="B316" s="1">
        <v>74.492478550000001</v>
      </c>
      <c r="C316" s="1">
        <v>42.488839059999997</v>
      </c>
      <c r="D316" s="1">
        <v>3088.3310000000001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"/>
  <sheetViews>
    <sheetView workbookViewId="0">
      <selection activeCell="H2" sqref="H2:H49"/>
    </sheetView>
  </sheetViews>
  <sheetFormatPr defaultColWidth="10.81640625"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7</v>
      </c>
      <c r="S1" s="1" t="s">
        <v>8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9</v>
      </c>
      <c r="AA1" s="1" t="s">
        <v>28</v>
      </c>
    </row>
    <row r="2" spans="1:27" x14ac:dyDescent="0.35">
      <c r="A2" s="1">
        <v>1</v>
      </c>
      <c r="B2" s="1"/>
      <c r="C2" s="1"/>
      <c r="D2" s="1"/>
      <c r="E2" s="7" t="s">
        <v>992</v>
      </c>
      <c r="F2" s="1">
        <v>74.486576229999997</v>
      </c>
      <c r="G2" s="1">
        <v>42.479418600000002</v>
      </c>
      <c r="H2" s="1">
        <v>3244.3809999999999</v>
      </c>
      <c r="I2" s="1">
        <v>0.01</v>
      </c>
      <c r="J2" s="1">
        <v>1.0999999999999999E-2</v>
      </c>
      <c r="K2" s="1">
        <v>1.2E-2</v>
      </c>
      <c r="L2" s="1">
        <v>1.4999999999999999E-2</v>
      </c>
      <c r="M2" s="1">
        <v>2.1339999999999999</v>
      </c>
      <c r="N2" s="1" t="s">
        <v>10</v>
      </c>
      <c r="O2" s="1" t="s">
        <v>29</v>
      </c>
      <c r="P2" s="1" t="s">
        <v>30</v>
      </c>
      <c r="Q2" s="1" t="s">
        <v>31</v>
      </c>
      <c r="R2" s="1">
        <v>7</v>
      </c>
      <c r="S2" s="1">
        <v>1.5</v>
      </c>
      <c r="T2" s="1"/>
      <c r="U2" s="1"/>
      <c r="V2" s="1"/>
      <c r="W2" s="1">
        <v>74.486220990000007</v>
      </c>
      <c r="X2" s="1">
        <v>42.481169819999998</v>
      </c>
      <c r="Y2" s="1">
        <v>3210.5079999999998</v>
      </c>
      <c r="Z2" s="1">
        <v>200.077</v>
      </c>
      <c r="AA2" s="1" t="s">
        <v>32</v>
      </c>
    </row>
    <row r="3" spans="1:27" x14ac:dyDescent="0.35">
      <c r="A3" s="1">
        <v>2</v>
      </c>
      <c r="B3" s="1"/>
      <c r="C3" s="1"/>
      <c r="D3" s="1"/>
      <c r="E3" s="7" t="s">
        <v>993</v>
      </c>
      <c r="F3" s="1">
        <v>74.486537960000007</v>
      </c>
      <c r="G3" s="1">
        <v>42.479448240000004</v>
      </c>
      <c r="H3" s="1">
        <v>3243.0120000000002</v>
      </c>
      <c r="I3" s="1">
        <v>1.2999999999999999E-2</v>
      </c>
      <c r="J3" s="1">
        <v>1.4999999999999999E-2</v>
      </c>
      <c r="K3" s="1">
        <v>1.2999999999999999E-2</v>
      </c>
      <c r="L3" s="1">
        <v>1.9E-2</v>
      </c>
      <c r="M3" s="1">
        <v>2.1339999999999999</v>
      </c>
      <c r="N3" s="1" t="s">
        <v>10</v>
      </c>
      <c r="O3" s="1" t="s">
        <v>29</v>
      </c>
      <c r="P3" s="1" t="s">
        <v>33</v>
      </c>
      <c r="Q3" s="1" t="s">
        <v>34</v>
      </c>
      <c r="R3" s="1">
        <v>6</v>
      </c>
      <c r="S3" s="1">
        <v>1.4</v>
      </c>
      <c r="T3" s="1"/>
      <c r="U3" s="1"/>
      <c r="V3" s="1"/>
      <c r="W3" s="1">
        <v>74.486220990000007</v>
      </c>
      <c r="X3" s="1">
        <v>42.481169819999998</v>
      </c>
      <c r="Y3" s="1">
        <v>3210.5079999999998</v>
      </c>
      <c r="Z3" s="1">
        <v>196.178</v>
      </c>
      <c r="AA3" s="1" t="s">
        <v>32</v>
      </c>
    </row>
    <row r="4" spans="1:27" x14ac:dyDescent="0.35">
      <c r="A4" s="1">
        <v>3</v>
      </c>
      <c r="B4" s="1"/>
      <c r="C4" s="1"/>
      <c r="D4" s="1"/>
      <c r="E4" s="7" t="s">
        <v>994</v>
      </c>
      <c r="F4" s="1">
        <v>74.486489710000001</v>
      </c>
      <c r="G4" s="1">
        <v>42.479475450000002</v>
      </c>
      <c r="H4" s="1">
        <v>3241.326</v>
      </c>
      <c r="I4" s="1">
        <v>1.2E-2</v>
      </c>
      <c r="J4" s="1">
        <v>1.2E-2</v>
      </c>
      <c r="K4" s="1">
        <v>1.0999999999999999E-2</v>
      </c>
      <c r="L4" s="1">
        <v>1.7000000000000001E-2</v>
      </c>
      <c r="M4" s="1">
        <v>2.1339999999999999</v>
      </c>
      <c r="N4" s="1" t="s">
        <v>10</v>
      </c>
      <c r="O4" s="1" t="s">
        <v>29</v>
      </c>
      <c r="P4" s="1" t="s">
        <v>35</v>
      </c>
      <c r="Q4" s="1" t="s">
        <v>36</v>
      </c>
      <c r="R4" s="1">
        <v>6</v>
      </c>
      <c r="S4" s="1">
        <v>1.4</v>
      </c>
      <c r="T4" s="1"/>
      <c r="U4" s="1"/>
      <c r="V4" s="1"/>
      <c r="W4" s="1">
        <v>74.486220990000007</v>
      </c>
      <c r="X4" s="1">
        <v>42.481169819999998</v>
      </c>
      <c r="Y4" s="1">
        <v>3210.5079999999998</v>
      </c>
      <c r="Z4" s="1">
        <v>192.44</v>
      </c>
      <c r="AA4" s="1" t="s">
        <v>32</v>
      </c>
    </row>
    <row r="5" spans="1:27" x14ac:dyDescent="0.35">
      <c r="A5" s="1">
        <v>4</v>
      </c>
      <c r="B5" s="1"/>
      <c r="C5" s="1"/>
      <c r="D5" s="1"/>
      <c r="E5" s="7" t="s">
        <v>995</v>
      </c>
      <c r="F5" s="1">
        <v>74.486451680000002</v>
      </c>
      <c r="G5" s="1">
        <v>42.479502449999998</v>
      </c>
      <c r="H5" s="1">
        <v>3239.598</v>
      </c>
      <c r="I5" s="1">
        <v>1.0999999999999999E-2</v>
      </c>
      <c r="J5" s="1">
        <v>0.01</v>
      </c>
      <c r="K5" s="1">
        <v>0.01</v>
      </c>
      <c r="L5" s="1">
        <v>1.4999999999999999E-2</v>
      </c>
      <c r="M5" s="1">
        <v>2.1339999999999999</v>
      </c>
      <c r="N5" s="1" t="s">
        <v>10</v>
      </c>
      <c r="O5" s="1" t="s">
        <v>29</v>
      </c>
      <c r="P5" s="1" t="s">
        <v>37</v>
      </c>
      <c r="Q5" s="1" t="s">
        <v>38</v>
      </c>
      <c r="R5" s="1">
        <v>7</v>
      </c>
      <c r="S5" s="1">
        <v>1.4</v>
      </c>
      <c r="T5" s="1"/>
      <c r="U5" s="1"/>
      <c r="V5" s="1"/>
      <c r="W5" s="1">
        <v>74.486220990000007</v>
      </c>
      <c r="X5" s="1">
        <v>42.481169819999998</v>
      </c>
      <c r="Y5" s="1">
        <v>3210.5079999999998</v>
      </c>
      <c r="Z5" s="1">
        <v>188.88</v>
      </c>
      <c r="AA5" s="1" t="s">
        <v>32</v>
      </c>
    </row>
    <row r="6" spans="1:27" x14ac:dyDescent="0.35">
      <c r="A6" s="1">
        <v>5</v>
      </c>
      <c r="B6" s="1"/>
      <c r="C6" s="1"/>
      <c r="D6" s="1"/>
      <c r="E6" s="7" t="s">
        <v>996</v>
      </c>
      <c r="F6" s="1">
        <v>74.486404129999997</v>
      </c>
      <c r="G6" s="1">
        <v>42.479527679999997</v>
      </c>
      <c r="H6" s="1">
        <v>3239.6660000000002</v>
      </c>
      <c r="I6" s="1">
        <v>1.0999999999999999E-2</v>
      </c>
      <c r="J6" s="1">
        <v>1.0999999999999999E-2</v>
      </c>
      <c r="K6" s="1">
        <v>0.01</v>
      </c>
      <c r="L6" s="1">
        <v>1.4999999999999999E-2</v>
      </c>
      <c r="M6" s="1">
        <v>2.1339999999999999</v>
      </c>
      <c r="N6" s="1" t="s">
        <v>10</v>
      </c>
      <c r="O6" s="1" t="s">
        <v>29</v>
      </c>
      <c r="P6" s="1" t="s">
        <v>39</v>
      </c>
      <c r="Q6" s="1" t="s">
        <v>40</v>
      </c>
      <c r="R6" s="1">
        <v>6</v>
      </c>
      <c r="S6" s="1">
        <v>1.4</v>
      </c>
      <c r="T6" s="1"/>
      <c r="U6" s="1"/>
      <c r="V6" s="1"/>
      <c r="W6" s="1">
        <v>74.486220990000007</v>
      </c>
      <c r="X6" s="1">
        <v>42.481169819999998</v>
      </c>
      <c r="Y6" s="1">
        <v>3210.5079999999998</v>
      </c>
      <c r="Z6" s="1">
        <v>185.78299999999999</v>
      </c>
      <c r="AA6" s="1" t="s">
        <v>32</v>
      </c>
    </row>
    <row r="7" spans="1:27" x14ac:dyDescent="0.35">
      <c r="A7" s="1">
        <v>6</v>
      </c>
      <c r="B7" s="1"/>
      <c r="C7" s="1"/>
      <c r="D7" s="1"/>
      <c r="E7" s="7" t="s">
        <v>997</v>
      </c>
      <c r="F7" s="1">
        <v>74.486359129999997</v>
      </c>
      <c r="G7" s="1">
        <v>42.479558480000001</v>
      </c>
      <c r="H7" s="1">
        <v>3239.1</v>
      </c>
      <c r="I7" s="1">
        <v>1.2E-2</v>
      </c>
      <c r="J7" s="1">
        <v>1.2E-2</v>
      </c>
      <c r="K7" s="1">
        <v>1.6E-2</v>
      </c>
      <c r="L7" s="1">
        <v>1.7000000000000001E-2</v>
      </c>
      <c r="M7" s="1">
        <v>2.1339999999999999</v>
      </c>
      <c r="N7" s="1" t="s">
        <v>10</v>
      </c>
      <c r="O7" s="1" t="s">
        <v>29</v>
      </c>
      <c r="P7" s="1" t="s">
        <v>41</v>
      </c>
      <c r="Q7" s="1" t="s">
        <v>42</v>
      </c>
      <c r="R7" s="1">
        <v>6</v>
      </c>
      <c r="S7" s="1">
        <v>1.4</v>
      </c>
      <c r="T7" s="1"/>
      <c r="U7" s="1"/>
      <c r="V7" s="1"/>
      <c r="W7" s="1">
        <v>74.486220990000007</v>
      </c>
      <c r="X7" s="1">
        <v>42.481169819999998</v>
      </c>
      <c r="Y7" s="1">
        <v>3210.5079999999998</v>
      </c>
      <c r="Z7" s="1">
        <v>182.05199999999999</v>
      </c>
      <c r="AA7" s="1" t="s">
        <v>32</v>
      </c>
    </row>
    <row r="8" spans="1:27" x14ac:dyDescent="0.35">
      <c r="A8" s="1">
        <v>7</v>
      </c>
      <c r="B8" s="1"/>
      <c r="C8" s="1"/>
      <c r="D8" s="1"/>
      <c r="E8" s="7" t="s">
        <v>998</v>
      </c>
      <c r="F8" s="1">
        <v>74.486319249999994</v>
      </c>
      <c r="G8" s="1">
        <v>42.479586810000001</v>
      </c>
      <c r="H8" s="1">
        <v>3238.8589999999999</v>
      </c>
      <c r="I8" s="1">
        <v>1.2E-2</v>
      </c>
      <c r="J8" s="1">
        <v>1.7999999999999999E-2</v>
      </c>
      <c r="K8" s="1">
        <v>1.7999999999999999E-2</v>
      </c>
      <c r="L8" s="1">
        <v>2.1000000000000001E-2</v>
      </c>
      <c r="M8" s="1">
        <v>2.1339999999999999</v>
      </c>
      <c r="N8" s="1" t="s">
        <v>10</v>
      </c>
      <c r="O8" s="1" t="s">
        <v>29</v>
      </c>
      <c r="P8" s="1" t="s">
        <v>43</v>
      </c>
      <c r="Q8" s="1" t="s">
        <v>44</v>
      </c>
      <c r="R8" s="1">
        <v>6</v>
      </c>
      <c r="S8" s="1">
        <v>1.4</v>
      </c>
      <c r="T8" s="1"/>
      <c r="U8" s="1"/>
      <c r="V8" s="1"/>
      <c r="W8" s="1">
        <v>74.486220990000007</v>
      </c>
      <c r="X8" s="1">
        <v>42.481169819999998</v>
      </c>
      <c r="Y8" s="1">
        <v>3210.5079999999998</v>
      </c>
      <c r="Z8" s="1">
        <v>178.75299999999999</v>
      </c>
      <c r="AA8" s="1" t="s">
        <v>32</v>
      </c>
    </row>
    <row r="9" spans="1:27" x14ac:dyDescent="0.35">
      <c r="A9" s="1">
        <v>8</v>
      </c>
      <c r="B9" s="1"/>
      <c r="C9" s="1"/>
      <c r="D9" s="1"/>
      <c r="E9" s="7" t="s">
        <v>999</v>
      </c>
      <c r="F9" s="1">
        <v>74.486273449999999</v>
      </c>
      <c r="G9" s="1">
        <v>42.47961608</v>
      </c>
      <c r="H9" s="1">
        <v>3237.75</v>
      </c>
      <c r="I9" s="1">
        <v>1.0999999999999999E-2</v>
      </c>
      <c r="J9" s="1">
        <v>0.01</v>
      </c>
      <c r="K9" s="1">
        <v>1.2E-2</v>
      </c>
      <c r="L9" s="1">
        <v>1.4999999999999999E-2</v>
      </c>
      <c r="M9" s="1">
        <v>2.1339999999999999</v>
      </c>
      <c r="N9" s="1" t="s">
        <v>10</v>
      </c>
      <c r="O9" s="1" t="s">
        <v>29</v>
      </c>
      <c r="P9" s="1" t="s">
        <v>45</v>
      </c>
      <c r="Q9" s="1" t="s">
        <v>46</v>
      </c>
      <c r="R9" s="1">
        <v>6</v>
      </c>
      <c r="S9" s="1">
        <v>1.4</v>
      </c>
      <c r="T9" s="1"/>
      <c r="U9" s="1"/>
      <c r="V9" s="1"/>
      <c r="W9" s="1">
        <v>74.486220990000007</v>
      </c>
      <c r="X9" s="1">
        <v>42.481169819999998</v>
      </c>
      <c r="Y9" s="1">
        <v>3210.5079999999998</v>
      </c>
      <c r="Z9" s="1">
        <v>175.21799999999999</v>
      </c>
      <c r="AA9" s="1" t="s">
        <v>32</v>
      </c>
    </row>
    <row r="10" spans="1:27" x14ac:dyDescent="0.35">
      <c r="A10" s="1">
        <v>9</v>
      </c>
      <c r="B10" s="1"/>
      <c r="C10" s="1"/>
      <c r="D10" s="1"/>
      <c r="E10" s="7" t="s">
        <v>1000</v>
      </c>
      <c r="F10" s="1">
        <v>74.486222749999996</v>
      </c>
      <c r="G10" s="1">
        <v>42.479643840000001</v>
      </c>
      <c r="H10" s="1">
        <v>3237.58</v>
      </c>
      <c r="I10" s="1">
        <v>1.0999999999999999E-2</v>
      </c>
      <c r="J10" s="1">
        <v>1.2E-2</v>
      </c>
      <c r="K10" s="1">
        <v>1.0999999999999999E-2</v>
      </c>
      <c r="L10" s="1">
        <v>1.6E-2</v>
      </c>
      <c r="M10" s="1">
        <v>2.1339999999999999</v>
      </c>
      <c r="N10" s="1" t="s">
        <v>10</v>
      </c>
      <c r="O10" s="1" t="s">
        <v>29</v>
      </c>
      <c r="P10" s="1" t="s">
        <v>47</v>
      </c>
      <c r="Q10" s="1" t="s">
        <v>48</v>
      </c>
      <c r="R10" s="1">
        <v>6</v>
      </c>
      <c r="S10" s="1">
        <v>1.4</v>
      </c>
      <c r="T10" s="1"/>
      <c r="U10" s="1"/>
      <c r="V10" s="1"/>
      <c r="W10" s="1">
        <v>74.486220990000007</v>
      </c>
      <c r="X10" s="1">
        <v>42.481169819999998</v>
      </c>
      <c r="Y10" s="1">
        <v>3210.5079999999998</v>
      </c>
      <c r="Z10" s="1">
        <v>172.10300000000001</v>
      </c>
      <c r="AA10" s="1" t="s">
        <v>32</v>
      </c>
    </row>
    <row r="11" spans="1:27" x14ac:dyDescent="0.35">
      <c r="A11" s="1">
        <v>10</v>
      </c>
      <c r="B11" s="1"/>
      <c r="C11" s="1"/>
      <c r="D11" s="1"/>
      <c r="E11" s="7" t="s">
        <v>1001</v>
      </c>
      <c r="F11" s="1">
        <v>74.486187900000004</v>
      </c>
      <c r="G11" s="1">
        <v>42.479675110000002</v>
      </c>
      <c r="H11" s="1">
        <v>3237.5329999999999</v>
      </c>
      <c r="I11" s="1">
        <v>1.0999999999999999E-2</v>
      </c>
      <c r="J11" s="1">
        <v>1.2E-2</v>
      </c>
      <c r="K11" s="1">
        <v>0.01</v>
      </c>
      <c r="L11" s="1">
        <v>1.7000000000000001E-2</v>
      </c>
      <c r="M11" s="1">
        <v>2.1339999999999999</v>
      </c>
      <c r="N11" s="1" t="s">
        <v>10</v>
      </c>
      <c r="O11" s="1" t="s">
        <v>29</v>
      </c>
      <c r="P11" s="1" t="s">
        <v>49</v>
      </c>
      <c r="Q11" s="1" t="s">
        <v>50</v>
      </c>
      <c r="R11" s="1">
        <v>6</v>
      </c>
      <c r="S11" s="1">
        <v>1.4</v>
      </c>
      <c r="T11" s="1"/>
      <c r="U11" s="1"/>
      <c r="V11" s="1"/>
      <c r="W11" s="1">
        <v>74.486220990000007</v>
      </c>
      <c r="X11" s="1">
        <v>42.481169819999998</v>
      </c>
      <c r="Y11" s="1">
        <v>3210.5079999999998</v>
      </c>
      <c r="Z11" s="1">
        <v>168.672</v>
      </c>
      <c r="AA11" s="1" t="s">
        <v>32</v>
      </c>
    </row>
    <row r="12" spans="1:27" x14ac:dyDescent="0.35">
      <c r="A12" s="1">
        <v>11</v>
      </c>
      <c r="B12" s="1"/>
      <c r="C12" s="1"/>
      <c r="D12" s="1"/>
      <c r="E12" s="7" t="s">
        <v>1002</v>
      </c>
      <c r="F12" s="1">
        <v>74.486142619999995</v>
      </c>
      <c r="G12" s="1">
        <v>42.479705500000001</v>
      </c>
      <c r="H12" s="1">
        <v>3237.223</v>
      </c>
      <c r="I12" s="1">
        <v>1.0999999999999999E-2</v>
      </c>
      <c r="J12" s="1">
        <v>1.0999999999999999E-2</v>
      </c>
      <c r="K12" s="1">
        <v>1.0999999999999999E-2</v>
      </c>
      <c r="L12" s="1">
        <v>1.4999999999999999E-2</v>
      </c>
      <c r="M12" s="1">
        <v>2.1339999999999999</v>
      </c>
      <c r="N12" s="1" t="s">
        <v>10</v>
      </c>
      <c r="O12" s="1" t="s">
        <v>29</v>
      </c>
      <c r="P12" s="1" t="s">
        <v>51</v>
      </c>
      <c r="Q12" s="1" t="s">
        <v>52</v>
      </c>
      <c r="R12" s="1">
        <v>7</v>
      </c>
      <c r="S12" s="1">
        <v>1.4</v>
      </c>
      <c r="T12" s="1"/>
      <c r="U12" s="1"/>
      <c r="V12" s="1"/>
      <c r="W12" s="1">
        <v>74.486220990000007</v>
      </c>
      <c r="X12" s="1">
        <v>42.481169819999998</v>
      </c>
      <c r="Y12" s="1">
        <v>3210.5079999999998</v>
      </c>
      <c r="Z12" s="1">
        <v>165.40700000000001</v>
      </c>
      <c r="AA12" s="1" t="s">
        <v>32</v>
      </c>
    </row>
    <row r="13" spans="1:27" x14ac:dyDescent="0.35">
      <c r="A13" s="1">
        <v>12</v>
      </c>
      <c r="B13" s="1"/>
      <c r="C13" s="1"/>
      <c r="D13" s="1"/>
      <c r="E13" s="7" t="s">
        <v>1003</v>
      </c>
      <c r="F13" s="1">
        <v>74.486099890000006</v>
      </c>
      <c r="G13" s="1">
        <v>42.479734540000003</v>
      </c>
      <c r="H13" s="1">
        <v>3236.1289999999999</v>
      </c>
      <c r="I13" s="1">
        <v>1.4E-2</v>
      </c>
      <c r="J13" s="1">
        <v>1.2E-2</v>
      </c>
      <c r="K13" s="1">
        <v>1.0999999999999999E-2</v>
      </c>
      <c r="L13" s="1">
        <v>1.9E-2</v>
      </c>
      <c r="M13" s="1">
        <v>2.1339999999999999</v>
      </c>
      <c r="N13" s="1" t="s">
        <v>10</v>
      </c>
      <c r="O13" s="1" t="s">
        <v>29</v>
      </c>
      <c r="P13" s="1" t="s">
        <v>53</v>
      </c>
      <c r="Q13" s="1" t="s">
        <v>54</v>
      </c>
      <c r="R13" s="1">
        <v>7</v>
      </c>
      <c r="S13" s="1">
        <v>1.4</v>
      </c>
      <c r="T13" s="1"/>
      <c r="U13" s="1"/>
      <c r="V13" s="1"/>
      <c r="W13" s="1">
        <v>74.486220990000007</v>
      </c>
      <c r="X13" s="1">
        <v>42.481169819999998</v>
      </c>
      <c r="Y13" s="1">
        <v>3210.5079999999998</v>
      </c>
      <c r="Z13" s="1">
        <v>162.233</v>
      </c>
      <c r="AA13" s="1" t="s">
        <v>32</v>
      </c>
    </row>
    <row r="14" spans="1:27" x14ac:dyDescent="0.35">
      <c r="A14" s="1">
        <v>13</v>
      </c>
      <c r="B14" s="1"/>
      <c r="C14" s="1"/>
      <c r="D14" s="1"/>
      <c r="E14" s="7" t="s">
        <v>1004</v>
      </c>
      <c r="F14" s="1">
        <v>74.486057869999996</v>
      </c>
      <c r="G14" s="1">
        <v>42.479763329999997</v>
      </c>
      <c r="H14" s="1">
        <v>3236.0059999999999</v>
      </c>
      <c r="I14" s="1">
        <v>1.6E-2</v>
      </c>
      <c r="J14" s="1">
        <v>1.7000000000000001E-2</v>
      </c>
      <c r="K14" s="1">
        <v>1.2999999999999999E-2</v>
      </c>
      <c r="L14" s="1">
        <v>2.3E-2</v>
      </c>
      <c r="M14" s="1">
        <v>2.1339999999999999</v>
      </c>
      <c r="N14" s="1" t="s">
        <v>10</v>
      </c>
      <c r="O14" s="1" t="s">
        <v>29</v>
      </c>
      <c r="P14" s="1" t="s">
        <v>55</v>
      </c>
      <c r="Q14" s="1" t="s">
        <v>56</v>
      </c>
      <c r="R14" s="1">
        <v>6</v>
      </c>
      <c r="S14" s="1">
        <v>1.5</v>
      </c>
      <c r="T14" s="1"/>
      <c r="U14" s="1"/>
      <c r="V14" s="1"/>
      <c r="W14" s="1">
        <v>74.486220990000007</v>
      </c>
      <c r="X14" s="1">
        <v>42.481169819999998</v>
      </c>
      <c r="Y14" s="1">
        <v>3210.5079999999998</v>
      </c>
      <c r="Z14" s="1">
        <v>159.29400000000001</v>
      </c>
      <c r="AA14" s="1" t="s">
        <v>32</v>
      </c>
    </row>
    <row r="15" spans="1:27" x14ac:dyDescent="0.35">
      <c r="A15" s="1">
        <v>14</v>
      </c>
      <c r="B15" s="1"/>
      <c r="C15" s="1"/>
      <c r="D15" s="1"/>
      <c r="E15" s="7" t="s">
        <v>1005</v>
      </c>
      <c r="F15" s="1">
        <v>74.486013589999999</v>
      </c>
      <c r="G15" s="1">
        <v>42.47979531</v>
      </c>
      <c r="H15" s="1">
        <v>3234.74</v>
      </c>
      <c r="I15" s="1">
        <v>1.2E-2</v>
      </c>
      <c r="J15" s="1">
        <v>1.2999999999999999E-2</v>
      </c>
      <c r="K15" s="1">
        <v>1.2999999999999999E-2</v>
      </c>
      <c r="L15" s="1">
        <v>1.7999999999999999E-2</v>
      </c>
      <c r="M15" s="1">
        <v>2.1339999999999999</v>
      </c>
      <c r="N15" s="1" t="s">
        <v>10</v>
      </c>
      <c r="O15" s="1" t="s">
        <v>29</v>
      </c>
      <c r="P15" s="1" t="s">
        <v>57</v>
      </c>
      <c r="Q15" s="1" t="s">
        <v>58</v>
      </c>
      <c r="R15" s="1">
        <v>7</v>
      </c>
      <c r="S15" s="1">
        <v>1.4</v>
      </c>
      <c r="T15" s="1"/>
      <c r="U15" s="1"/>
      <c r="V15" s="1"/>
      <c r="W15" s="1">
        <v>74.486220990000007</v>
      </c>
      <c r="X15" s="1">
        <v>42.481169819999998</v>
      </c>
      <c r="Y15" s="1">
        <v>3210.5079999999998</v>
      </c>
      <c r="Z15" s="1">
        <v>155.96799999999999</v>
      </c>
      <c r="AA15" s="1" t="s">
        <v>32</v>
      </c>
    </row>
    <row r="16" spans="1:27" x14ac:dyDescent="0.35">
      <c r="A16" s="1">
        <v>15</v>
      </c>
      <c r="B16" s="1"/>
      <c r="C16" s="1"/>
      <c r="D16" s="1"/>
      <c r="E16" s="7" t="s">
        <v>1006</v>
      </c>
      <c r="F16" s="1">
        <v>74.485971019999994</v>
      </c>
      <c r="G16" s="1">
        <v>42.479821989999998</v>
      </c>
      <c r="H16" s="1">
        <v>3234.3449999999998</v>
      </c>
      <c r="I16" s="1">
        <v>1.2E-2</v>
      </c>
      <c r="J16" s="1">
        <v>0.01</v>
      </c>
      <c r="K16" s="1">
        <v>1.0999999999999999E-2</v>
      </c>
      <c r="L16" s="1">
        <v>1.6E-2</v>
      </c>
      <c r="M16" s="1">
        <v>2.1339999999999999</v>
      </c>
      <c r="N16" s="1" t="s">
        <v>10</v>
      </c>
      <c r="O16" s="1" t="s">
        <v>29</v>
      </c>
      <c r="P16" s="1" t="s">
        <v>59</v>
      </c>
      <c r="Q16" s="1" t="s">
        <v>60</v>
      </c>
      <c r="R16" s="1">
        <v>6</v>
      </c>
      <c r="S16" s="1">
        <v>1.5</v>
      </c>
      <c r="T16" s="1"/>
      <c r="U16" s="1"/>
      <c r="V16" s="1"/>
      <c r="W16" s="1">
        <v>74.486220990000007</v>
      </c>
      <c r="X16" s="1">
        <v>42.481169819999998</v>
      </c>
      <c r="Y16" s="1">
        <v>3210.5079999999998</v>
      </c>
      <c r="Z16" s="1">
        <v>153.41300000000001</v>
      </c>
      <c r="AA16" s="1" t="s">
        <v>32</v>
      </c>
    </row>
    <row r="17" spans="1:27" x14ac:dyDescent="0.35">
      <c r="A17" s="1">
        <v>16</v>
      </c>
      <c r="B17" s="1"/>
      <c r="C17" s="1"/>
      <c r="D17" s="1"/>
      <c r="E17" s="7" t="s">
        <v>1007</v>
      </c>
      <c r="F17" s="1">
        <v>74.485926809999995</v>
      </c>
      <c r="G17" s="1">
        <v>42.479854719999999</v>
      </c>
      <c r="H17" s="1">
        <v>3233.3530000000001</v>
      </c>
      <c r="I17" s="1">
        <v>1.0999999999999999E-2</v>
      </c>
      <c r="J17" s="1">
        <v>1.7999999999999999E-2</v>
      </c>
      <c r="K17" s="1">
        <v>1.0999999999999999E-2</v>
      </c>
      <c r="L17" s="1">
        <v>2.1000000000000001E-2</v>
      </c>
      <c r="M17" s="1">
        <v>2.1339999999999999</v>
      </c>
      <c r="N17" s="1" t="s">
        <v>10</v>
      </c>
      <c r="O17" s="1" t="s">
        <v>29</v>
      </c>
      <c r="P17" s="1" t="s">
        <v>61</v>
      </c>
      <c r="Q17" s="1" t="s">
        <v>62</v>
      </c>
      <c r="R17" s="1">
        <v>6</v>
      </c>
      <c r="S17" s="1">
        <v>1.5</v>
      </c>
      <c r="T17" s="1"/>
      <c r="U17" s="1"/>
      <c r="V17" s="1"/>
      <c r="W17" s="1">
        <v>74.486220990000007</v>
      </c>
      <c r="X17" s="1">
        <v>42.481169819999998</v>
      </c>
      <c r="Y17" s="1">
        <v>3210.5079999999998</v>
      </c>
      <c r="Z17" s="1">
        <v>150.261</v>
      </c>
      <c r="AA17" s="1" t="s">
        <v>32</v>
      </c>
    </row>
    <row r="18" spans="1:27" x14ac:dyDescent="0.35">
      <c r="A18" s="1">
        <v>17</v>
      </c>
      <c r="B18" s="1"/>
      <c r="C18" s="1"/>
      <c r="D18" s="1"/>
      <c r="E18" s="7" t="s">
        <v>1008</v>
      </c>
      <c r="F18" s="1">
        <v>74.485883509999994</v>
      </c>
      <c r="G18" s="1">
        <v>42.479883100000002</v>
      </c>
      <c r="H18" s="1">
        <v>3232.5079999999998</v>
      </c>
      <c r="I18" s="1">
        <v>1.4E-2</v>
      </c>
      <c r="J18" s="1">
        <v>1.2999999999999999E-2</v>
      </c>
      <c r="K18" s="1">
        <v>1.0999999999999999E-2</v>
      </c>
      <c r="L18" s="1">
        <v>1.7999999999999999E-2</v>
      </c>
      <c r="M18" s="1">
        <v>2.1339999999999999</v>
      </c>
      <c r="N18" s="1" t="s">
        <v>10</v>
      </c>
      <c r="O18" s="1" t="s">
        <v>29</v>
      </c>
      <c r="P18" s="1" t="s">
        <v>63</v>
      </c>
      <c r="Q18" s="1" t="s">
        <v>64</v>
      </c>
      <c r="R18" s="1">
        <v>6</v>
      </c>
      <c r="S18" s="1">
        <v>1.5</v>
      </c>
      <c r="T18" s="1"/>
      <c r="U18" s="1"/>
      <c r="V18" s="1"/>
      <c r="W18" s="1">
        <v>74.486220990000007</v>
      </c>
      <c r="X18" s="1">
        <v>42.481169819999998</v>
      </c>
      <c r="Y18" s="1">
        <v>3210.5079999999998</v>
      </c>
      <c r="Z18" s="1">
        <v>147.66499999999999</v>
      </c>
      <c r="AA18" s="1" t="s">
        <v>32</v>
      </c>
    </row>
    <row r="19" spans="1:27" x14ac:dyDescent="0.35">
      <c r="A19" s="1">
        <v>18</v>
      </c>
      <c r="B19" s="1"/>
      <c r="C19" s="1"/>
      <c r="D19" s="1"/>
      <c r="E19" s="7" t="s">
        <v>1009</v>
      </c>
      <c r="F19" s="1">
        <v>74.485838409999999</v>
      </c>
      <c r="G19" s="1">
        <v>42.479911190000003</v>
      </c>
      <c r="H19" s="1">
        <v>3232.585</v>
      </c>
      <c r="I19" s="1">
        <v>1.2E-2</v>
      </c>
      <c r="J19" s="1">
        <v>1.2E-2</v>
      </c>
      <c r="K19" s="1">
        <v>1.0999999999999999E-2</v>
      </c>
      <c r="L19" s="1">
        <v>1.7999999999999999E-2</v>
      </c>
      <c r="M19" s="1">
        <v>2.1339999999999999</v>
      </c>
      <c r="N19" s="1" t="s">
        <v>10</v>
      </c>
      <c r="O19" s="1" t="s">
        <v>29</v>
      </c>
      <c r="P19" s="1" t="s">
        <v>65</v>
      </c>
      <c r="Q19" s="1" t="s">
        <v>66</v>
      </c>
      <c r="R19" s="1">
        <v>6</v>
      </c>
      <c r="S19" s="1">
        <v>1.5</v>
      </c>
      <c r="T19" s="1"/>
      <c r="U19" s="1"/>
      <c r="V19" s="1"/>
      <c r="W19" s="1">
        <v>74.486220990000007</v>
      </c>
      <c r="X19" s="1">
        <v>42.481169819999998</v>
      </c>
      <c r="Y19" s="1">
        <v>3210.5079999999998</v>
      </c>
      <c r="Z19" s="1">
        <v>145.40700000000001</v>
      </c>
      <c r="AA19" s="1" t="s">
        <v>32</v>
      </c>
    </row>
    <row r="20" spans="1:27" x14ac:dyDescent="0.35">
      <c r="A20" s="1">
        <v>19</v>
      </c>
      <c r="B20" s="1"/>
      <c r="C20" s="1"/>
      <c r="D20" s="1"/>
      <c r="E20" s="7" t="s">
        <v>1010</v>
      </c>
      <c r="F20" s="1">
        <v>74.485801670000001</v>
      </c>
      <c r="G20" s="1">
        <v>42.479942149999999</v>
      </c>
      <c r="H20" s="1">
        <v>3230.4169999999999</v>
      </c>
      <c r="I20" s="1">
        <v>1.0999999999999999E-2</v>
      </c>
      <c r="J20" s="1">
        <v>1.2E-2</v>
      </c>
      <c r="K20" s="1">
        <v>1.0999999999999999E-2</v>
      </c>
      <c r="L20" s="1">
        <v>1.6E-2</v>
      </c>
      <c r="M20" s="1">
        <v>2.1339999999999999</v>
      </c>
      <c r="N20" s="1" t="s">
        <v>10</v>
      </c>
      <c r="O20" s="1" t="s">
        <v>29</v>
      </c>
      <c r="P20" s="1" t="s">
        <v>67</v>
      </c>
      <c r="Q20" s="1" t="s">
        <v>68</v>
      </c>
      <c r="R20" s="1">
        <v>6</v>
      </c>
      <c r="S20" s="1">
        <v>1.5</v>
      </c>
      <c r="T20" s="1"/>
      <c r="U20" s="1"/>
      <c r="V20" s="1"/>
      <c r="W20" s="1">
        <v>74.486220990000007</v>
      </c>
      <c r="X20" s="1">
        <v>42.481169819999998</v>
      </c>
      <c r="Y20" s="1">
        <v>3210.5079999999998</v>
      </c>
      <c r="Z20" s="1">
        <v>142.45699999999999</v>
      </c>
      <c r="AA20" s="1" t="s">
        <v>32</v>
      </c>
    </row>
    <row r="21" spans="1:27" x14ac:dyDescent="0.35">
      <c r="A21" s="1">
        <v>20</v>
      </c>
      <c r="B21" s="1"/>
      <c r="C21" s="1"/>
      <c r="D21" s="1"/>
      <c r="E21" s="7" t="s">
        <v>1011</v>
      </c>
      <c r="F21" s="1">
        <v>74.485759729999998</v>
      </c>
      <c r="G21" s="1">
        <v>42.479971200000001</v>
      </c>
      <c r="H21" s="1">
        <v>3229.83</v>
      </c>
      <c r="I21" s="1">
        <v>1.4E-2</v>
      </c>
      <c r="J21" s="1">
        <v>1.0999999999999999E-2</v>
      </c>
      <c r="K21" s="1">
        <v>1.2999999999999999E-2</v>
      </c>
      <c r="L21" s="1">
        <v>1.7999999999999999E-2</v>
      </c>
      <c r="M21" s="1">
        <v>2.1339999999999999</v>
      </c>
      <c r="N21" s="1" t="s">
        <v>10</v>
      </c>
      <c r="O21" s="1" t="s">
        <v>29</v>
      </c>
      <c r="P21" s="1" t="s">
        <v>69</v>
      </c>
      <c r="Q21" s="1" t="s">
        <v>70</v>
      </c>
      <c r="R21" s="1">
        <v>7</v>
      </c>
      <c r="S21" s="1">
        <v>1.5</v>
      </c>
      <c r="T21" s="1"/>
      <c r="U21" s="1"/>
      <c r="V21" s="1"/>
      <c r="W21" s="1">
        <v>74.486220990000007</v>
      </c>
      <c r="X21" s="1">
        <v>42.481169819999998</v>
      </c>
      <c r="Y21" s="1">
        <v>3210.5079999999998</v>
      </c>
      <c r="Z21" s="1">
        <v>140.15700000000001</v>
      </c>
      <c r="AA21" s="1" t="s">
        <v>32</v>
      </c>
    </row>
    <row r="22" spans="1:27" x14ac:dyDescent="0.35">
      <c r="A22" s="1">
        <v>21</v>
      </c>
      <c r="B22" s="1"/>
      <c r="C22" s="1"/>
      <c r="D22" s="1"/>
      <c r="E22" s="7" t="s">
        <v>1012</v>
      </c>
      <c r="F22" s="1">
        <v>74.485712789999994</v>
      </c>
      <c r="G22" s="1">
        <v>42.480004870000002</v>
      </c>
      <c r="H22" s="1">
        <v>3231.0880000000002</v>
      </c>
      <c r="I22" s="1">
        <v>1.0999999999999999E-2</v>
      </c>
      <c r="J22" s="1">
        <v>1.0999999999999999E-2</v>
      </c>
      <c r="K22" s="1">
        <v>1.2E-2</v>
      </c>
      <c r="L22" s="1">
        <v>1.6E-2</v>
      </c>
      <c r="M22" s="1">
        <v>2.1339999999999999</v>
      </c>
      <c r="N22" s="1" t="s">
        <v>10</v>
      </c>
      <c r="O22" s="1" t="s">
        <v>29</v>
      </c>
      <c r="P22" s="1" t="s">
        <v>71</v>
      </c>
      <c r="Q22" s="1" t="s">
        <v>72</v>
      </c>
      <c r="R22" s="1">
        <v>6</v>
      </c>
      <c r="S22" s="1">
        <v>1.5</v>
      </c>
      <c r="T22" s="1"/>
      <c r="U22" s="1"/>
      <c r="V22" s="1"/>
      <c r="W22" s="1">
        <v>74.486220990000007</v>
      </c>
      <c r="X22" s="1">
        <v>42.481169819999998</v>
      </c>
      <c r="Y22" s="1">
        <v>3210.5079999999998</v>
      </c>
      <c r="Z22" s="1">
        <v>137.934</v>
      </c>
      <c r="AA22" s="1" t="s">
        <v>32</v>
      </c>
    </row>
    <row r="23" spans="1:27" x14ac:dyDescent="0.35">
      <c r="A23" s="1">
        <v>22</v>
      </c>
      <c r="B23" s="1"/>
      <c r="C23" s="1"/>
      <c r="D23" s="1"/>
      <c r="E23" s="7" t="s">
        <v>1013</v>
      </c>
      <c r="F23" s="1">
        <v>74.48567439</v>
      </c>
      <c r="G23" s="1">
        <v>42.480034699999997</v>
      </c>
      <c r="H23" s="1">
        <v>3230.2669999999998</v>
      </c>
      <c r="I23" s="1">
        <v>1.2E-2</v>
      </c>
      <c r="J23" s="1">
        <v>1.4E-2</v>
      </c>
      <c r="K23" s="1">
        <v>1.0999999999999999E-2</v>
      </c>
      <c r="L23" s="1">
        <v>1.9E-2</v>
      </c>
      <c r="M23" s="1">
        <v>2.1339999999999999</v>
      </c>
      <c r="N23" s="1" t="s">
        <v>10</v>
      </c>
      <c r="O23" s="1" t="s">
        <v>29</v>
      </c>
      <c r="P23" s="1" t="s">
        <v>73</v>
      </c>
      <c r="Q23" s="1" t="s">
        <v>74</v>
      </c>
      <c r="R23" s="1">
        <v>7</v>
      </c>
      <c r="S23" s="1">
        <v>1.5</v>
      </c>
      <c r="T23" s="1"/>
      <c r="U23" s="1"/>
      <c r="V23" s="1"/>
      <c r="W23" s="1">
        <v>74.486220990000007</v>
      </c>
      <c r="X23" s="1">
        <v>42.481169819999998</v>
      </c>
      <c r="Y23" s="1">
        <v>3210.5079999999998</v>
      </c>
      <c r="Z23" s="1">
        <v>135.72399999999999</v>
      </c>
      <c r="AA23" s="1" t="s">
        <v>32</v>
      </c>
    </row>
    <row r="24" spans="1:27" x14ac:dyDescent="0.35">
      <c r="A24" s="1">
        <v>23</v>
      </c>
      <c r="B24" s="1"/>
      <c r="C24" s="1"/>
      <c r="D24" s="1"/>
      <c r="E24" s="7" t="s">
        <v>1014</v>
      </c>
      <c r="F24" s="1">
        <v>74.485627620000002</v>
      </c>
      <c r="G24" s="1">
        <v>42.480067079999998</v>
      </c>
      <c r="H24" s="1">
        <v>3229.7979999999998</v>
      </c>
      <c r="I24" s="1">
        <v>1.2E-2</v>
      </c>
      <c r="J24" s="1">
        <v>1.4999999999999999E-2</v>
      </c>
      <c r="K24" s="1">
        <v>1.4E-2</v>
      </c>
      <c r="L24" s="1">
        <v>1.9E-2</v>
      </c>
      <c r="M24" s="1">
        <v>2.1339999999999999</v>
      </c>
      <c r="N24" s="1" t="s">
        <v>10</v>
      </c>
      <c r="O24" s="1" t="s">
        <v>29</v>
      </c>
      <c r="P24" s="1" t="s">
        <v>75</v>
      </c>
      <c r="Q24" s="1" t="s">
        <v>76</v>
      </c>
      <c r="R24" s="1">
        <v>7</v>
      </c>
      <c r="S24" s="1">
        <v>1.5</v>
      </c>
      <c r="T24" s="1"/>
      <c r="U24" s="1"/>
      <c r="V24" s="1"/>
      <c r="W24" s="1">
        <v>74.486220990000007</v>
      </c>
      <c r="X24" s="1">
        <v>42.481169819999998</v>
      </c>
      <c r="Y24" s="1">
        <v>3210.5079999999998</v>
      </c>
      <c r="Z24" s="1">
        <v>133.65899999999999</v>
      </c>
      <c r="AA24" s="1" t="s">
        <v>32</v>
      </c>
    </row>
    <row r="25" spans="1:27" x14ac:dyDescent="0.35">
      <c r="A25" s="1">
        <v>24</v>
      </c>
      <c r="B25" s="1"/>
      <c r="C25" s="1"/>
      <c r="D25" s="1"/>
      <c r="E25" s="7" t="s">
        <v>1015</v>
      </c>
      <c r="F25" s="1">
        <v>74.485595009999997</v>
      </c>
      <c r="G25" s="1">
        <v>42.480097200000003</v>
      </c>
      <c r="H25" s="1">
        <v>3228.625</v>
      </c>
      <c r="I25" s="1">
        <v>2.1000000000000001E-2</v>
      </c>
      <c r="J25" s="1">
        <v>2.5999999999999999E-2</v>
      </c>
      <c r="K25" s="1">
        <v>1.2999999999999999E-2</v>
      </c>
      <c r="L25" s="1">
        <v>3.3000000000000002E-2</v>
      </c>
      <c r="M25" s="1">
        <v>2.1339999999999999</v>
      </c>
      <c r="N25" s="1" t="s">
        <v>10</v>
      </c>
      <c r="O25" s="1" t="s">
        <v>29</v>
      </c>
      <c r="P25" s="1" t="s">
        <v>77</v>
      </c>
      <c r="Q25" s="1" t="s">
        <v>78</v>
      </c>
      <c r="R25" s="1">
        <v>6</v>
      </c>
      <c r="S25" s="1">
        <v>1.5</v>
      </c>
      <c r="T25" s="1"/>
      <c r="U25" s="1"/>
      <c r="V25" s="1"/>
      <c r="W25" s="1">
        <v>74.486220990000007</v>
      </c>
      <c r="X25" s="1">
        <v>42.481169819999998</v>
      </c>
      <c r="Y25" s="1">
        <v>3210.5079999999998</v>
      </c>
      <c r="Z25" s="1">
        <v>131.41499999999999</v>
      </c>
      <c r="AA25" s="1" t="s">
        <v>32</v>
      </c>
    </row>
    <row r="26" spans="1:27" x14ac:dyDescent="0.35">
      <c r="A26" s="1">
        <v>25</v>
      </c>
      <c r="B26" s="1"/>
      <c r="C26" s="1"/>
      <c r="D26" s="1"/>
      <c r="E26" s="7" t="s">
        <v>1016</v>
      </c>
      <c r="F26" s="1">
        <v>74.485546150000005</v>
      </c>
      <c r="G26" s="1">
        <v>42.480124830000001</v>
      </c>
      <c r="H26" s="1">
        <v>3228.3890000000001</v>
      </c>
      <c r="I26" s="1">
        <v>1.0999999999999999E-2</v>
      </c>
      <c r="J26" s="1">
        <v>1.2999999999999999E-2</v>
      </c>
      <c r="K26" s="1">
        <v>1.4E-2</v>
      </c>
      <c r="L26" s="1">
        <v>1.6E-2</v>
      </c>
      <c r="M26" s="1">
        <v>2.1339999999999999</v>
      </c>
      <c r="N26" s="1" t="s">
        <v>10</v>
      </c>
      <c r="O26" s="1" t="s">
        <v>29</v>
      </c>
      <c r="P26" s="1" t="s">
        <v>79</v>
      </c>
      <c r="Q26" s="1" t="s">
        <v>80</v>
      </c>
      <c r="R26" s="1">
        <v>6</v>
      </c>
      <c r="S26" s="1">
        <v>1.5</v>
      </c>
      <c r="T26" s="1"/>
      <c r="U26" s="1"/>
      <c r="V26" s="1"/>
      <c r="W26" s="1">
        <v>74.486220990000007</v>
      </c>
      <c r="X26" s="1">
        <v>42.481169819999998</v>
      </c>
      <c r="Y26" s="1">
        <v>3210.5079999999998</v>
      </c>
      <c r="Z26" s="1">
        <v>130.279</v>
      </c>
      <c r="AA26" s="1" t="s">
        <v>32</v>
      </c>
    </row>
    <row r="27" spans="1:27" x14ac:dyDescent="0.35">
      <c r="A27" s="1">
        <v>26</v>
      </c>
      <c r="B27" s="1"/>
      <c r="C27" s="1"/>
      <c r="D27" s="1"/>
      <c r="E27" s="7" t="s">
        <v>1017</v>
      </c>
      <c r="F27" s="1">
        <v>74.485502749999995</v>
      </c>
      <c r="G27" s="1">
        <v>42.480153520000002</v>
      </c>
      <c r="H27" s="1">
        <v>3227.3290000000002</v>
      </c>
      <c r="I27" s="1">
        <v>0.01</v>
      </c>
      <c r="J27" s="1">
        <v>1.2999999999999999E-2</v>
      </c>
      <c r="K27" s="1">
        <v>1.0999999999999999E-2</v>
      </c>
      <c r="L27" s="1">
        <v>1.7000000000000001E-2</v>
      </c>
      <c r="M27" s="1">
        <v>2.1339999999999999</v>
      </c>
      <c r="N27" s="1" t="s">
        <v>10</v>
      </c>
      <c r="O27" s="1" t="s">
        <v>29</v>
      </c>
      <c r="P27" s="1" t="s">
        <v>81</v>
      </c>
      <c r="Q27" s="1" t="s">
        <v>82</v>
      </c>
      <c r="R27" s="1">
        <v>7</v>
      </c>
      <c r="S27" s="1">
        <v>1.4</v>
      </c>
      <c r="T27" s="1"/>
      <c r="U27" s="1"/>
      <c r="V27" s="1"/>
      <c r="W27" s="1">
        <v>74.486220990000007</v>
      </c>
      <c r="X27" s="1">
        <v>42.481169819999998</v>
      </c>
      <c r="Y27" s="1">
        <v>3210.5079999999998</v>
      </c>
      <c r="Z27" s="1">
        <v>128.87299999999999</v>
      </c>
      <c r="AA27" s="1" t="s">
        <v>32</v>
      </c>
    </row>
    <row r="28" spans="1:27" x14ac:dyDescent="0.35">
      <c r="A28" s="1">
        <v>27</v>
      </c>
      <c r="B28" s="1"/>
      <c r="C28" s="1"/>
      <c r="D28" s="1"/>
      <c r="E28" s="7" t="s">
        <v>1018</v>
      </c>
      <c r="F28" s="1">
        <v>74.485453460000002</v>
      </c>
      <c r="G28" s="1">
        <v>42.480179659999997</v>
      </c>
      <c r="H28" s="1">
        <v>3226.33</v>
      </c>
      <c r="I28" s="1">
        <v>1.0999999999999999E-2</v>
      </c>
      <c r="J28" s="1">
        <v>0.01</v>
      </c>
      <c r="K28" s="1">
        <v>0.01</v>
      </c>
      <c r="L28" s="1">
        <v>1.4999999999999999E-2</v>
      </c>
      <c r="M28" s="1">
        <v>2.1339999999999999</v>
      </c>
      <c r="N28" s="1" t="s">
        <v>10</v>
      </c>
      <c r="O28" s="1" t="s">
        <v>29</v>
      </c>
      <c r="P28" s="1" t="s">
        <v>83</v>
      </c>
      <c r="Q28" s="1" t="s">
        <v>84</v>
      </c>
      <c r="R28" s="1">
        <v>7</v>
      </c>
      <c r="S28" s="1">
        <v>1.4</v>
      </c>
      <c r="T28" s="1"/>
      <c r="U28" s="1"/>
      <c r="V28" s="1"/>
      <c r="W28" s="1">
        <v>74.486220990000007</v>
      </c>
      <c r="X28" s="1">
        <v>42.481169819999998</v>
      </c>
      <c r="Y28" s="1">
        <v>3210.5079999999998</v>
      </c>
      <c r="Z28" s="1">
        <v>128.13499999999999</v>
      </c>
      <c r="AA28" s="1" t="s">
        <v>32</v>
      </c>
    </row>
    <row r="29" spans="1:27" x14ac:dyDescent="0.35">
      <c r="A29" s="1">
        <v>28</v>
      </c>
      <c r="B29" s="1"/>
      <c r="C29" s="1"/>
      <c r="D29" s="1"/>
      <c r="E29" s="7" t="s">
        <v>1019</v>
      </c>
      <c r="F29" s="1">
        <v>74.485406749999996</v>
      </c>
      <c r="G29" s="1">
        <v>42.480204870000001</v>
      </c>
      <c r="H29" s="1">
        <v>3226.393</v>
      </c>
      <c r="I29" s="1">
        <v>1.0999999999999999E-2</v>
      </c>
      <c r="J29" s="1">
        <v>1.0999999999999999E-2</v>
      </c>
      <c r="K29" s="1">
        <v>1.2999999999999999E-2</v>
      </c>
      <c r="L29" s="1">
        <v>1.6E-2</v>
      </c>
      <c r="M29" s="1">
        <v>2.1339999999999999</v>
      </c>
      <c r="N29" s="1" t="s">
        <v>10</v>
      </c>
      <c r="O29" s="1" t="s">
        <v>29</v>
      </c>
      <c r="P29" s="1" t="s">
        <v>85</v>
      </c>
      <c r="Q29" s="1" t="s">
        <v>86</v>
      </c>
      <c r="R29" s="1">
        <v>6</v>
      </c>
      <c r="S29" s="1">
        <v>1.4</v>
      </c>
      <c r="T29" s="1"/>
      <c r="U29" s="1"/>
      <c r="V29" s="1"/>
      <c r="W29" s="1">
        <v>74.486220990000007</v>
      </c>
      <c r="X29" s="1">
        <v>42.481169819999998</v>
      </c>
      <c r="Y29" s="1">
        <v>3210.5079999999998</v>
      </c>
      <c r="Z29" s="1">
        <v>127.72</v>
      </c>
      <c r="AA29" s="1" t="s">
        <v>32</v>
      </c>
    </row>
    <row r="30" spans="1:27" x14ac:dyDescent="0.35">
      <c r="A30" s="1">
        <v>29</v>
      </c>
      <c r="B30" s="1"/>
      <c r="C30" s="1"/>
      <c r="D30" s="1"/>
      <c r="E30" s="7" t="s">
        <v>1020</v>
      </c>
      <c r="F30" s="1">
        <v>74.485357149999999</v>
      </c>
      <c r="G30" s="1">
        <v>42.480232340000001</v>
      </c>
      <c r="H30" s="1">
        <v>3227.0549999999998</v>
      </c>
      <c r="I30" s="1">
        <v>1.0999999999999999E-2</v>
      </c>
      <c r="J30" s="1">
        <v>1.2E-2</v>
      </c>
      <c r="K30" s="1">
        <v>1.4E-2</v>
      </c>
      <c r="L30" s="1">
        <v>1.6E-2</v>
      </c>
      <c r="M30" s="1">
        <v>2.1339999999999999</v>
      </c>
      <c r="N30" s="1" t="s">
        <v>10</v>
      </c>
      <c r="O30" s="1" t="s">
        <v>29</v>
      </c>
      <c r="P30" s="1" t="s">
        <v>87</v>
      </c>
      <c r="Q30" s="1" t="s">
        <v>88</v>
      </c>
      <c r="R30" s="1">
        <v>7</v>
      </c>
      <c r="S30" s="1">
        <v>1.4</v>
      </c>
      <c r="T30" s="1"/>
      <c r="U30" s="1"/>
      <c r="V30" s="1"/>
      <c r="W30" s="1">
        <v>74.486220990000007</v>
      </c>
      <c r="X30" s="1">
        <v>42.481169819999998</v>
      </c>
      <c r="Y30" s="1">
        <v>3210.5079999999998</v>
      </c>
      <c r="Z30" s="1">
        <v>127.496</v>
      </c>
      <c r="AA30" s="1" t="s">
        <v>32</v>
      </c>
    </row>
    <row r="31" spans="1:27" x14ac:dyDescent="0.35">
      <c r="A31" s="1">
        <v>30</v>
      </c>
      <c r="B31" s="1"/>
      <c r="C31" s="1"/>
      <c r="D31" s="1"/>
      <c r="E31" s="7" t="s">
        <v>1021</v>
      </c>
      <c r="F31" s="1">
        <v>74.485309349999994</v>
      </c>
      <c r="G31" s="1">
        <v>42.480258560000003</v>
      </c>
      <c r="H31" s="1">
        <v>3226.42</v>
      </c>
      <c r="I31" s="1">
        <v>0.01</v>
      </c>
      <c r="J31" s="1">
        <v>1.0999999999999999E-2</v>
      </c>
      <c r="K31" s="1">
        <v>1.2999999999999999E-2</v>
      </c>
      <c r="L31" s="1">
        <v>1.4999999999999999E-2</v>
      </c>
      <c r="M31" s="1">
        <v>2.1339999999999999</v>
      </c>
      <c r="N31" s="1" t="s">
        <v>10</v>
      </c>
      <c r="O31" s="1" t="s">
        <v>29</v>
      </c>
      <c r="P31" s="1" t="s">
        <v>89</v>
      </c>
      <c r="Q31" s="1" t="s">
        <v>90</v>
      </c>
      <c r="R31" s="1">
        <v>6</v>
      </c>
      <c r="S31" s="1">
        <v>1.4</v>
      </c>
      <c r="T31" s="1"/>
      <c r="U31" s="1"/>
      <c r="V31" s="1"/>
      <c r="W31" s="1">
        <v>74.486220990000007</v>
      </c>
      <c r="X31" s="1">
        <v>42.481169819999998</v>
      </c>
      <c r="Y31" s="1">
        <v>3210.5079999999998</v>
      </c>
      <c r="Z31" s="1">
        <v>127.309</v>
      </c>
      <c r="AA31" s="1" t="s">
        <v>32</v>
      </c>
    </row>
    <row r="32" spans="1:27" x14ac:dyDescent="0.35">
      <c r="A32" s="1">
        <v>31</v>
      </c>
      <c r="B32" s="1"/>
      <c r="C32" s="1"/>
      <c r="D32" s="1"/>
      <c r="E32" s="7" t="s">
        <v>1022</v>
      </c>
      <c r="F32" s="1">
        <v>74.48525961</v>
      </c>
      <c r="G32" s="1">
        <v>42.480281679999997</v>
      </c>
      <c r="H32" s="1">
        <v>3226.3890000000001</v>
      </c>
      <c r="I32" s="1">
        <v>1.2999999999999999E-2</v>
      </c>
      <c r="J32" s="1">
        <v>1.2E-2</v>
      </c>
      <c r="K32" s="1">
        <v>1.0999999999999999E-2</v>
      </c>
      <c r="L32" s="1">
        <v>1.7999999999999999E-2</v>
      </c>
      <c r="M32" s="1">
        <v>2.1339999999999999</v>
      </c>
      <c r="N32" s="1" t="s">
        <v>10</v>
      </c>
      <c r="O32" s="1" t="s">
        <v>29</v>
      </c>
      <c r="P32" s="1" t="s">
        <v>91</v>
      </c>
      <c r="Q32" s="1" t="s">
        <v>92</v>
      </c>
      <c r="R32" s="1">
        <v>7</v>
      </c>
      <c r="S32" s="1">
        <v>1.4</v>
      </c>
      <c r="T32" s="1"/>
      <c r="U32" s="1"/>
      <c r="V32" s="1"/>
      <c r="W32" s="1">
        <v>74.486220990000007</v>
      </c>
      <c r="X32" s="1">
        <v>42.481169819999998</v>
      </c>
      <c r="Y32" s="1">
        <v>3210.5079999999998</v>
      </c>
      <c r="Z32" s="1">
        <v>127.755</v>
      </c>
      <c r="AA32" s="1" t="s">
        <v>32</v>
      </c>
    </row>
    <row r="33" spans="1:27" x14ac:dyDescent="0.35">
      <c r="A33" s="1">
        <v>32</v>
      </c>
      <c r="B33" s="1"/>
      <c r="C33" s="1"/>
      <c r="D33" s="1"/>
      <c r="E33" s="7" t="s">
        <v>1023</v>
      </c>
      <c r="F33" s="1">
        <v>74.485211629999995</v>
      </c>
      <c r="G33" s="1">
        <v>42.480308919999999</v>
      </c>
      <c r="H33" s="1">
        <v>3226.6759999999999</v>
      </c>
      <c r="I33" s="1">
        <v>1.0999999999999999E-2</v>
      </c>
      <c r="J33" s="1">
        <v>1.0999999999999999E-2</v>
      </c>
      <c r="K33" s="1">
        <v>1.0999999999999999E-2</v>
      </c>
      <c r="L33" s="1">
        <v>1.6E-2</v>
      </c>
      <c r="M33" s="1">
        <v>2.1339999999999999</v>
      </c>
      <c r="N33" s="1" t="s">
        <v>10</v>
      </c>
      <c r="O33" s="1" t="s">
        <v>29</v>
      </c>
      <c r="P33" s="1" t="s">
        <v>93</v>
      </c>
      <c r="Q33" s="1" t="s">
        <v>94</v>
      </c>
      <c r="R33" s="1">
        <v>6</v>
      </c>
      <c r="S33" s="1">
        <v>1.4</v>
      </c>
      <c r="T33" s="1"/>
      <c r="U33" s="1"/>
      <c r="V33" s="1"/>
      <c r="W33" s="1">
        <v>74.486220990000007</v>
      </c>
      <c r="X33" s="1">
        <v>42.481169819999998</v>
      </c>
      <c r="Y33" s="1">
        <v>3210.5079999999998</v>
      </c>
      <c r="Z33" s="1">
        <v>128.00200000000001</v>
      </c>
      <c r="AA33" s="1" t="s">
        <v>32</v>
      </c>
    </row>
    <row r="34" spans="1:27" x14ac:dyDescent="0.35">
      <c r="A34" s="1">
        <v>33</v>
      </c>
      <c r="B34" s="1"/>
      <c r="C34" s="1"/>
      <c r="D34" s="1"/>
      <c r="E34" s="7" t="s">
        <v>1024</v>
      </c>
      <c r="F34" s="1">
        <v>74.48517287</v>
      </c>
      <c r="G34" s="1">
        <v>42.480343599999998</v>
      </c>
      <c r="H34" s="1">
        <v>3227.3690000000001</v>
      </c>
      <c r="I34" s="1">
        <v>1.0999999999999999E-2</v>
      </c>
      <c r="J34" s="1">
        <v>1.2E-2</v>
      </c>
      <c r="K34" s="1">
        <v>1.0999999999999999E-2</v>
      </c>
      <c r="L34" s="1">
        <v>1.6E-2</v>
      </c>
      <c r="M34" s="1">
        <v>2.1339999999999999</v>
      </c>
      <c r="N34" s="1" t="s">
        <v>10</v>
      </c>
      <c r="O34" s="1" t="s">
        <v>29</v>
      </c>
      <c r="P34" s="1" t="s">
        <v>95</v>
      </c>
      <c r="Q34" s="1" t="s">
        <v>96</v>
      </c>
      <c r="R34" s="1">
        <v>7</v>
      </c>
      <c r="S34" s="1">
        <v>1.4</v>
      </c>
      <c r="T34" s="1"/>
      <c r="U34" s="1"/>
      <c r="V34" s="1"/>
      <c r="W34" s="1">
        <v>74.486220990000007</v>
      </c>
      <c r="X34" s="1">
        <v>42.481169819999998</v>
      </c>
      <c r="Y34" s="1">
        <v>3210.5079999999998</v>
      </c>
      <c r="Z34" s="1">
        <v>127.39700000000001</v>
      </c>
      <c r="AA34" s="1" t="s">
        <v>32</v>
      </c>
    </row>
    <row r="35" spans="1:27" x14ac:dyDescent="0.35">
      <c r="A35" s="1">
        <v>34</v>
      </c>
      <c r="B35" s="1"/>
      <c r="C35" s="1"/>
      <c r="D35" s="1"/>
      <c r="E35" s="7" t="s">
        <v>1025</v>
      </c>
      <c r="F35" s="1">
        <v>74.485124690000006</v>
      </c>
      <c r="G35" s="1">
        <v>42.480370890000003</v>
      </c>
      <c r="H35" s="1">
        <v>3228.2220000000002</v>
      </c>
      <c r="I35" s="1">
        <v>1.2999999999999999E-2</v>
      </c>
      <c r="J35" s="1">
        <v>1.0999999999999999E-2</v>
      </c>
      <c r="K35" s="1">
        <v>1.2E-2</v>
      </c>
      <c r="L35" s="1">
        <v>1.7000000000000001E-2</v>
      </c>
      <c r="M35" s="1">
        <v>2.1339999999999999</v>
      </c>
      <c r="N35" s="1" t="s">
        <v>10</v>
      </c>
      <c r="O35" s="1" t="s">
        <v>29</v>
      </c>
      <c r="P35" s="1" t="s">
        <v>97</v>
      </c>
      <c r="Q35" s="1" t="s">
        <v>98</v>
      </c>
      <c r="R35" s="1">
        <v>6</v>
      </c>
      <c r="S35" s="1">
        <v>1.4</v>
      </c>
      <c r="T35" s="1"/>
      <c r="U35" s="1"/>
      <c r="V35" s="1"/>
      <c r="W35" s="1">
        <v>74.486220990000007</v>
      </c>
      <c r="X35" s="1">
        <v>42.481169819999998</v>
      </c>
      <c r="Y35" s="1">
        <v>3210.5079999999998</v>
      </c>
      <c r="Z35" s="1">
        <v>128.11199999999999</v>
      </c>
      <c r="AA35" s="1" t="s">
        <v>32</v>
      </c>
    </row>
    <row r="36" spans="1:27" x14ac:dyDescent="0.35">
      <c r="A36" s="1">
        <v>35</v>
      </c>
      <c r="B36" s="1"/>
      <c r="C36" s="1"/>
      <c r="D36" s="1"/>
      <c r="E36" s="7" t="s">
        <v>1026</v>
      </c>
      <c r="F36" s="1">
        <v>74.485084850000007</v>
      </c>
      <c r="G36" s="1">
        <v>42.480395950000002</v>
      </c>
      <c r="H36" s="1">
        <v>3226.01</v>
      </c>
      <c r="I36" s="1">
        <v>1.2999999999999999E-2</v>
      </c>
      <c r="J36" s="1">
        <v>1.2999999999999999E-2</v>
      </c>
      <c r="K36" s="1">
        <v>1.9E-2</v>
      </c>
      <c r="L36" s="1">
        <v>1.7999999999999999E-2</v>
      </c>
      <c r="M36" s="1">
        <v>2.1339999999999999</v>
      </c>
      <c r="N36" s="1" t="s">
        <v>10</v>
      </c>
      <c r="O36" s="1" t="s">
        <v>29</v>
      </c>
      <c r="P36" s="1" t="s">
        <v>99</v>
      </c>
      <c r="Q36" s="1" t="s">
        <v>100</v>
      </c>
      <c r="R36" s="1">
        <v>6</v>
      </c>
      <c r="S36" s="1">
        <v>1.4</v>
      </c>
      <c r="T36" s="1"/>
      <c r="U36" s="1"/>
      <c r="V36" s="1"/>
      <c r="W36" s="1">
        <v>74.486220990000007</v>
      </c>
      <c r="X36" s="1">
        <v>42.481169819999998</v>
      </c>
      <c r="Y36" s="1">
        <v>3210.5079999999998</v>
      </c>
      <c r="Z36" s="1">
        <v>128.24199999999999</v>
      </c>
      <c r="AA36" s="1" t="s">
        <v>32</v>
      </c>
    </row>
    <row r="37" spans="1:27" x14ac:dyDescent="0.35">
      <c r="A37" s="1">
        <v>36</v>
      </c>
      <c r="B37" s="1"/>
      <c r="C37" s="1"/>
      <c r="D37" s="1"/>
      <c r="E37" s="7" t="s">
        <v>1027</v>
      </c>
      <c r="F37" s="1">
        <v>74.485041420000002</v>
      </c>
      <c r="G37" s="1">
        <v>42.480423899999998</v>
      </c>
      <c r="H37" s="1">
        <v>3224.4349999999999</v>
      </c>
      <c r="I37" s="1">
        <v>1.2999999999999999E-2</v>
      </c>
      <c r="J37" s="1">
        <v>1.2999999999999999E-2</v>
      </c>
      <c r="K37" s="1">
        <v>0.01</v>
      </c>
      <c r="L37" s="1">
        <v>1.9E-2</v>
      </c>
      <c r="M37" s="1">
        <v>2.1339999999999999</v>
      </c>
      <c r="N37" s="1" t="s">
        <v>10</v>
      </c>
      <c r="O37" s="1" t="s">
        <v>29</v>
      </c>
      <c r="P37" s="1" t="s">
        <v>101</v>
      </c>
      <c r="Q37" s="1" t="s">
        <v>102</v>
      </c>
      <c r="R37" s="1">
        <v>6</v>
      </c>
      <c r="S37" s="1">
        <v>1.4</v>
      </c>
      <c r="T37" s="1"/>
      <c r="U37" s="1"/>
      <c r="V37" s="1"/>
      <c r="W37" s="1">
        <v>74.486220990000007</v>
      </c>
      <c r="X37" s="1">
        <v>42.481169819999998</v>
      </c>
      <c r="Y37" s="1">
        <v>3210.5079999999998</v>
      </c>
      <c r="Z37" s="1">
        <v>128.64099999999999</v>
      </c>
      <c r="AA37" s="1" t="s">
        <v>32</v>
      </c>
    </row>
    <row r="38" spans="1:27" x14ac:dyDescent="0.35">
      <c r="A38" s="1">
        <v>37</v>
      </c>
      <c r="B38" s="1"/>
      <c r="C38" s="1"/>
      <c r="D38" s="1"/>
      <c r="E38" s="7" t="s">
        <v>1028</v>
      </c>
      <c r="F38" s="1">
        <v>74.484994119999996</v>
      </c>
      <c r="G38" s="1">
        <v>42.480453400000002</v>
      </c>
      <c r="H38" s="1">
        <v>3225.7069999999999</v>
      </c>
      <c r="I38" s="1">
        <v>1.0999999999999999E-2</v>
      </c>
      <c r="J38" s="1">
        <v>1.2E-2</v>
      </c>
      <c r="K38" s="1">
        <v>1.7000000000000001E-2</v>
      </c>
      <c r="L38" s="1">
        <v>1.6E-2</v>
      </c>
      <c r="M38" s="1">
        <v>2.1339999999999999</v>
      </c>
      <c r="N38" s="1" t="s">
        <v>10</v>
      </c>
      <c r="O38" s="1" t="s">
        <v>29</v>
      </c>
      <c r="P38" s="1" t="s">
        <v>103</v>
      </c>
      <c r="Q38" s="1" t="s">
        <v>104</v>
      </c>
      <c r="R38" s="1">
        <v>6</v>
      </c>
      <c r="S38" s="1">
        <v>1.4</v>
      </c>
      <c r="T38" s="1"/>
      <c r="U38" s="1"/>
      <c r="V38" s="1"/>
      <c r="W38" s="1">
        <v>74.486220990000007</v>
      </c>
      <c r="X38" s="1">
        <v>42.481169819999998</v>
      </c>
      <c r="Y38" s="1">
        <v>3210.5079999999998</v>
      </c>
      <c r="Z38" s="1">
        <v>129.71899999999999</v>
      </c>
      <c r="AA38" s="1" t="s">
        <v>32</v>
      </c>
    </row>
    <row r="39" spans="1:27" x14ac:dyDescent="0.35">
      <c r="A39" s="1">
        <v>38</v>
      </c>
      <c r="B39" s="1"/>
      <c r="C39" s="1"/>
      <c r="D39" s="1"/>
      <c r="E39" s="7" t="s">
        <v>1029</v>
      </c>
      <c r="F39" s="1">
        <v>74.484946440000002</v>
      </c>
      <c r="G39" s="1">
        <v>42.480479699999997</v>
      </c>
      <c r="H39" s="1">
        <v>3225.607</v>
      </c>
      <c r="I39" s="1">
        <v>1.7999999999999999E-2</v>
      </c>
      <c r="J39" s="1">
        <v>1.6E-2</v>
      </c>
      <c r="K39" s="1">
        <v>1.0999999999999999E-2</v>
      </c>
      <c r="L39" s="1">
        <v>2.3E-2</v>
      </c>
      <c r="M39" s="1">
        <v>2.1339999999999999</v>
      </c>
      <c r="N39" s="1" t="s">
        <v>10</v>
      </c>
      <c r="O39" s="1" t="s">
        <v>29</v>
      </c>
      <c r="P39" s="1" t="s">
        <v>105</v>
      </c>
      <c r="Q39" s="1" t="s">
        <v>106</v>
      </c>
      <c r="R39" s="1">
        <v>7</v>
      </c>
      <c r="S39" s="1">
        <v>1.4</v>
      </c>
      <c r="T39" s="1"/>
      <c r="U39" s="1"/>
      <c r="V39" s="1"/>
      <c r="W39" s="1">
        <v>74.486220990000007</v>
      </c>
      <c r="X39" s="1">
        <v>42.481169819999998</v>
      </c>
      <c r="Y39" s="1">
        <v>3210.5079999999998</v>
      </c>
      <c r="Z39" s="1">
        <v>131.054</v>
      </c>
      <c r="AA39" s="1" t="s">
        <v>32</v>
      </c>
    </row>
    <row r="40" spans="1:27" x14ac:dyDescent="0.35">
      <c r="A40" s="1">
        <v>39</v>
      </c>
      <c r="B40" s="1"/>
      <c r="C40" s="1"/>
      <c r="D40" s="1"/>
      <c r="E40" s="7" t="s">
        <v>1030</v>
      </c>
      <c r="F40" s="1">
        <v>74.48490185</v>
      </c>
      <c r="G40" s="1">
        <v>42.480508309999998</v>
      </c>
      <c r="H40" s="1">
        <v>3225.6759999999999</v>
      </c>
      <c r="I40" s="1">
        <v>1.2999999999999999E-2</v>
      </c>
      <c r="J40" s="1">
        <v>1.4999999999999999E-2</v>
      </c>
      <c r="K40" s="1">
        <v>0.01</v>
      </c>
      <c r="L40" s="1">
        <v>0.02</v>
      </c>
      <c r="M40" s="1">
        <v>2.1339999999999999</v>
      </c>
      <c r="N40" s="1" t="s">
        <v>10</v>
      </c>
      <c r="O40" s="1" t="s">
        <v>29</v>
      </c>
      <c r="P40" s="1" t="s">
        <v>107</v>
      </c>
      <c r="Q40" s="1" t="s">
        <v>108</v>
      </c>
      <c r="R40" s="1">
        <v>7</v>
      </c>
      <c r="S40" s="1">
        <v>1.4</v>
      </c>
      <c r="T40" s="1"/>
      <c r="U40" s="1"/>
      <c r="V40" s="1"/>
      <c r="W40" s="1">
        <v>74.486220990000007</v>
      </c>
      <c r="X40" s="1">
        <v>42.481169819999998</v>
      </c>
      <c r="Y40" s="1">
        <v>3210.5079999999998</v>
      </c>
      <c r="Z40" s="1">
        <v>132.21600000000001</v>
      </c>
      <c r="AA40" s="1" t="s">
        <v>32</v>
      </c>
    </row>
    <row r="41" spans="1:27" x14ac:dyDescent="0.35">
      <c r="A41" s="1">
        <v>40</v>
      </c>
      <c r="B41" s="1"/>
      <c r="C41" s="1"/>
      <c r="D41" s="1"/>
      <c r="E41" s="7" t="s">
        <v>1031</v>
      </c>
      <c r="F41" s="1">
        <v>74.484857300000002</v>
      </c>
      <c r="G41" s="1">
        <v>42.480539380000003</v>
      </c>
      <c r="H41" s="1">
        <v>3224.328</v>
      </c>
      <c r="I41" s="1">
        <v>1.0999999999999999E-2</v>
      </c>
      <c r="J41" s="1">
        <v>1.2999999999999999E-2</v>
      </c>
      <c r="K41" s="1">
        <v>1.2999999999999999E-2</v>
      </c>
      <c r="L41" s="1">
        <v>1.7000000000000001E-2</v>
      </c>
      <c r="M41" s="1">
        <v>2.1339999999999999</v>
      </c>
      <c r="N41" s="1" t="s">
        <v>10</v>
      </c>
      <c r="O41" s="1" t="s">
        <v>29</v>
      </c>
      <c r="P41" s="1" t="s">
        <v>109</v>
      </c>
      <c r="Q41" s="1" t="s">
        <v>110</v>
      </c>
      <c r="R41" s="1">
        <v>7</v>
      </c>
      <c r="S41" s="1">
        <v>1.4</v>
      </c>
      <c r="T41" s="1"/>
      <c r="U41" s="1"/>
      <c r="V41" s="1"/>
      <c r="W41" s="1">
        <v>74.486220990000007</v>
      </c>
      <c r="X41" s="1">
        <v>42.481169819999998</v>
      </c>
      <c r="Y41" s="1">
        <v>3210.5079999999998</v>
      </c>
      <c r="Z41" s="1">
        <v>133.226</v>
      </c>
      <c r="AA41" s="1" t="s">
        <v>32</v>
      </c>
    </row>
    <row r="42" spans="1:27" x14ac:dyDescent="0.35">
      <c r="A42" s="1">
        <v>41</v>
      </c>
      <c r="B42" s="1"/>
      <c r="C42" s="1"/>
      <c r="D42" s="1"/>
      <c r="E42" s="7" t="s">
        <v>1032</v>
      </c>
      <c r="F42" s="1">
        <v>74.484817699999994</v>
      </c>
      <c r="G42" s="1">
        <v>42.48056708</v>
      </c>
      <c r="H42" s="1">
        <v>3223.0039999999999</v>
      </c>
      <c r="I42" s="1">
        <v>0.01</v>
      </c>
      <c r="J42" s="1">
        <v>1.4E-2</v>
      </c>
      <c r="K42" s="1">
        <v>1.0999999999999999E-2</v>
      </c>
      <c r="L42" s="1">
        <v>1.7000000000000001E-2</v>
      </c>
      <c r="M42" s="1">
        <v>2.1339999999999999</v>
      </c>
      <c r="N42" s="1" t="s">
        <v>10</v>
      </c>
      <c r="O42" s="1" t="s">
        <v>29</v>
      </c>
      <c r="P42" s="1" t="s">
        <v>111</v>
      </c>
      <c r="Q42" s="1" t="s">
        <v>112</v>
      </c>
      <c r="R42" s="1">
        <v>7</v>
      </c>
      <c r="S42" s="1">
        <v>1.4</v>
      </c>
      <c r="T42" s="1"/>
      <c r="U42" s="1"/>
      <c r="V42" s="1"/>
      <c r="W42" s="1">
        <v>74.486220990000007</v>
      </c>
      <c r="X42" s="1">
        <v>42.481169819999998</v>
      </c>
      <c r="Y42" s="1">
        <v>3210.5079999999998</v>
      </c>
      <c r="Z42" s="1">
        <v>134.27500000000001</v>
      </c>
      <c r="AA42" s="1" t="s">
        <v>32</v>
      </c>
    </row>
    <row r="43" spans="1:27" x14ac:dyDescent="0.35">
      <c r="A43" s="1">
        <v>42</v>
      </c>
      <c r="B43" s="1"/>
      <c r="C43" s="1"/>
      <c r="D43" s="1"/>
      <c r="E43" s="7" t="s">
        <v>1033</v>
      </c>
      <c r="F43" s="1">
        <v>74.484771269999996</v>
      </c>
      <c r="G43" s="1">
        <v>42.48059413</v>
      </c>
      <c r="H43" s="1">
        <v>3222.1109999999999</v>
      </c>
      <c r="I43" s="1">
        <v>1.0999999999999999E-2</v>
      </c>
      <c r="J43" s="1">
        <v>1.2E-2</v>
      </c>
      <c r="K43" s="1">
        <v>1.7000000000000001E-2</v>
      </c>
      <c r="L43" s="1">
        <v>1.6E-2</v>
      </c>
      <c r="M43" s="1">
        <v>2.1339999999999999</v>
      </c>
      <c r="N43" s="1" t="s">
        <v>10</v>
      </c>
      <c r="O43" s="1" t="s">
        <v>29</v>
      </c>
      <c r="P43" s="1" t="s">
        <v>113</v>
      </c>
      <c r="Q43" s="1" t="s">
        <v>114</v>
      </c>
      <c r="R43" s="1">
        <v>6</v>
      </c>
      <c r="S43" s="1">
        <v>1.4</v>
      </c>
      <c r="T43" s="1"/>
      <c r="U43" s="1"/>
      <c r="V43" s="1"/>
      <c r="W43" s="1">
        <v>74.486220990000007</v>
      </c>
      <c r="X43" s="1">
        <v>42.481169819999998</v>
      </c>
      <c r="Y43" s="1">
        <v>3210.5079999999998</v>
      </c>
      <c r="Z43" s="1">
        <v>136.042</v>
      </c>
      <c r="AA43" s="1" t="s">
        <v>32</v>
      </c>
    </row>
    <row r="44" spans="1:27" x14ac:dyDescent="0.35">
      <c r="A44" s="1">
        <v>43</v>
      </c>
      <c r="B44" s="1"/>
      <c r="C44" s="1"/>
      <c r="D44" s="1"/>
      <c r="E44" s="7" t="s">
        <v>1034</v>
      </c>
      <c r="F44" s="1">
        <v>74.484725679999997</v>
      </c>
      <c r="G44" s="1">
        <v>42.48062642</v>
      </c>
      <c r="H44" s="1">
        <v>3221.5349999999999</v>
      </c>
      <c r="I44" s="1">
        <v>1.2999999999999999E-2</v>
      </c>
      <c r="J44" s="1">
        <v>1.2E-2</v>
      </c>
      <c r="K44" s="1">
        <v>1.0999999999999999E-2</v>
      </c>
      <c r="L44" s="1">
        <v>1.7000000000000001E-2</v>
      </c>
      <c r="M44" s="1">
        <v>2.1339999999999999</v>
      </c>
      <c r="N44" s="1" t="s">
        <v>10</v>
      </c>
      <c r="O44" s="1" t="s">
        <v>29</v>
      </c>
      <c r="P44" s="1" t="s">
        <v>115</v>
      </c>
      <c r="Q44" s="1" t="s">
        <v>116</v>
      </c>
      <c r="R44" s="1">
        <v>6</v>
      </c>
      <c r="S44" s="1">
        <v>1.4</v>
      </c>
      <c r="T44" s="1"/>
      <c r="U44" s="1"/>
      <c r="V44" s="1"/>
      <c r="W44" s="1">
        <v>74.486220990000007</v>
      </c>
      <c r="X44" s="1">
        <v>42.481169819999998</v>
      </c>
      <c r="Y44" s="1">
        <v>3210.5079999999998</v>
      </c>
      <c r="Z44" s="1">
        <v>137.67699999999999</v>
      </c>
      <c r="AA44" s="1" t="s">
        <v>32</v>
      </c>
    </row>
    <row r="45" spans="1:27" x14ac:dyDescent="0.35">
      <c r="A45" s="1">
        <v>44</v>
      </c>
      <c r="B45" s="1"/>
      <c r="C45" s="1"/>
      <c r="D45" s="1"/>
      <c r="E45" s="7" t="s">
        <v>1035</v>
      </c>
      <c r="F45" s="1">
        <v>74.484682849999999</v>
      </c>
      <c r="G45" s="1">
        <v>42.480655329999998</v>
      </c>
      <c r="H45" s="1">
        <v>3221.27</v>
      </c>
      <c r="I45" s="1">
        <v>1.0999999999999999E-2</v>
      </c>
      <c r="J45" s="1">
        <v>1.2999999999999999E-2</v>
      </c>
      <c r="K45" s="1">
        <v>1.0999999999999999E-2</v>
      </c>
      <c r="L45" s="1">
        <v>1.7000000000000001E-2</v>
      </c>
      <c r="M45" s="1">
        <v>2.1339999999999999</v>
      </c>
      <c r="N45" s="1" t="s">
        <v>10</v>
      </c>
      <c r="O45" s="1" t="s">
        <v>29</v>
      </c>
      <c r="P45" s="1" t="s">
        <v>117</v>
      </c>
      <c r="Q45" s="1" t="s">
        <v>118</v>
      </c>
      <c r="R45" s="1">
        <v>6</v>
      </c>
      <c r="S45" s="1">
        <v>1.4</v>
      </c>
      <c r="T45" s="1"/>
      <c r="U45" s="1"/>
      <c r="V45" s="1"/>
      <c r="W45" s="1">
        <v>74.486220990000007</v>
      </c>
      <c r="X45" s="1">
        <v>42.481169819999998</v>
      </c>
      <c r="Y45" s="1">
        <v>3210.5079999999998</v>
      </c>
      <c r="Z45" s="1">
        <v>139.45099999999999</v>
      </c>
      <c r="AA45" s="1" t="s">
        <v>32</v>
      </c>
    </row>
    <row r="46" spans="1:27" x14ac:dyDescent="0.35">
      <c r="A46" s="1">
        <v>45</v>
      </c>
      <c r="B46" s="1"/>
      <c r="C46" s="1"/>
      <c r="D46" s="1"/>
      <c r="E46" s="7" t="s">
        <v>1036</v>
      </c>
      <c r="F46" s="1">
        <v>74.484642300000004</v>
      </c>
      <c r="G46" s="1">
        <v>42.480688069999999</v>
      </c>
      <c r="H46" s="1">
        <v>3221.4549999999999</v>
      </c>
      <c r="I46" s="1">
        <v>1.0999999999999999E-2</v>
      </c>
      <c r="J46" s="1">
        <v>1.0999999999999999E-2</v>
      </c>
      <c r="K46" s="1">
        <v>1.2E-2</v>
      </c>
      <c r="L46" s="1">
        <v>1.4999999999999999E-2</v>
      </c>
      <c r="M46" s="1">
        <v>2.1339999999999999</v>
      </c>
      <c r="N46" s="1" t="s">
        <v>10</v>
      </c>
      <c r="O46" s="1" t="s">
        <v>29</v>
      </c>
      <c r="P46" s="1" t="s">
        <v>119</v>
      </c>
      <c r="Q46" s="1" t="s">
        <v>120</v>
      </c>
      <c r="R46" s="1">
        <v>7</v>
      </c>
      <c r="S46" s="1">
        <v>1.4</v>
      </c>
      <c r="T46" s="1"/>
      <c r="U46" s="1"/>
      <c r="V46" s="1"/>
      <c r="W46" s="1">
        <v>74.486220990000007</v>
      </c>
      <c r="X46" s="1">
        <v>42.481169819999998</v>
      </c>
      <c r="Y46" s="1">
        <v>3210.5079999999998</v>
      </c>
      <c r="Z46" s="1">
        <v>141.08600000000001</v>
      </c>
      <c r="AA46" s="1" t="s">
        <v>32</v>
      </c>
    </row>
    <row r="47" spans="1:27" x14ac:dyDescent="0.35">
      <c r="A47" s="1">
        <v>46</v>
      </c>
      <c r="B47" s="1"/>
      <c r="C47" s="1"/>
      <c r="D47" s="1"/>
      <c r="E47" s="7" t="s">
        <v>1037</v>
      </c>
      <c r="F47" s="1">
        <v>74.484598779999999</v>
      </c>
      <c r="G47" s="1">
        <v>42.480718269999997</v>
      </c>
      <c r="H47" s="1">
        <v>3220.57</v>
      </c>
      <c r="I47" s="1">
        <v>1.2E-2</v>
      </c>
      <c r="J47" s="1">
        <v>1.2999999999999999E-2</v>
      </c>
      <c r="K47" s="1">
        <v>1.6E-2</v>
      </c>
      <c r="L47" s="1">
        <v>1.7999999999999999E-2</v>
      </c>
      <c r="M47" s="1">
        <v>2.1339999999999999</v>
      </c>
      <c r="N47" s="1" t="s">
        <v>10</v>
      </c>
      <c r="O47" s="1" t="s">
        <v>29</v>
      </c>
      <c r="P47" s="1" t="s">
        <v>121</v>
      </c>
      <c r="Q47" s="1" t="s">
        <v>122</v>
      </c>
      <c r="R47" s="1">
        <v>6</v>
      </c>
      <c r="S47" s="1">
        <v>1.4</v>
      </c>
      <c r="T47" s="1"/>
      <c r="U47" s="1"/>
      <c r="V47" s="1"/>
      <c r="W47" s="1">
        <v>74.486220990000007</v>
      </c>
      <c r="X47" s="1">
        <v>42.481169819999998</v>
      </c>
      <c r="Y47" s="1">
        <v>3210.5079999999998</v>
      </c>
      <c r="Z47" s="1">
        <v>143.084</v>
      </c>
      <c r="AA47" s="1" t="s">
        <v>32</v>
      </c>
    </row>
    <row r="48" spans="1:27" x14ac:dyDescent="0.35">
      <c r="A48" s="1">
        <v>47</v>
      </c>
      <c r="B48" s="1"/>
      <c r="C48" s="1"/>
      <c r="D48" s="1"/>
      <c r="E48" s="7" t="s">
        <v>1038</v>
      </c>
      <c r="F48" s="1">
        <v>74.484554639999999</v>
      </c>
      <c r="G48" s="1">
        <v>42.480748509999998</v>
      </c>
      <c r="H48" s="1">
        <v>3220.64</v>
      </c>
      <c r="I48" s="1">
        <v>1.4E-2</v>
      </c>
      <c r="J48" s="1">
        <v>1.2999999999999999E-2</v>
      </c>
      <c r="K48" s="1">
        <v>1.0999999999999999E-2</v>
      </c>
      <c r="L48" s="1">
        <v>0.02</v>
      </c>
      <c r="M48" s="1">
        <v>2.1339999999999999</v>
      </c>
      <c r="N48" s="1" t="s">
        <v>10</v>
      </c>
      <c r="O48" s="1" t="s">
        <v>29</v>
      </c>
      <c r="P48" s="1" t="s">
        <v>123</v>
      </c>
      <c r="Q48" s="1" t="s">
        <v>124</v>
      </c>
      <c r="R48" s="1">
        <v>6</v>
      </c>
      <c r="S48" s="1">
        <v>1.4</v>
      </c>
      <c r="T48" s="1"/>
      <c r="U48" s="1"/>
      <c r="V48" s="1"/>
      <c r="W48" s="1">
        <v>74.486220990000007</v>
      </c>
      <c r="X48" s="1">
        <v>42.481169819999998</v>
      </c>
      <c r="Y48" s="1">
        <v>3210.5079999999998</v>
      </c>
      <c r="Z48" s="1">
        <v>145.36699999999999</v>
      </c>
      <c r="AA48" s="1" t="s">
        <v>32</v>
      </c>
    </row>
    <row r="49" spans="1:27" x14ac:dyDescent="0.35">
      <c r="A49" s="1">
        <v>48</v>
      </c>
      <c r="B49" s="1"/>
      <c r="C49" s="1"/>
      <c r="D49" s="1"/>
      <c r="E49" s="7" t="s">
        <v>1039</v>
      </c>
      <c r="F49" s="1">
        <v>74.484510099999994</v>
      </c>
      <c r="G49" s="1">
        <v>42.480776890000001</v>
      </c>
      <c r="H49" s="1">
        <v>3220.8310000000001</v>
      </c>
      <c r="I49" s="1">
        <v>1.2999999999999999E-2</v>
      </c>
      <c r="J49" s="1">
        <v>1.0999999999999999E-2</v>
      </c>
      <c r="K49" s="1">
        <v>1.0999999999999999E-2</v>
      </c>
      <c r="L49" s="1">
        <v>1.7000000000000001E-2</v>
      </c>
      <c r="M49" s="1">
        <v>2.1339999999999999</v>
      </c>
      <c r="N49" s="1" t="s">
        <v>10</v>
      </c>
      <c r="O49" s="1" t="s">
        <v>29</v>
      </c>
      <c r="P49" s="1" t="s">
        <v>125</v>
      </c>
      <c r="Q49" s="1" t="s">
        <v>126</v>
      </c>
      <c r="R49" s="1">
        <v>6</v>
      </c>
      <c r="S49" s="1">
        <v>1.4</v>
      </c>
      <c r="T49" s="1"/>
      <c r="U49" s="1"/>
      <c r="V49" s="1"/>
      <c r="W49" s="1">
        <v>74.486220990000007</v>
      </c>
      <c r="X49" s="1">
        <v>42.481169819999998</v>
      </c>
      <c r="Y49" s="1">
        <v>3210.5079999999998</v>
      </c>
      <c r="Z49" s="1">
        <v>147.88399999999999</v>
      </c>
      <c r="AA49" s="1" t="s">
        <v>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ED2F-5EEA-4CB2-9473-5A06ECDD7D70}">
  <dimension ref="A1:W85"/>
  <sheetViews>
    <sheetView workbookViewId="0">
      <selection activeCell="C3" sqref="C3"/>
    </sheetView>
  </sheetViews>
  <sheetFormatPr defaultRowHeight="14.5" x14ac:dyDescent="0.35"/>
  <sheetData>
    <row r="1" spans="1:23" x14ac:dyDescent="0.35">
      <c r="A1" s="9" t="s">
        <v>0</v>
      </c>
      <c r="B1" s="10" t="s">
        <v>989</v>
      </c>
      <c r="C1" s="10" t="s">
        <v>990</v>
      </c>
      <c r="D1" s="45" t="s">
        <v>1040</v>
      </c>
      <c r="E1" s="45"/>
      <c r="F1" s="46" t="s">
        <v>1041</v>
      </c>
      <c r="G1" s="46"/>
      <c r="H1" s="44" t="s">
        <v>1042</v>
      </c>
      <c r="I1" s="44"/>
      <c r="J1" t="s">
        <v>1089</v>
      </c>
      <c r="M1" s="9" t="s">
        <v>0</v>
      </c>
      <c r="N1" s="10" t="s">
        <v>989</v>
      </c>
      <c r="O1" s="10" t="s">
        <v>990</v>
      </c>
      <c r="P1" s="45" t="s">
        <v>1040</v>
      </c>
      <c r="Q1" s="45"/>
      <c r="R1" s="46" t="s">
        <v>1041</v>
      </c>
      <c r="S1" s="46"/>
      <c r="T1" s="44" t="s">
        <v>1042</v>
      </c>
      <c r="U1" s="44"/>
      <c r="V1" t="s">
        <v>1089</v>
      </c>
    </row>
    <row r="2" spans="1:23" x14ac:dyDescent="0.35">
      <c r="A2" s="9"/>
      <c r="B2" s="10"/>
      <c r="C2" s="10"/>
      <c r="D2" s="11"/>
      <c r="E2" s="11"/>
      <c r="F2" s="12"/>
      <c r="G2" s="12"/>
      <c r="H2" s="9"/>
      <c r="I2" s="9"/>
      <c r="M2" s="9"/>
      <c r="N2" s="10"/>
      <c r="O2" s="10"/>
      <c r="P2" s="11"/>
      <c r="Q2" s="11"/>
      <c r="R2" s="12"/>
      <c r="S2" s="12"/>
      <c r="T2" s="9"/>
      <c r="U2" s="9"/>
    </row>
    <row r="3" spans="1:23" x14ac:dyDescent="0.35">
      <c r="A3" s="13" t="s">
        <v>1043</v>
      </c>
      <c r="B3" s="14">
        <v>992.5</v>
      </c>
      <c r="C3" s="1">
        <v>3228.625</v>
      </c>
      <c r="D3" s="36">
        <f>B3</f>
        <v>992.5</v>
      </c>
      <c r="E3" s="35">
        <f t="shared" ref="E3:E29" si="0">ABS(C3-MAX(C:C))+0.01</f>
        <v>15.765999999999858</v>
      </c>
      <c r="F3" s="9"/>
      <c r="G3" s="9"/>
      <c r="H3" s="17">
        <f>B3-1000</f>
        <v>-7.5</v>
      </c>
      <c r="I3" s="17">
        <f t="shared" ref="I3:I4" si="1">C3</f>
        <v>3228.625</v>
      </c>
      <c r="J3">
        <f>H3</f>
        <v>-7.5</v>
      </c>
      <c r="K3" s="17">
        <f t="shared" ref="K3:K4" si="2">C60</f>
        <v>3227.3290000000002</v>
      </c>
      <c r="M3" s="13" t="s">
        <v>1043</v>
      </c>
      <c r="N3" s="14">
        <v>992.5</v>
      </c>
      <c r="O3" s="1">
        <v>3228.625</v>
      </c>
      <c r="P3" s="36">
        <f>N3</f>
        <v>992.5</v>
      </c>
      <c r="Q3" s="35">
        <f t="shared" ref="Q3:Q29" si="3">ABS(O3-MAX(O:O))+0.01</f>
        <v>15.765999999999858</v>
      </c>
      <c r="R3" s="9"/>
      <c r="S3" s="9"/>
      <c r="T3" s="17">
        <f>T5-7.5</f>
        <v>112.5</v>
      </c>
      <c r="U3" s="17">
        <f t="shared" ref="U3:U4" si="4">O3</f>
        <v>3228.625</v>
      </c>
      <c r="V3">
        <f>T3</f>
        <v>112.5</v>
      </c>
      <c r="W3" s="1">
        <v>3245.8809999999999</v>
      </c>
    </row>
    <row r="4" spans="1:23" x14ac:dyDescent="0.35">
      <c r="A4" s="13" t="s">
        <v>1068</v>
      </c>
      <c r="B4" s="14">
        <v>997.5</v>
      </c>
      <c r="C4" s="1">
        <v>3228.625</v>
      </c>
      <c r="D4" s="36">
        <v>997.5</v>
      </c>
      <c r="E4" s="35">
        <f t="shared" si="0"/>
        <v>15.765999999999858</v>
      </c>
      <c r="F4" s="9">
        <v>0</v>
      </c>
      <c r="G4" s="9">
        <v>0</v>
      </c>
      <c r="H4" s="17">
        <f>B4-1000</f>
        <v>-2.5</v>
      </c>
      <c r="I4" s="17">
        <f t="shared" si="1"/>
        <v>3228.625</v>
      </c>
      <c r="J4">
        <f>H4</f>
        <v>-2.5</v>
      </c>
      <c r="K4" s="17">
        <f t="shared" si="2"/>
        <v>3228.3890000000001</v>
      </c>
      <c r="M4" s="13" t="s">
        <v>1068</v>
      </c>
      <c r="N4" s="14">
        <v>997.5</v>
      </c>
      <c r="O4" s="1">
        <v>3228.625</v>
      </c>
      <c r="P4" s="36">
        <v>997.5</v>
      </c>
      <c r="Q4" s="35">
        <f t="shared" si="3"/>
        <v>15.765999999999858</v>
      </c>
      <c r="R4" s="9">
        <v>0</v>
      </c>
      <c r="S4" s="9">
        <v>0</v>
      </c>
      <c r="T4" s="17">
        <f>T5-2.5</f>
        <v>117.5</v>
      </c>
      <c r="U4" s="17">
        <f t="shared" si="4"/>
        <v>3228.625</v>
      </c>
      <c r="V4">
        <f>T4</f>
        <v>117.5</v>
      </c>
      <c r="W4" s="1">
        <v>3244.8809999999999</v>
      </c>
    </row>
    <row r="5" spans="1:23" x14ac:dyDescent="0.35">
      <c r="A5" s="17" t="s">
        <v>1044</v>
      </c>
      <c r="B5" s="18">
        <v>1000</v>
      </c>
      <c r="C5" s="1">
        <v>3228.625</v>
      </c>
      <c r="D5" s="19">
        <f>B5</f>
        <v>1000</v>
      </c>
      <c r="E5" s="20">
        <f t="shared" si="0"/>
        <v>15.765999999999858</v>
      </c>
      <c r="F5" s="21">
        <f>D5</f>
        <v>1000</v>
      </c>
      <c r="G5" s="22">
        <f>E5</f>
        <v>15.765999999999858</v>
      </c>
      <c r="H5" s="17">
        <f t="shared" ref="H5:H30" si="5">B5-1000</f>
        <v>0</v>
      </c>
      <c r="I5" s="17">
        <f>C5</f>
        <v>3228.625</v>
      </c>
      <c r="J5" s="37">
        <f>D5-1000</f>
        <v>0</v>
      </c>
      <c r="K5" s="17">
        <f>C62</f>
        <v>3228.625</v>
      </c>
      <c r="M5" s="17" t="s">
        <v>1044</v>
      </c>
      <c r="N5" s="18">
        <v>1120</v>
      </c>
      <c r="O5" s="1">
        <v>3228.625</v>
      </c>
      <c r="P5" s="19">
        <f>N5</f>
        <v>1120</v>
      </c>
      <c r="Q5" s="20">
        <f t="shared" si="3"/>
        <v>15.765999999999858</v>
      </c>
      <c r="R5" s="21">
        <f>P5</f>
        <v>1120</v>
      </c>
      <c r="S5" s="22">
        <f>Q5</f>
        <v>15.765999999999858</v>
      </c>
      <c r="T5" s="17">
        <f t="shared" ref="T5:T28" si="6">N5-1000</f>
        <v>120</v>
      </c>
      <c r="U5" s="17">
        <f>O5</f>
        <v>3228.625</v>
      </c>
      <c r="V5" s="37">
        <f>P5-1000</f>
        <v>120</v>
      </c>
      <c r="W5" s="17">
        <v>3244.3809999999999</v>
      </c>
    </row>
    <row r="6" spans="1:23" x14ac:dyDescent="0.35">
      <c r="A6" s="17" t="s">
        <v>1045</v>
      </c>
      <c r="B6" s="18">
        <f>B5+2.5</f>
        <v>1002.5</v>
      </c>
      <c r="C6" s="1">
        <v>3229.7979999999998</v>
      </c>
      <c r="D6" s="19">
        <f>D5+(SQRT((B6-B5)^2-(E6-E5)^2))</f>
        <v>1002.2077298294856</v>
      </c>
      <c r="E6" s="20">
        <f t="shared" si="0"/>
        <v>14.593000000000083</v>
      </c>
      <c r="F6" s="21">
        <f t="shared" ref="F6:G28" si="7">D6</f>
        <v>1002.2077298294856</v>
      </c>
      <c r="G6" s="22">
        <f t="shared" si="7"/>
        <v>14.593000000000083</v>
      </c>
      <c r="H6" s="17">
        <f t="shared" si="5"/>
        <v>2.5</v>
      </c>
      <c r="I6" s="17">
        <f t="shared" ref="I6:I30" si="8">C6</f>
        <v>3229.7979999999998</v>
      </c>
      <c r="J6" s="37">
        <f t="shared" ref="J6:J28" si="9">D6-1000</f>
        <v>2.2077298294856291</v>
      </c>
      <c r="K6" s="17">
        <f t="shared" ref="K6:K28" si="10">C63</f>
        <v>3229.7979999999998</v>
      </c>
      <c r="M6" s="17" t="s">
        <v>1045</v>
      </c>
      <c r="N6" s="18">
        <f>N5+2.5</f>
        <v>1122.5</v>
      </c>
      <c r="O6" s="1">
        <v>3229.7979999999998</v>
      </c>
      <c r="P6" s="19">
        <f>P5+(SQRT((N6-N5)^2-(Q6-Q5)^2))</f>
        <v>1122.2077298294855</v>
      </c>
      <c r="Q6" s="20">
        <f t="shared" si="3"/>
        <v>14.593000000000083</v>
      </c>
      <c r="R6" s="21">
        <f t="shared" ref="R6:R28" si="11">P6</f>
        <v>1122.2077298294855</v>
      </c>
      <c r="S6" s="22">
        <f t="shared" ref="S6:S28" si="12">Q6</f>
        <v>14.593000000000083</v>
      </c>
      <c r="T6" s="17">
        <f t="shared" si="6"/>
        <v>122.5</v>
      </c>
      <c r="U6" s="17">
        <f t="shared" ref="U6:U30" si="13">O6</f>
        <v>3229.7979999999998</v>
      </c>
      <c r="V6" s="37">
        <f t="shared" ref="V6:V28" si="14">P6-1000</f>
        <v>122.20772982948552</v>
      </c>
      <c r="W6" s="17">
        <v>3243.0120000000002</v>
      </c>
    </row>
    <row r="7" spans="1:23" x14ac:dyDescent="0.35">
      <c r="A7" s="17" t="s">
        <v>1046</v>
      </c>
      <c r="B7" s="18">
        <f t="shared" ref="B7:B28" si="15">B6+2.5</f>
        <v>1005</v>
      </c>
      <c r="C7" s="1">
        <v>3230.2669999999998</v>
      </c>
      <c r="D7" s="19">
        <f t="shared" ref="D7:D29" si="16">D6+(SQRT((B7-B6)^2-(E7-E6)^2))</f>
        <v>1004.6633436020484</v>
      </c>
      <c r="E7" s="20">
        <f t="shared" si="0"/>
        <v>14.124000000000033</v>
      </c>
      <c r="F7" s="21">
        <f t="shared" si="7"/>
        <v>1004.6633436020484</v>
      </c>
      <c r="G7" s="22">
        <f t="shared" si="7"/>
        <v>14.124000000000033</v>
      </c>
      <c r="H7" s="17">
        <f t="shared" si="5"/>
        <v>5</v>
      </c>
      <c r="I7" s="17">
        <f t="shared" si="8"/>
        <v>3230.2669999999998</v>
      </c>
      <c r="J7" s="37">
        <f t="shared" si="9"/>
        <v>4.6633436020483714</v>
      </c>
      <c r="K7" s="17">
        <f t="shared" si="10"/>
        <v>3230.2669999999998</v>
      </c>
      <c r="M7" s="17" t="s">
        <v>1046</v>
      </c>
      <c r="N7" s="18">
        <f t="shared" ref="N7:N28" si="17">N6+2.5</f>
        <v>1125</v>
      </c>
      <c r="O7" s="1">
        <v>3230.2669999999998</v>
      </c>
      <c r="P7" s="19">
        <f t="shared" ref="P7:P29" si="18">P6+(SQRT((N7-N6)^2-(Q7-Q6)^2))</f>
        <v>1124.6633436020484</v>
      </c>
      <c r="Q7" s="20">
        <f t="shared" si="3"/>
        <v>14.124000000000033</v>
      </c>
      <c r="R7" s="21">
        <f t="shared" si="11"/>
        <v>1124.6633436020484</v>
      </c>
      <c r="S7" s="22">
        <f t="shared" si="12"/>
        <v>14.124000000000033</v>
      </c>
      <c r="T7" s="17">
        <f t="shared" si="6"/>
        <v>125</v>
      </c>
      <c r="U7" s="17">
        <f t="shared" si="13"/>
        <v>3230.2669999999998</v>
      </c>
      <c r="V7" s="37">
        <f t="shared" si="14"/>
        <v>124.66334360204837</v>
      </c>
      <c r="W7" s="17">
        <v>3241.326</v>
      </c>
    </row>
    <row r="8" spans="1:23" x14ac:dyDescent="0.35">
      <c r="A8" s="17" t="s">
        <v>1047</v>
      </c>
      <c r="B8" s="18">
        <f t="shared" si="15"/>
        <v>1007.5</v>
      </c>
      <c r="C8" s="1">
        <v>3231.0880000000002</v>
      </c>
      <c r="D8" s="19">
        <f t="shared" si="16"/>
        <v>1007.0246904634813</v>
      </c>
      <c r="E8" s="20">
        <f t="shared" si="0"/>
        <v>13.302999999999665</v>
      </c>
      <c r="F8" s="21">
        <f t="shared" si="7"/>
        <v>1007.0246904634813</v>
      </c>
      <c r="G8" s="22">
        <f t="shared" si="7"/>
        <v>13.302999999999665</v>
      </c>
      <c r="H8" s="17">
        <f t="shared" si="5"/>
        <v>7.5</v>
      </c>
      <c r="I8" s="17">
        <f t="shared" si="8"/>
        <v>3231.0880000000002</v>
      </c>
      <c r="J8" s="37">
        <f t="shared" si="9"/>
        <v>7.0246904634813063</v>
      </c>
      <c r="K8" s="17">
        <f t="shared" si="10"/>
        <v>3231.0880000000002</v>
      </c>
      <c r="M8" s="17" t="s">
        <v>1047</v>
      </c>
      <c r="N8" s="18">
        <f t="shared" si="17"/>
        <v>1127.5</v>
      </c>
      <c r="O8" s="1">
        <v>3231.0880000000002</v>
      </c>
      <c r="P8" s="19">
        <f t="shared" si="18"/>
        <v>1127.0246904634814</v>
      </c>
      <c r="Q8" s="20">
        <f t="shared" si="3"/>
        <v>13.302999999999665</v>
      </c>
      <c r="R8" s="21">
        <f t="shared" si="11"/>
        <v>1127.0246904634814</v>
      </c>
      <c r="S8" s="22">
        <f t="shared" si="12"/>
        <v>13.302999999999665</v>
      </c>
      <c r="T8" s="17">
        <f t="shared" si="6"/>
        <v>127.5</v>
      </c>
      <c r="U8" s="17">
        <f t="shared" si="13"/>
        <v>3231.0880000000002</v>
      </c>
      <c r="V8" s="37">
        <f t="shared" si="14"/>
        <v>127.02469046348142</v>
      </c>
      <c r="W8" s="17">
        <v>3239.598</v>
      </c>
    </row>
    <row r="9" spans="1:23" x14ac:dyDescent="0.35">
      <c r="A9" s="17" t="s">
        <v>1048</v>
      </c>
      <c r="B9" s="18">
        <f t="shared" si="15"/>
        <v>1010</v>
      </c>
      <c r="C9" s="1">
        <v>3229.83</v>
      </c>
      <c r="D9" s="19">
        <f t="shared" si="16"/>
        <v>1009.185115421678</v>
      </c>
      <c r="E9" s="20">
        <f t="shared" si="0"/>
        <v>14.560999999999931</v>
      </c>
      <c r="F9" s="21">
        <f t="shared" si="7"/>
        <v>1009.185115421678</v>
      </c>
      <c r="G9" s="22">
        <f t="shared" si="7"/>
        <v>14.560999999999931</v>
      </c>
      <c r="H9" s="17">
        <f t="shared" si="5"/>
        <v>10</v>
      </c>
      <c r="I9" s="17">
        <f t="shared" si="8"/>
        <v>3229.83</v>
      </c>
      <c r="J9" s="37">
        <f t="shared" si="9"/>
        <v>9.185115421678006</v>
      </c>
      <c r="K9" s="17">
        <f t="shared" si="10"/>
        <v>3229.83</v>
      </c>
      <c r="M9" s="17" t="s">
        <v>1048</v>
      </c>
      <c r="N9" s="18">
        <f t="shared" si="17"/>
        <v>1130</v>
      </c>
      <c r="O9" s="1">
        <v>3229.83</v>
      </c>
      <c r="P9" s="19">
        <f t="shared" si="18"/>
        <v>1129.1851154216781</v>
      </c>
      <c r="Q9" s="20">
        <f t="shared" si="3"/>
        <v>14.560999999999931</v>
      </c>
      <c r="R9" s="21">
        <f t="shared" si="11"/>
        <v>1129.1851154216781</v>
      </c>
      <c r="S9" s="22">
        <f t="shared" si="12"/>
        <v>14.560999999999931</v>
      </c>
      <c r="T9" s="17">
        <f t="shared" si="6"/>
        <v>130</v>
      </c>
      <c r="U9" s="17">
        <f t="shared" si="13"/>
        <v>3229.83</v>
      </c>
      <c r="V9" s="37">
        <f t="shared" si="14"/>
        <v>129.18511542167812</v>
      </c>
      <c r="W9" s="17">
        <v>3239.6660000000002</v>
      </c>
    </row>
    <row r="10" spans="1:23" x14ac:dyDescent="0.35">
      <c r="A10" s="17" t="s">
        <v>1049</v>
      </c>
      <c r="B10" s="18">
        <f t="shared" si="15"/>
        <v>1012.5</v>
      </c>
      <c r="C10" s="1">
        <v>3230.4169999999999</v>
      </c>
      <c r="D10" s="19">
        <f t="shared" si="16"/>
        <v>1011.6152246784811</v>
      </c>
      <c r="E10" s="20">
        <f t="shared" si="0"/>
        <v>13.973999999999942</v>
      </c>
      <c r="F10" s="21">
        <f t="shared" si="7"/>
        <v>1011.6152246784811</v>
      </c>
      <c r="G10" s="22">
        <f t="shared" si="7"/>
        <v>13.973999999999942</v>
      </c>
      <c r="H10" s="17">
        <f t="shared" si="5"/>
        <v>12.5</v>
      </c>
      <c r="I10" s="17">
        <f t="shared" si="8"/>
        <v>3230.4169999999999</v>
      </c>
      <c r="J10" s="37">
        <f t="shared" si="9"/>
        <v>11.615224678481127</v>
      </c>
      <c r="K10" s="17">
        <f t="shared" si="10"/>
        <v>3230.4169999999999</v>
      </c>
      <c r="M10" s="17" t="s">
        <v>1049</v>
      </c>
      <c r="N10" s="18">
        <f t="shared" si="17"/>
        <v>1132.5</v>
      </c>
      <c r="O10" s="1">
        <v>3230.4169999999999</v>
      </c>
      <c r="P10" s="19">
        <f t="shared" si="18"/>
        <v>1131.6152246784811</v>
      </c>
      <c r="Q10" s="20">
        <f t="shared" si="3"/>
        <v>13.973999999999942</v>
      </c>
      <c r="R10" s="21">
        <f t="shared" si="11"/>
        <v>1131.6152246784811</v>
      </c>
      <c r="S10" s="22">
        <f t="shared" si="12"/>
        <v>13.973999999999942</v>
      </c>
      <c r="T10" s="17">
        <f t="shared" si="6"/>
        <v>132.5</v>
      </c>
      <c r="U10" s="17">
        <f t="shared" si="13"/>
        <v>3230.4169999999999</v>
      </c>
      <c r="V10" s="37">
        <f t="shared" si="14"/>
        <v>131.61522467848113</v>
      </c>
      <c r="W10" s="17">
        <v>3239.1</v>
      </c>
    </row>
    <row r="11" spans="1:23" x14ac:dyDescent="0.35">
      <c r="A11" s="17" t="s">
        <v>1050</v>
      </c>
      <c r="B11" s="18">
        <f t="shared" si="15"/>
        <v>1015</v>
      </c>
      <c r="C11" s="1">
        <v>3232.585</v>
      </c>
      <c r="D11" s="19">
        <f t="shared" si="16"/>
        <v>1012.8601246744645</v>
      </c>
      <c r="E11" s="20">
        <f t="shared" si="0"/>
        <v>11.805999999999822</v>
      </c>
      <c r="F11" s="21">
        <f t="shared" si="7"/>
        <v>1012.8601246744645</v>
      </c>
      <c r="G11" s="22">
        <f t="shared" si="7"/>
        <v>11.805999999999822</v>
      </c>
      <c r="H11" s="17">
        <f t="shared" si="5"/>
        <v>15</v>
      </c>
      <c r="I11" s="17">
        <f t="shared" si="8"/>
        <v>3232.585</v>
      </c>
      <c r="J11" s="37">
        <f t="shared" si="9"/>
        <v>12.860124674464487</v>
      </c>
      <c r="K11" s="17">
        <f t="shared" si="10"/>
        <v>3232.585</v>
      </c>
      <c r="M11" s="17" t="s">
        <v>1050</v>
      </c>
      <c r="N11" s="18">
        <f t="shared" si="17"/>
        <v>1135</v>
      </c>
      <c r="O11" s="1">
        <v>3232.585</v>
      </c>
      <c r="P11" s="19">
        <f t="shared" si="18"/>
        <v>1132.8601246744645</v>
      </c>
      <c r="Q11" s="20">
        <f t="shared" si="3"/>
        <v>11.805999999999822</v>
      </c>
      <c r="R11" s="21">
        <f t="shared" si="11"/>
        <v>1132.8601246744645</v>
      </c>
      <c r="S11" s="22">
        <f t="shared" si="12"/>
        <v>11.805999999999822</v>
      </c>
      <c r="T11" s="17">
        <f t="shared" si="6"/>
        <v>135</v>
      </c>
      <c r="U11" s="17">
        <f t="shared" si="13"/>
        <v>3232.585</v>
      </c>
      <c r="V11" s="37">
        <f t="shared" si="14"/>
        <v>132.86012467446449</v>
      </c>
      <c r="W11" s="17">
        <v>3238.8589999999999</v>
      </c>
    </row>
    <row r="12" spans="1:23" x14ac:dyDescent="0.35">
      <c r="A12" s="17" t="s">
        <v>1051</v>
      </c>
      <c r="B12" s="18">
        <f t="shared" si="15"/>
        <v>1017.5</v>
      </c>
      <c r="C12" s="1">
        <v>3232.5079999999998</v>
      </c>
      <c r="D12" s="19">
        <f t="shared" si="16"/>
        <v>1015.3589385931067</v>
      </c>
      <c r="E12" s="20">
        <f t="shared" si="0"/>
        <v>11.883000000000047</v>
      </c>
      <c r="F12" s="21">
        <f t="shared" si="7"/>
        <v>1015.3589385931067</v>
      </c>
      <c r="G12" s="22">
        <f t="shared" si="7"/>
        <v>11.883000000000047</v>
      </c>
      <c r="H12" s="17">
        <f t="shared" si="5"/>
        <v>17.5</v>
      </c>
      <c r="I12" s="17">
        <f t="shared" si="8"/>
        <v>3232.5079999999998</v>
      </c>
      <c r="J12" s="37">
        <f t="shared" si="9"/>
        <v>15.3589385931067</v>
      </c>
      <c r="K12" s="17">
        <f t="shared" si="10"/>
        <v>3232.5079999999998</v>
      </c>
      <c r="M12" s="17" t="s">
        <v>1051</v>
      </c>
      <c r="N12" s="18">
        <f t="shared" si="17"/>
        <v>1137.5</v>
      </c>
      <c r="O12" s="1">
        <v>3232.5079999999998</v>
      </c>
      <c r="P12" s="19">
        <f t="shared" si="18"/>
        <v>1135.3589385931066</v>
      </c>
      <c r="Q12" s="20">
        <f t="shared" si="3"/>
        <v>11.883000000000047</v>
      </c>
      <c r="R12" s="21">
        <f t="shared" si="11"/>
        <v>1135.3589385931066</v>
      </c>
      <c r="S12" s="22">
        <f t="shared" si="12"/>
        <v>11.883000000000047</v>
      </c>
      <c r="T12" s="17">
        <f t="shared" si="6"/>
        <v>137.5</v>
      </c>
      <c r="U12" s="17">
        <f t="shared" si="13"/>
        <v>3232.5079999999998</v>
      </c>
      <c r="V12" s="37">
        <f t="shared" si="14"/>
        <v>135.35893859310659</v>
      </c>
      <c r="W12" s="17">
        <v>3237.75</v>
      </c>
    </row>
    <row r="13" spans="1:23" x14ac:dyDescent="0.35">
      <c r="A13" s="17" t="s">
        <v>1052</v>
      </c>
      <c r="B13" s="18">
        <f t="shared" si="15"/>
        <v>1020</v>
      </c>
      <c r="C13" s="1">
        <v>3233.3530000000001</v>
      </c>
      <c r="D13" s="19">
        <f t="shared" si="16"/>
        <v>1017.7118038676176</v>
      </c>
      <c r="E13" s="20">
        <f t="shared" si="0"/>
        <v>11.037999999999792</v>
      </c>
      <c r="F13" s="21">
        <f t="shared" si="7"/>
        <v>1017.7118038676176</v>
      </c>
      <c r="G13" s="22">
        <f t="shared" si="7"/>
        <v>11.037999999999792</v>
      </c>
      <c r="H13" s="17">
        <f t="shared" si="5"/>
        <v>20</v>
      </c>
      <c r="I13" s="17">
        <f t="shared" si="8"/>
        <v>3233.3530000000001</v>
      </c>
      <c r="J13" s="37">
        <f t="shared" si="9"/>
        <v>17.711803867617618</v>
      </c>
      <c r="K13" s="17">
        <f t="shared" si="10"/>
        <v>3233.3530000000001</v>
      </c>
      <c r="M13" s="17" t="s">
        <v>1052</v>
      </c>
      <c r="N13" s="18">
        <f t="shared" si="17"/>
        <v>1140</v>
      </c>
      <c r="O13" s="1">
        <v>3233.3530000000001</v>
      </c>
      <c r="P13" s="19">
        <f t="shared" si="18"/>
        <v>1137.7118038676176</v>
      </c>
      <c r="Q13" s="20">
        <f t="shared" si="3"/>
        <v>11.037999999999792</v>
      </c>
      <c r="R13" s="21">
        <f t="shared" si="11"/>
        <v>1137.7118038676176</v>
      </c>
      <c r="S13" s="22">
        <f t="shared" si="12"/>
        <v>11.037999999999792</v>
      </c>
      <c r="T13" s="17">
        <f t="shared" si="6"/>
        <v>140</v>
      </c>
      <c r="U13" s="17">
        <f t="shared" si="13"/>
        <v>3233.3530000000001</v>
      </c>
      <c r="V13" s="37">
        <f t="shared" si="14"/>
        <v>137.71180386761762</v>
      </c>
      <c r="W13" s="17">
        <v>3237.58</v>
      </c>
    </row>
    <row r="14" spans="1:23" x14ac:dyDescent="0.35">
      <c r="A14" s="17" t="s">
        <v>1053</v>
      </c>
      <c r="B14" s="18">
        <f t="shared" si="15"/>
        <v>1022.5</v>
      </c>
      <c r="C14" s="1">
        <v>3234.3449999999998</v>
      </c>
      <c r="D14" s="19">
        <f t="shared" si="16"/>
        <v>1020.0065666004509</v>
      </c>
      <c r="E14" s="20">
        <f t="shared" si="0"/>
        <v>10.046000000000058</v>
      </c>
      <c r="F14" s="21">
        <f t="shared" si="7"/>
        <v>1020.0065666004509</v>
      </c>
      <c r="G14" s="22">
        <f t="shared" si="7"/>
        <v>10.046000000000058</v>
      </c>
      <c r="H14" s="17">
        <f t="shared" si="5"/>
        <v>22.5</v>
      </c>
      <c r="I14" s="17">
        <f t="shared" si="8"/>
        <v>3234.3449999999998</v>
      </c>
      <c r="J14" s="37">
        <f t="shared" si="9"/>
        <v>20.006566600450924</v>
      </c>
      <c r="K14" s="17">
        <f t="shared" si="10"/>
        <v>3234.3449999999998</v>
      </c>
      <c r="M14" s="17" t="s">
        <v>1053</v>
      </c>
      <c r="N14" s="18">
        <f t="shared" si="17"/>
        <v>1142.5</v>
      </c>
      <c r="O14" s="1">
        <v>3234.3449999999998</v>
      </c>
      <c r="P14" s="19">
        <f t="shared" si="18"/>
        <v>1140.0065666004509</v>
      </c>
      <c r="Q14" s="20">
        <f t="shared" si="3"/>
        <v>10.046000000000058</v>
      </c>
      <c r="R14" s="21">
        <f t="shared" si="11"/>
        <v>1140.0065666004509</v>
      </c>
      <c r="S14" s="22">
        <f t="shared" si="12"/>
        <v>10.046000000000058</v>
      </c>
      <c r="T14" s="17">
        <f t="shared" si="6"/>
        <v>142.5</v>
      </c>
      <c r="U14" s="17">
        <f t="shared" si="13"/>
        <v>3234.3449999999998</v>
      </c>
      <c r="V14" s="37">
        <f t="shared" si="14"/>
        <v>140.00656660045092</v>
      </c>
      <c r="W14" s="17">
        <v>3237.5329999999999</v>
      </c>
    </row>
    <row r="15" spans="1:23" x14ac:dyDescent="0.35">
      <c r="A15" s="17" t="s">
        <v>1054</v>
      </c>
      <c r="B15" s="18">
        <f t="shared" si="15"/>
        <v>1025</v>
      </c>
      <c r="C15" s="1">
        <v>3234.74</v>
      </c>
      <c r="D15" s="19">
        <f t="shared" si="16"/>
        <v>1022.4751643805682</v>
      </c>
      <c r="E15" s="20">
        <f t="shared" si="0"/>
        <v>9.6510000000000762</v>
      </c>
      <c r="F15" s="21">
        <f t="shared" si="7"/>
        <v>1022.4751643805682</v>
      </c>
      <c r="G15" s="22">
        <f t="shared" si="7"/>
        <v>9.6510000000000762</v>
      </c>
      <c r="H15" s="17">
        <f t="shared" si="5"/>
        <v>25</v>
      </c>
      <c r="I15" s="17">
        <f t="shared" si="8"/>
        <v>3234.74</v>
      </c>
      <c r="J15" s="37">
        <f t="shared" si="9"/>
        <v>22.475164380568231</v>
      </c>
      <c r="K15" s="17">
        <f t="shared" si="10"/>
        <v>3234.74</v>
      </c>
      <c r="M15" s="17" t="s">
        <v>1054</v>
      </c>
      <c r="N15" s="18">
        <f t="shared" si="17"/>
        <v>1145</v>
      </c>
      <c r="O15" s="1">
        <v>3234.74</v>
      </c>
      <c r="P15" s="19">
        <f t="shared" si="18"/>
        <v>1142.4751643805682</v>
      </c>
      <c r="Q15" s="20">
        <f t="shared" si="3"/>
        <v>9.6510000000000762</v>
      </c>
      <c r="R15" s="21">
        <f t="shared" si="11"/>
        <v>1142.4751643805682</v>
      </c>
      <c r="S15" s="22">
        <f t="shared" si="12"/>
        <v>9.6510000000000762</v>
      </c>
      <c r="T15" s="17">
        <f t="shared" si="6"/>
        <v>145</v>
      </c>
      <c r="U15" s="17">
        <f t="shared" si="13"/>
        <v>3234.74</v>
      </c>
      <c r="V15" s="37">
        <f t="shared" si="14"/>
        <v>142.47516438056823</v>
      </c>
      <c r="W15" s="17">
        <v>3237.223</v>
      </c>
    </row>
    <row r="16" spans="1:23" x14ac:dyDescent="0.35">
      <c r="A16" s="17" t="s">
        <v>1055</v>
      </c>
      <c r="B16" s="18">
        <f t="shared" si="15"/>
        <v>1027.5</v>
      </c>
      <c r="C16" s="1">
        <v>3236.0059999999999</v>
      </c>
      <c r="D16" s="19">
        <f t="shared" si="16"/>
        <v>1024.6309111189398</v>
      </c>
      <c r="E16" s="20">
        <f t="shared" si="0"/>
        <v>8.3849999999999998</v>
      </c>
      <c r="F16" s="21">
        <f t="shared" si="7"/>
        <v>1024.6309111189398</v>
      </c>
      <c r="G16" s="22">
        <f t="shared" si="7"/>
        <v>8.3849999999999998</v>
      </c>
      <c r="H16" s="17">
        <f t="shared" si="5"/>
        <v>27.5</v>
      </c>
      <c r="I16" s="17">
        <f t="shared" si="8"/>
        <v>3236.0059999999999</v>
      </c>
      <c r="J16" s="37">
        <f t="shared" si="9"/>
        <v>24.630911118939821</v>
      </c>
      <c r="K16" s="17">
        <f t="shared" si="10"/>
        <v>3236.0059999999999</v>
      </c>
      <c r="M16" s="17" t="s">
        <v>1055</v>
      </c>
      <c r="N16" s="18">
        <f t="shared" si="17"/>
        <v>1147.5</v>
      </c>
      <c r="O16" s="1">
        <v>3236.0059999999999</v>
      </c>
      <c r="P16" s="19">
        <f t="shared" si="18"/>
        <v>1144.6309111189398</v>
      </c>
      <c r="Q16" s="20">
        <f t="shared" si="3"/>
        <v>8.3849999999999998</v>
      </c>
      <c r="R16" s="21">
        <f t="shared" si="11"/>
        <v>1144.6309111189398</v>
      </c>
      <c r="S16" s="22">
        <f t="shared" si="12"/>
        <v>8.3849999999999998</v>
      </c>
      <c r="T16" s="17">
        <f t="shared" si="6"/>
        <v>147.5</v>
      </c>
      <c r="U16" s="17">
        <f t="shared" si="13"/>
        <v>3236.0059999999999</v>
      </c>
      <c r="V16" s="37">
        <f t="shared" si="14"/>
        <v>144.63091111893982</v>
      </c>
      <c r="W16" s="17">
        <v>3236.1289999999999</v>
      </c>
    </row>
    <row r="17" spans="1:23" x14ac:dyDescent="0.35">
      <c r="A17" s="17" t="s">
        <v>1056</v>
      </c>
      <c r="B17" s="18">
        <f t="shared" si="15"/>
        <v>1030</v>
      </c>
      <c r="C17" s="1">
        <v>3236.1289999999999</v>
      </c>
      <c r="D17" s="19">
        <f t="shared" si="16"/>
        <v>1027.1278834856271</v>
      </c>
      <c r="E17" s="20">
        <f t="shared" si="0"/>
        <v>8.2619999999999525</v>
      </c>
      <c r="F17" s="21">
        <f t="shared" si="7"/>
        <v>1027.1278834856271</v>
      </c>
      <c r="G17" s="22">
        <f t="shared" si="7"/>
        <v>8.2619999999999525</v>
      </c>
      <c r="H17" s="17">
        <f t="shared" si="5"/>
        <v>30</v>
      </c>
      <c r="I17" s="17">
        <f t="shared" si="8"/>
        <v>3236.1289999999999</v>
      </c>
      <c r="J17" s="37">
        <f t="shared" si="9"/>
        <v>27.127883485627081</v>
      </c>
      <c r="K17" s="17">
        <f t="shared" si="10"/>
        <v>3236.1289999999999</v>
      </c>
      <c r="M17" s="17" t="s">
        <v>1056</v>
      </c>
      <c r="N17" s="18">
        <f t="shared" si="17"/>
        <v>1150</v>
      </c>
      <c r="O17" s="1">
        <v>3236.1289999999999</v>
      </c>
      <c r="P17" s="19">
        <f t="shared" si="18"/>
        <v>1147.1278834856271</v>
      </c>
      <c r="Q17" s="20">
        <f t="shared" si="3"/>
        <v>8.2619999999999525</v>
      </c>
      <c r="R17" s="21">
        <f t="shared" si="11"/>
        <v>1147.1278834856271</v>
      </c>
      <c r="S17" s="22">
        <f t="shared" si="12"/>
        <v>8.2619999999999525</v>
      </c>
      <c r="T17" s="17">
        <f t="shared" si="6"/>
        <v>150</v>
      </c>
      <c r="U17" s="17">
        <f t="shared" si="13"/>
        <v>3236.1289999999999</v>
      </c>
      <c r="V17" s="37">
        <f t="shared" si="14"/>
        <v>147.12788348562708</v>
      </c>
      <c r="W17" s="17">
        <v>3236.0059999999999</v>
      </c>
    </row>
    <row r="18" spans="1:23" x14ac:dyDescent="0.35">
      <c r="A18" s="17" t="s">
        <v>1057</v>
      </c>
      <c r="B18" s="18">
        <f t="shared" si="15"/>
        <v>1032.5</v>
      </c>
      <c r="C18" s="1">
        <v>3237.223</v>
      </c>
      <c r="D18" s="19">
        <f t="shared" si="16"/>
        <v>1029.3758078615792</v>
      </c>
      <c r="E18" s="20">
        <f t="shared" si="0"/>
        <v>7.1679999999999016</v>
      </c>
      <c r="F18" s="21">
        <f t="shared" si="7"/>
        <v>1029.3758078615792</v>
      </c>
      <c r="G18" s="22">
        <f t="shared" si="7"/>
        <v>7.1679999999999016</v>
      </c>
      <c r="H18" s="17">
        <f t="shared" si="5"/>
        <v>32.5</v>
      </c>
      <c r="I18" s="17">
        <f t="shared" si="8"/>
        <v>3237.223</v>
      </c>
      <c r="J18" s="37">
        <f t="shared" si="9"/>
        <v>29.375807861579233</v>
      </c>
      <c r="K18" s="17">
        <f t="shared" si="10"/>
        <v>3237.223</v>
      </c>
      <c r="M18" s="17" t="s">
        <v>1057</v>
      </c>
      <c r="N18" s="18">
        <f t="shared" si="17"/>
        <v>1152.5</v>
      </c>
      <c r="O18" s="1">
        <v>3237.223</v>
      </c>
      <c r="P18" s="19">
        <f t="shared" si="18"/>
        <v>1149.3758078615792</v>
      </c>
      <c r="Q18" s="20">
        <f t="shared" si="3"/>
        <v>7.1679999999999016</v>
      </c>
      <c r="R18" s="21">
        <f t="shared" si="11"/>
        <v>1149.3758078615792</v>
      </c>
      <c r="S18" s="22">
        <f t="shared" si="12"/>
        <v>7.1679999999999016</v>
      </c>
      <c r="T18" s="17">
        <f t="shared" si="6"/>
        <v>152.5</v>
      </c>
      <c r="U18" s="17">
        <f t="shared" si="13"/>
        <v>3237.223</v>
      </c>
      <c r="V18" s="37">
        <f t="shared" si="14"/>
        <v>149.37580786157923</v>
      </c>
      <c r="W18" s="17">
        <v>3234.74</v>
      </c>
    </row>
    <row r="19" spans="1:23" x14ac:dyDescent="0.35">
      <c r="A19" s="17" t="s">
        <v>1058</v>
      </c>
      <c r="B19" s="18">
        <f t="shared" si="15"/>
        <v>1035</v>
      </c>
      <c r="C19" s="1">
        <v>3237.5329999999999</v>
      </c>
      <c r="D19" s="19">
        <f t="shared" si="16"/>
        <v>1031.856513406379</v>
      </c>
      <c r="E19" s="20">
        <f t="shared" si="0"/>
        <v>6.8579999999999561</v>
      </c>
      <c r="F19" s="21">
        <f t="shared" si="7"/>
        <v>1031.856513406379</v>
      </c>
      <c r="G19" s="22">
        <f t="shared" si="7"/>
        <v>6.8579999999999561</v>
      </c>
      <c r="H19" s="17">
        <f t="shared" si="5"/>
        <v>35</v>
      </c>
      <c r="I19" s="17">
        <f t="shared" si="8"/>
        <v>3237.5329999999999</v>
      </c>
      <c r="J19" s="37">
        <f t="shared" si="9"/>
        <v>31.856513406379008</v>
      </c>
      <c r="K19" s="17">
        <f t="shared" si="10"/>
        <v>3237.5329999999999</v>
      </c>
      <c r="M19" s="17" t="s">
        <v>1058</v>
      </c>
      <c r="N19" s="18">
        <f t="shared" si="17"/>
        <v>1155</v>
      </c>
      <c r="O19" s="1">
        <v>3237.5329999999999</v>
      </c>
      <c r="P19" s="19">
        <f t="shared" si="18"/>
        <v>1151.856513406379</v>
      </c>
      <c r="Q19" s="20">
        <f t="shared" si="3"/>
        <v>6.8579999999999561</v>
      </c>
      <c r="R19" s="21">
        <f t="shared" si="11"/>
        <v>1151.856513406379</v>
      </c>
      <c r="S19" s="22">
        <f t="shared" si="12"/>
        <v>6.8579999999999561</v>
      </c>
      <c r="T19" s="17">
        <f t="shared" si="6"/>
        <v>155</v>
      </c>
      <c r="U19" s="17">
        <f t="shared" si="13"/>
        <v>3237.5329999999999</v>
      </c>
      <c r="V19" s="37">
        <f t="shared" si="14"/>
        <v>151.85651340637901</v>
      </c>
      <c r="W19" s="17">
        <v>3234.3449999999998</v>
      </c>
    </row>
    <row r="20" spans="1:23" x14ac:dyDescent="0.35">
      <c r="A20" s="17" t="s">
        <v>1059</v>
      </c>
      <c r="B20" s="18">
        <f t="shared" si="15"/>
        <v>1037.5</v>
      </c>
      <c r="C20" s="1">
        <v>3237.58</v>
      </c>
      <c r="D20" s="19">
        <f t="shared" si="16"/>
        <v>1034.3560715673348</v>
      </c>
      <c r="E20" s="20">
        <f t="shared" si="0"/>
        <v>6.8109999999999307</v>
      </c>
      <c r="F20" s="21">
        <f t="shared" si="7"/>
        <v>1034.3560715673348</v>
      </c>
      <c r="G20" s="22">
        <f t="shared" si="7"/>
        <v>6.8109999999999307</v>
      </c>
      <c r="H20" s="17">
        <f t="shared" si="5"/>
        <v>37.5</v>
      </c>
      <c r="I20" s="17">
        <f t="shared" si="8"/>
        <v>3237.58</v>
      </c>
      <c r="J20" s="37">
        <f t="shared" si="9"/>
        <v>34.356071567334766</v>
      </c>
      <c r="K20" s="17">
        <f t="shared" si="10"/>
        <v>3237.58</v>
      </c>
      <c r="M20" s="17" t="s">
        <v>1059</v>
      </c>
      <c r="N20" s="18">
        <f t="shared" si="17"/>
        <v>1157.5</v>
      </c>
      <c r="O20" s="1">
        <v>3237.58</v>
      </c>
      <c r="P20" s="19">
        <f t="shared" si="18"/>
        <v>1154.3560715673348</v>
      </c>
      <c r="Q20" s="20">
        <f t="shared" si="3"/>
        <v>6.8109999999999307</v>
      </c>
      <c r="R20" s="21">
        <f t="shared" si="11"/>
        <v>1154.3560715673348</v>
      </c>
      <c r="S20" s="22">
        <f t="shared" si="12"/>
        <v>6.8109999999999307</v>
      </c>
      <c r="T20" s="17">
        <f t="shared" si="6"/>
        <v>157.5</v>
      </c>
      <c r="U20" s="17">
        <f t="shared" si="13"/>
        <v>3237.58</v>
      </c>
      <c r="V20" s="37">
        <f t="shared" si="14"/>
        <v>154.35607156733477</v>
      </c>
      <c r="W20" s="17">
        <v>3233.3530000000001</v>
      </c>
    </row>
    <row r="21" spans="1:23" x14ac:dyDescent="0.35">
      <c r="A21" s="17" t="s">
        <v>1060</v>
      </c>
      <c r="B21" s="18">
        <f t="shared" si="15"/>
        <v>1040</v>
      </c>
      <c r="C21" s="1">
        <v>3237.75</v>
      </c>
      <c r="D21" s="19">
        <f t="shared" si="16"/>
        <v>1036.8502848701619</v>
      </c>
      <c r="E21" s="20">
        <f t="shared" si="0"/>
        <v>6.6409999999998579</v>
      </c>
      <c r="F21" s="21">
        <f t="shared" si="7"/>
        <v>1036.8502848701619</v>
      </c>
      <c r="G21" s="22">
        <f t="shared" si="7"/>
        <v>6.6409999999998579</v>
      </c>
      <c r="H21" s="17">
        <f t="shared" si="5"/>
        <v>40</v>
      </c>
      <c r="I21" s="17">
        <f t="shared" si="8"/>
        <v>3237.75</v>
      </c>
      <c r="J21" s="37">
        <f t="shared" si="9"/>
        <v>36.850284870161886</v>
      </c>
      <c r="K21" s="17">
        <f t="shared" si="10"/>
        <v>3237.75</v>
      </c>
      <c r="M21" s="17" t="s">
        <v>1060</v>
      </c>
      <c r="N21" s="18">
        <f t="shared" si="17"/>
        <v>1160</v>
      </c>
      <c r="O21" s="1">
        <v>3237.75</v>
      </c>
      <c r="P21" s="19">
        <f t="shared" si="18"/>
        <v>1156.8502848701619</v>
      </c>
      <c r="Q21" s="20">
        <f t="shared" si="3"/>
        <v>6.6409999999998579</v>
      </c>
      <c r="R21" s="21">
        <f t="shared" si="11"/>
        <v>1156.8502848701619</v>
      </c>
      <c r="S21" s="22">
        <f t="shared" si="12"/>
        <v>6.6409999999998579</v>
      </c>
      <c r="T21" s="17">
        <f t="shared" si="6"/>
        <v>160</v>
      </c>
      <c r="U21" s="17">
        <f t="shared" si="13"/>
        <v>3237.75</v>
      </c>
      <c r="V21" s="37">
        <f t="shared" si="14"/>
        <v>156.85028487016189</v>
      </c>
      <c r="W21" s="17">
        <v>3232.5079999999998</v>
      </c>
    </row>
    <row r="22" spans="1:23" x14ac:dyDescent="0.35">
      <c r="A22" s="17" t="s">
        <v>1061</v>
      </c>
      <c r="B22" s="18">
        <f t="shared" si="15"/>
        <v>1042.5</v>
      </c>
      <c r="C22" s="1">
        <v>3238.8589999999999</v>
      </c>
      <c r="D22" s="19">
        <f t="shared" si="16"/>
        <v>1039.090847076395</v>
      </c>
      <c r="E22" s="20">
        <f t="shared" si="0"/>
        <v>5.5319999999999343</v>
      </c>
      <c r="F22" s="21">
        <f t="shared" si="7"/>
        <v>1039.090847076395</v>
      </c>
      <c r="G22" s="22">
        <f t="shared" si="7"/>
        <v>5.5319999999999343</v>
      </c>
      <c r="H22" s="17">
        <f t="shared" si="5"/>
        <v>42.5</v>
      </c>
      <c r="I22" s="17">
        <f t="shared" si="8"/>
        <v>3238.8589999999999</v>
      </c>
      <c r="J22" s="37">
        <f t="shared" si="9"/>
        <v>39.090847076394994</v>
      </c>
      <c r="K22" s="17">
        <f t="shared" si="10"/>
        <v>3238.8589999999999</v>
      </c>
      <c r="M22" s="17" t="s">
        <v>1061</v>
      </c>
      <c r="N22" s="18">
        <f t="shared" si="17"/>
        <v>1162.5</v>
      </c>
      <c r="O22" s="1">
        <v>3238.8589999999999</v>
      </c>
      <c r="P22" s="19">
        <f t="shared" si="18"/>
        <v>1159.090847076395</v>
      </c>
      <c r="Q22" s="20">
        <f t="shared" si="3"/>
        <v>5.5319999999999343</v>
      </c>
      <c r="R22" s="21">
        <f t="shared" si="11"/>
        <v>1159.090847076395</v>
      </c>
      <c r="S22" s="22">
        <f t="shared" si="12"/>
        <v>5.5319999999999343</v>
      </c>
      <c r="T22" s="17">
        <f t="shared" si="6"/>
        <v>162.5</v>
      </c>
      <c r="U22" s="17">
        <f t="shared" si="13"/>
        <v>3238.8589999999999</v>
      </c>
      <c r="V22" s="37">
        <f t="shared" si="14"/>
        <v>159.09084707639499</v>
      </c>
      <c r="W22" s="17">
        <v>3232.585</v>
      </c>
    </row>
    <row r="23" spans="1:23" x14ac:dyDescent="0.35">
      <c r="A23" s="17" t="s">
        <v>1062</v>
      </c>
      <c r="B23" s="18">
        <f t="shared" si="15"/>
        <v>1045</v>
      </c>
      <c r="C23" s="1">
        <v>3239.1</v>
      </c>
      <c r="D23" s="19">
        <f t="shared" si="16"/>
        <v>1041.5792037630458</v>
      </c>
      <c r="E23" s="20">
        <f t="shared" si="0"/>
        <v>5.2909999999999489</v>
      </c>
      <c r="F23" s="21">
        <f t="shared" si="7"/>
        <v>1041.5792037630458</v>
      </c>
      <c r="G23" s="22">
        <f t="shared" si="7"/>
        <v>5.2909999999999489</v>
      </c>
      <c r="H23" s="17">
        <f t="shared" si="5"/>
        <v>45</v>
      </c>
      <c r="I23" s="17">
        <f t="shared" si="8"/>
        <v>3239.1</v>
      </c>
      <c r="J23" s="37">
        <f t="shared" si="9"/>
        <v>41.579203763045825</v>
      </c>
      <c r="K23" s="17">
        <f t="shared" si="10"/>
        <v>3239.1</v>
      </c>
      <c r="M23" s="17" t="s">
        <v>1062</v>
      </c>
      <c r="N23" s="18">
        <f t="shared" si="17"/>
        <v>1165</v>
      </c>
      <c r="O23" s="1">
        <v>3239.1</v>
      </c>
      <c r="P23" s="19">
        <f t="shared" si="18"/>
        <v>1161.5792037630458</v>
      </c>
      <c r="Q23" s="20">
        <f t="shared" si="3"/>
        <v>5.2909999999999489</v>
      </c>
      <c r="R23" s="21">
        <f t="shared" si="11"/>
        <v>1161.5792037630458</v>
      </c>
      <c r="S23" s="22">
        <f t="shared" si="12"/>
        <v>5.2909999999999489</v>
      </c>
      <c r="T23" s="17">
        <f t="shared" si="6"/>
        <v>165</v>
      </c>
      <c r="U23" s="17">
        <f t="shared" si="13"/>
        <v>3239.1</v>
      </c>
      <c r="V23" s="37">
        <f t="shared" si="14"/>
        <v>161.57920376304583</v>
      </c>
      <c r="W23" s="17">
        <v>3230.4169999999999</v>
      </c>
    </row>
    <row r="24" spans="1:23" x14ac:dyDescent="0.35">
      <c r="A24" s="17" t="s">
        <v>1063</v>
      </c>
      <c r="B24" s="18">
        <f t="shared" si="15"/>
        <v>1047.5</v>
      </c>
      <c r="C24" s="1">
        <v>3239.6660000000002</v>
      </c>
      <c r="D24" s="19">
        <f t="shared" si="16"/>
        <v>1044.0142897984867</v>
      </c>
      <c r="E24" s="20">
        <f t="shared" si="0"/>
        <v>4.7249999999996906</v>
      </c>
      <c r="F24" s="21">
        <f t="shared" si="7"/>
        <v>1044.0142897984867</v>
      </c>
      <c r="G24" s="22">
        <f t="shared" si="7"/>
        <v>4.7249999999996906</v>
      </c>
      <c r="H24" s="17">
        <f t="shared" si="5"/>
        <v>47.5</v>
      </c>
      <c r="I24" s="17">
        <f t="shared" si="8"/>
        <v>3239.6660000000002</v>
      </c>
      <c r="J24" s="37">
        <f t="shared" si="9"/>
        <v>44.014289798486743</v>
      </c>
      <c r="K24" s="17">
        <f t="shared" si="10"/>
        <v>3239.6660000000002</v>
      </c>
      <c r="M24" s="17" t="s">
        <v>1063</v>
      </c>
      <c r="N24" s="18">
        <f t="shared" si="17"/>
        <v>1167.5</v>
      </c>
      <c r="O24" s="1">
        <v>3239.6660000000002</v>
      </c>
      <c r="P24" s="19">
        <f t="shared" si="18"/>
        <v>1164.0142897984867</v>
      </c>
      <c r="Q24" s="20">
        <f t="shared" si="3"/>
        <v>4.7249999999996906</v>
      </c>
      <c r="R24" s="21">
        <f t="shared" si="11"/>
        <v>1164.0142897984867</v>
      </c>
      <c r="S24" s="22">
        <f t="shared" si="12"/>
        <v>4.7249999999996906</v>
      </c>
      <c r="T24" s="17">
        <f t="shared" si="6"/>
        <v>167.5</v>
      </c>
      <c r="U24" s="17">
        <f t="shared" si="13"/>
        <v>3239.6660000000002</v>
      </c>
      <c r="V24" s="37">
        <f t="shared" si="14"/>
        <v>164.01428979848674</v>
      </c>
      <c r="W24" s="17">
        <v>3229.83</v>
      </c>
    </row>
    <row r="25" spans="1:23" x14ac:dyDescent="0.35">
      <c r="A25" s="17" t="s">
        <v>1064</v>
      </c>
      <c r="B25" s="18">
        <f t="shared" si="15"/>
        <v>1050</v>
      </c>
      <c r="C25" s="1">
        <v>3239.598</v>
      </c>
      <c r="D25" s="19">
        <f t="shared" si="16"/>
        <v>1046.5133648273725</v>
      </c>
      <c r="E25" s="20">
        <f t="shared" si="0"/>
        <v>4.7929999999999016</v>
      </c>
      <c r="F25" s="21">
        <f t="shared" si="7"/>
        <v>1046.5133648273725</v>
      </c>
      <c r="G25" s="22">
        <f t="shared" si="7"/>
        <v>4.7929999999999016</v>
      </c>
      <c r="H25" s="17">
        <f t="shared" si="5"/>
        <v>50</v>
      </c>
      <c r="I25" s="17">
        <f t="shared" si="8"/>
        <v>3239.598</v>
      </c>
      <c r="J25" s="37">
        <f t="shared" si="9"/>
        <v>46.51336482737247</v>
      </c>
      <c r="K25" s="17">
        <f t="shared" si="10"/>
        <v>3239.598</v>
      </c>
      <c r="M25" s="17" t="s">
        <v>1064</v>
      </c>
      <c r="N25" s="18">
        <f t="shared" si="17"/>
        <v>1170</v>
      </c>
      <c r="O25" s="1">
        <v>3239.598</v>
      </c>
      <c r="P25" s="19">
        <f t="shared" si="18"/>
        <v>1166.5133648273725</v>
      </c>
      <c r="Q25" s="20">
        <f t="shared" si="3"/>
        <v>4.7929999999999016</v>
      </c>
      <c r="R25" s="21">
        <f t="shared" si="11"/>
        <v>1166.5133648273725</v>
      </c>
      <c r="S25" s="22">
        <f t="shared" si="12"/>
        <v>4.7929999999999016</v>
      </c>
      <c r="T25" s="17">
        <f t="shared" si="6"/>
        <v>170</v>
      </c>
      <c r="U25" s="17">
        <f t="shared" si="13"/>
        <v>3239.598</v>
      </c>
      <c r="V25" s="37">
        <f t="shared" si="14"/>
        <v>166.51336482737247</v>
      </c>
      <c r="W25" s="17">
        <v>3231.0880000000002</v>
      </c>
    </row>
    <row r="26" spans="1:23" x14ac:dyDescent="0.35">
      <c r="A26" s="17" t="s">
        <v>1065</v>
      </c>
      <c r="B26" s="18">
        <f t="shared" si="15"/>
        <v>1052.5</v>
      </c>
      <c r="C26" s="1">
        <v>3241.326</v>
      </c>
      <c r="D26" s="19">
        <f t="shared" si="16"/>
        <v>1048.3200236219432</v>
      </c>
      <c r="E26" s="20">
        <f t="shared" si="0"/>
        <v>3.0649999999998361</v>
      </c>
      <c r="F26" s="21">
        <f t="shared" si="7"/>
        <v>1048.3200236219432</v>
      </c>
      <c r="G26" s="22">
        <f t="shared" si="7"/>
        <v>3.0649999999998361</v>
      </c>
      <c r="H26" s="17">
        <f t="shared" si="5"/>
        <v>52.5</v>
      </c>
      <c r="I26" s="17">
        <f t="shared" si="8"/>
        <v>3241.326</v>
      </c>
      <c r="J26" s="37">
        <f t="shared" si="9"/>
        <v>48.320023621943164</v>
      </c>
      <c r="K26" s="17">
        <f t="shared" si="10"/>
        <v>3241.326</v>
      </c>
      <c r="M26" s="17" t="s">
        <v>1065</v>
      </c>
      <c r="N26" s="18">
        <f t="shared" si="17"/>
        <v>1172.5</v>
      </c>
      <c r="O26" s="1">
        <v>3241.326</v>
      </c>
      <c r="P26" s="19">
        <f t="shared" si="18"/>
        <v>1168.3200236219432</v>
      </c>
      <c r="Q26" s="20">
        <f t="shared" si="3"/>
        <v>3.0649999999998361</v>
      </c>
      <c r="R26" s="21">
        <f t="shared" si="11"/>
        <v>1168.3200236219432</v>
      </c>
      <c r="S26" s="22">
        <f t="shared" si="12"/>
        <v>3.0649999999998361</v>
      </c>
      <c r="T26" s="17">
        <f t="shared" si="6"/>
        <v>172.5</v>
      </c>
      <c r="U26" s="17">
        <f t="shared" si="13"/>
        <v>3241.326</v>
      </c>
      <c r="V26" s="37">
        <f t="shared" si="14"/>
        <v>168.32002362194316</v>
      </c>
      <c r="W26" s="17">
        <v>3230.2669999999998</v>
      </c>
    </row>
    <row r="27" spans="1:23" x14ac:dyDescent="0.35">
      <c r="A27" s="17" t="s">
        <v>1066</v>
      </c>
      <c r="B27" s="18">
        <f t="shared" si="15"/>
        <v>1055</v>
      </c>
      <c r="C27" s="1">
        <v>3243.0120000000002</v>
      </c>
      <c r="D27" s="19">
        <f t="shared" si="16"/>
        <v>1050.1659391129665</v>
      </c>
      <c r="E27" s="20">
        <f t="shared" si="0"/>
        <v>1.3789999999996871</v>
      </c>
      <c r="F27" s="21">
        <f t="shared" si="7"/>
        <v>1050.1659391129665</v>
      </c>
      <c r="G27" s="22">
        <f t="shared" si="7"/>
        <v>1.3789999999996871</v>
      </c>
      <c r="H27" s="17">
        <f t="shared" si="5"/>
        <v>55</v>
      </c>
      <c r="I27" s="17">
        <f t="shared" si="8"/>
        <v>3243.0120000000002</v>
      </c>
      <c r="J27" s="37">
        <f t="shared" si="9"/>
        <v>50.165939112966498</v>
      </c>
      <c r="K27" s="17">
        <f t="shared" si="10"/>
        <v>3243.0120000000002</v>
      </c>
      <c r="M27" s="17" t="s">
        <v>1066</v>
      </c>
      <c r="N27" s="18">
        <f t="shared" si="17"/>
        <v>1175</v>
      </c>
      <c r="O27" s="1">
        <v>3243.0120000000002</v>
      </c>
      <c r="P27" s="19">
        <f t="shared" si="18"/>
        <v>1170.1659391129665</v>
      </c>
      <c r="Q27" s="20">
        <f t="shared" si="3"/>
        <v>1.3789999999996871</v>
      </c>
      <c r="R27" s="21">
        <f t="shared" si="11"/>
        <v>1170.1659391129665</v>
      </c>
      <c r="S27" s="22">
        <f t="shared" si="12"/>
        <v>1.3789999999996871</v>
      </c>
      <c r="T27" s="17">
        <f t="shared" si="6"/>
        <v>175</v>
      </c>
      <c r="U27" s="17">
        <f t="shared" si="13"/>
        <v>3243.0120000000002</v>
      </c>
      <c r="V27" s="37">
        <f t="shared" si="14"/>
        <v>170.1659391129665</v>
      </c>
      <c r="W27" s="17">
        <v>3229.7979999999998</v>
      </c>
    </row>
    <row r="28" spans="1:23" x14ac:dyDescent="0.35">
      <c r="A28" s="17" t="s">
        <v>1067</v>
      </c>
      <c r="B28" s="18">
        <f t="shared" si="15"/>
        <v>1057.5</v>
      </c>
      <c r="C28" s="1">
        <v>3244.3809999999999</v>
      </c>
      <c r="D28" s="19">
        <f t="shared" si="16"/>
        <v>1052.257789729048</v>
      </c>
      <c r="E28" s="20">
        <f t="shared" si="0"/>
        <v>0.01</v>
      </c>
      <c r="F28" s="21">
        <f t="shared" si="7"/>
        <v>1052.257789729048</v>
      </c>
      <c r="G28" s="22">
        <f t="shared" si="7"/>
        <v>0.01</v>
      </c>
      <c r="H28" s="17">
        <f t="shared" si="5"/>
        <v>57.5</v>
      </c>
      <c r="I28" s="17">
        <f t="shared" si="8"/>
        <v>3244.3809999999999</v>
      </c>
      <c r="J28" s="37">
        <f t="shared" si="9"/>
        <v>52.257789729048</v>
      </c>
      <c r="K28" s="17">
        <f t="shared" si="10"/>
        <v>3244.3809999999999</v>
      </c>
      <c r="M28" s="17" t="s">
        <v>1067</v>
      </c>
      <c r="N28" s="18">
        <f t="shared" si="17"/>
        <v>1177.5</v>
      </c>
      <c r="O28" s="1">
        <v>3244.3809999999999</v>
      </c>
      <c r="P28" s="19">
        <f t="shared" si="18"/>
        <v>1172.257789729048</v>
      </c>
      <c r="Q28" s="20">
        <f t="shared" si="3"/>
        <v>0.01</v>
      </c>
      <c r="R28" s="21">
        <f t="shared" si="11"/>
        <v>1172.257789729048</v>
      </c>
      <c r="S28" s="22">
        <f t="shared" si="12"/>
        <v>0.01</v>
      </c>
      <c r="T28" s="17">
        <f t="shared" si="6"/>
        <v>177.5</v>
      </c>
      <c r="U28" s="17">
        <f t="shared" si="13"/>
        <v>3244.3809999999999</v>
      </c>
      <c r="V28" s="37">
        <f t="shared" si="14"/>
        <v>172.257789729048</v>
      </c>
      <c r="W28" s="17">
        <v>3228.625</v>
      </c>
    </row>
    <row r="29" spans="1:23" x14ac:dyDescent="0.35">
      <c r="A29" s="13" t="s">
        <v>1070</v>
      </c>
      <c r="B29" s="14">
        <v>1160</v>
      </c>
      <c r="C29" s="1">
        <f>C28-0.5</f>
        <v>3243.8809999999999</v>
      </c>
      <c r="D29" s="34">
        <f t="shared" si="16"/>
        <v>1154.7565702095981</v>
      </c>
      <c r="E29" s="35">
        <f t="shared" si="0"/>
        <v>0.51</v>
      </c>
      <c r="F29" s="17"/>
      <c r="G29" s="17"/>
      <c r="H29" s="17">
        <v>60</v>
      </c>
      <c r="I29" s="17">
        <f t="shared" si="8"/>
        <v>3243.8809999999999</v>
      </c>
      <c r="J29" s="37">
        <f>H29</f>
        <v>60</v>
      </c>
      <c r="K29" s="17">
        <f>U29</f>
        <v>3243.8809999999999</v>
      </c>
      <c r="M29" s="13" t="s">
        <v>1070</v>
      </c>
      <c r="N29" s="14">
        <v>1160</v>
      </c>
      <c r="O29" s="1">
        <f>O28-0.5</f>
        <v>3243.8809999999999</v>
      </c>
      <c r="P29" s="34">
        <f t="shared" si="18"/>
        <v>1189.7506454135839</v>
      </c>
      <c r="Q29" s="35">
        <f t="shared" si="3"/>
        <v>0.51</v>
      </c>
      <c r="R29" s="17"/>
      <c r="S29" s="17"/>
      <c r="T29" s="17">
        <f>T28+2.5</f>
        <v>180</v>
      </c>
      <c r="U29" s="17">
        <f t="shared" si="13"/>
        <v>3243.8809999999999</v>
      </c>
      <c r="V29" s="37">
        <f>T29</f>
        <v>180</v>
      </c>
      <c r="W29" s="1">
        <v>3228.125</v>
      </c>
    </row>
    <row r="30" spans="1:23" x14ac:dyDescent="0.35">
      <c r="A30" s="13" t="s">
        <v>1071</v>
      </c>
      <c r="B30" s="24">
        <v>1065</v>
      </c>
      <c r="C30" s="1">
        <f>C29-0.5</f>
        <v>3243.3809999999999</v>
      </c>
      <c r="H30" s="17">
        <f t="shared" si="5"/>
        <v>65</v>
      </c>
      <c r="I30" s="17">
        <f t="shared" si="8"/>
        <v>3243.3809999999999</v>
      </c>
      <c r="J30" s="37">
        <f>H30</f>
        <v>65</v>
      </c>
      <c r="K30" s="17">
        <f>U30</f>
        <v>3243.3809999999999</v>
      </c>
      <c r="M30" s="13" t="s">
        <v>1071</v>
      </c>
      <c r="N30" s="24">
        <v>1065</v>
      </c>
      <c r="O30" s="1">
        <f>O29-0.5</f>
        <v>3243.3809999999999</v>
      </c>
      <c r="T30" s="17">
        <f>T28+7.5</f>
        <v>185</v>
      </c>
      <c r="U30" s="17">
        <f t="shared" si="13"/>
        <v>3243.3809999999999</v>
      </c>
      <c r="V30" s="37">
        <f>T30</f>
        <v>185</v>
      </c>
      <c r="W30" s="1">
        <v>3227.625</v>
      </c>
    </row>
    <row r="32" spans="1:23" x14ac:dyDescent="0.35">
      <c r="A32" t="s">
        <v>1069</v>
      </c>
      <c r="B32">
        <v>2.5</v>
      </c>
      <c r="M32" t="s">
        <v>1069</v>
      </c>
      <c r="N32">
        <v>2.5</v>
      </c>
    </row>
    <row r="34" spans="1:15" x14ac:dyDescent="0.35">
      <c r="A34" t="s">
        <v>1091</v>
      </c>
    </row>
    <row r="36" spans="1:15" x14ac:dyDescent="0.35">
      <c r="A36" s="9" t="s">
        <v>0</v>
      </c>
      <c r="B36" s="10" t="s">
        <v>989</v>
      </c>
      <c r="C36" s="10" t="s">
        <v>990</v>
      </c>
      <c r="D36" s="45" t="s">
        <v>1040</v>
      </c>
      <c r="E36" s="45"/>
      <c r="F36" s="46" t="s">
        <v>1041</v>
      </c>
      <c r="G36" s="46"/>
      <c r="H36" s="44" t="s">
        <v>1042</v>
      </c>
      <c r="I36" s="44"/>
      <c r="J36" t="s">
        <v>1089</v>
      </c>
    </row>
    <row r="37" spans="1:15" x14ac:dyDescent="0.35">
      <c r="A37" s="9"/>
      <c r="B37" s="10"/>
      <c r="C37" s="10"/>
      <c r="D37" s="11"/>
      <c r="E37" s="11"/>
      <c r="F37" s="12"/>
      <c r="G37" s="12"/>
      <c r="H37" s="9"/>
      <c r="I37" s="9"/>
    </row>
    <row r="38" spans="1:15" x14ac:dyDescent="0.35">
      <c r="A38" s="17" t="s">
        <v>1039</v>
      </c>
      <c r="B38" s="18">
        <v>1000</v>
      </c>
      <c r="C38" s="1">
        <v>3220.8310000000001</v>
      </c>
      <c r="D38" s="19">
        <f>B38</f>
        <v>1000</v>
      </c>
      <c r="E38" s="20">
        <f t="shared" ref="E38:E59" si="19">ABS(C38-MAX(C:C))+0.01</f>
        <v>23.559999999999729</v>
      </c>
      <c r="F38" s="21">
        <f>D38</f>
        <v>1000</v>
      </c>
      <c r="G38" s="22">
        <f>E38</f>
        <v>23.559999999999729</v>
      </c>
      <c r="H38" s="17">
        <f t="shared" ref="H38:H85" si="20">B38-1000</f>
        <v>0</v>
      </c>
      <c r="I38" s="17">
        <f>C38</f>
        <v>3220.8310000000001</v>
      </c>
      <c r="J38" s="37">
        <f>D38-1000</f>
        <v>0</v>
      </c>
      <c r="K38" s="17">
        <f>I38</f>
        <v>3220.8310000000001</v>
      </c>
      <c r="N38">
        <v>3244.3809999999999</v>
      </c>
      <c r="O38">
        <v>48</v>
      </c>
    </row>
    <row r="39" spans="1:15" x14ac:dyDescent="0.35">
      <c r="A39" s="17" t="s">
        <v>1038</v>
      </c>
      <c r="B39" s="18">
        <v>1005</v>
      </c>
      <c r="C39" s="1">
        <v>3220.64</v>
      </c>
      <c r="D39" s="19">
        <f>D38+(SQRT((B39-B38)^2-(E39-E38)^2))</f>
        <v>1004.9963505681648</v>
      </c>
      <c r="E39" s="20">
        <f t="shared" si="19"/>
        <v>23.750999999999987</v>
      </c>
      <c r="F39" s="21">
        <f t="shared" ref="F39:F85" si="21">D39</f>
        <v>1004.9963505681648</v>
      </c>
      <c r="G39" s="22">
        <f t="shared" ref="G39:G85" si="22">E39</f>
        <v>23.750999999999987</v>
      </c>
      <c r="H39" s="17">
        <f t="shared" si="20"/>
        <v>5</v>
      </c>
      <c r="I39" s="17">
        <f t="shared" ref="I39:I85" si="23">C39</f>
        <v>3220.64</v>
      </c>
      <c r="J39" s="37">
        <f t="shared" ref="J39:J85" si="24">D39-1000</f>
        <v>4.9963505681647575</v>
      </c>
      <c r="K39" s="17">
        <f t="shared" ref="K39:K85" si="25">I39</f>
        <v>3220.64</v>
      </c>
      <c r="N39">
        <v>3220.8310000000001</v>
      </c>
      <c r="O39">
        <v>1</v>
      </c>
    </row>
    <row r="40" spans="1:15" x14ac:dyDescent="0.35">
      <c r="A40" s="17" t="s">
        <v>1037</v>
      </c>
      <c r="B40" s="18">
        <v>1010</v>
      </c>
      <c r="C40" s="1">
        <v>3220.57</v>
      </c>
      <c r="D40" s="19">
        <f t="shared" ref="D40:D85" si="26">D39+(SQRT((B40-B39)^2-(E40-E39)^2))</f>
        <v>1009.9958605441524</v>
      </c>
      <c r="E40" s="20">
        <f t="shared" si="19"/>
        <v>23.820999999999696</v>
      </c>
      <c r="F40" s="21">
        <f t="shared" si="21"/>
        <v>1009.9958605441524</v>
      </c>
      <c r="G40" s="22">
        <f t="shared" si="22"/>
        <v>23.820999999999696</v>
      </c>
      <c r="H40" s="17">
        <f t="shared" si="20"/>
        <v>10</v>
      </c>
      <c r="I40" s="17">
        <f t="shared" si="23"/>
        <v>3220.57</v>
      </c>
      <c r="J40" s="37">
        <f t="shared" si="24"/>
        <v>9.9958605441523787</v>
      </c>
      <c r="K40" s="17">
        <f t="shared" si="25"/>
        <v>3220.57</v>
      </c>
      <c r="N40">
        <v>3220.64</v>
      </c>
      <c r="O40">
        <v>2</v>
      </c>
    </row>
    <row r="41" spans="1:15" x14ac:dyDescent="0.35">
      <c r="A41" s="17" t="s">
        <v>1036</v>
      </c>
      <c r="B41" s="18">
        <v>1015</v>
      </c>
      <c r="C41" s="1">
        <v>3221.4549999999999</v>
      </c>
      <c r="D41" s="19">
        <f t="shared" si="26"/>
        <v>1014.9169148011181</v>
      </c>
      <c r="E41" s="20">
        <f t="shared" si="19"/>
        <v>22.935999999999932</v>
      </c>
      <c r="F41" s="21">
        <f t="shared" si="21"/>
        <v>1014.9169148011181</v>
      </c>
      <c r="G41" s="22">
        <f t="shared" si="22"/>
        <v>22.935999999999932</v>
      </c>
      <c r="H41" s="17">
        <f t="shared" si="20"/>
        <v>15</v>
      </c>
      <c r="I41" s="17">
        <f t="shared" si="23"/>
        <v>3221.4549999999999</v>
      </c>
      <c r="J41" s="37">
        <f t="shared" si="24"/>
        <v>14.916914801118082</v>
      </c>
      <c r="K41" s="17">
        <f t="shared" si="25"/>
        <v>3221.4549999999999</v>
      </c>
      <c r="N41">
        <v>3220.57</v>
      </c>
      <c r="O41">
        <v>3</v>
      </c>
    </row>
    <row r="42" spans="1:15" x14ac:dyDescent="0.35">
      <c r="A42" s="17" t="s">
        <v>1035</v>
      </c>
      <c r="B42" s="18">
        <v>1020</v>
      </c>
      <c r="C42" s="1">
        <v>3221.27</v>
      </c>
      <c r="D42" s="19">
        <f t="shared" si="26"/>
        <v>1019.913491128965</v>
      </c>
      <c r="E42" s="20">
        <f t="shared" si="19"/>
        <v>23.120999999999878</v>
      </c>
      <c r="F42" s="21">
        <f t="shared" si="21"/>
        <v>1019.913491128965</v>
      </c>
      <c r="G42" s="22">
        <f t="shared" si="22"/>
        <v>23.120999999999878</v>
      </c>
      <c r="H42" s="17">
        <f t="shared" si="20"/>
        <v>20</v>
      </c>
      <c r="I42" s="17">
        <f t="shared" si="23"/>
        <v>3221.27</v>
      </c>
      <c r="J42" s="37">
        <f t="shared" si="24"/>
        <v>19.913491128965006</v>
      </c>
      <c r="K42" s="17">
        <f t="shared" si="25"/>
        <v>3221.27</v>
      </c>
      <c r="N42">
        <v>3221.4549999999999</v>
      </c>
      <c r="O42">
        <v>4</v>
      </c>
    </row>
    <row r="43" spans="1:15" x14ac:dyDescent="0.35">
      <c r="A43" s="17" t="s">
        <v>1034</v>
      </c>
      <c r="B43" s="18">
        <v>1025</v>
      </c>
      <c r="C43" s="1">
        <v>3221.5349999999999</v>
      </c>
      <c r="D43" s="19">
        <f t="shared" si="26"/>
        <v>1024.9064636904759</v>
      </c>
      <c r="E43" s="20">
        <f t="shared" si="19"/>
        <v>22.856000000000005</v>
      </c>
      <c r="F43" s="21">
        <f t="shared" si="21"/>
        <v>1024.9064636904759</v>
      </c>
      <c r="G43" s="22">
        <f t="shared" si="22"/>
        <v>22.856000000000005</v>
      </c>
      <c r="H43" s="17">
        <f t="shared" si="20"/>
        <v>25</v>
      </c>
      <c r="I43" s="17">
        <f t="shared" si="23"/>
        <v>3221.5349999999999</v>
      </c>
      <c r="J43" s="37">
        <f t="shared" si="24"/>
        <v>24.906463690475903</v>
      </c>
      <c r="K43" s="17">
        <f t="shared" si="25"/>
        <v>3221.5349999999999</v>
      </c>
      <c r="N43">
        <v>3221.27</v>
      </c>
      <c r="O43">
        <v>5</v>
      </c>
    </row>
    <row r="44" spans="1:15" x14ac:dyDescent="0.35">
      <c r="A44" s="17" t="s">
        <v>1033</v>
      </c>
      <c r="B44" s="18">
        <v>1030</v>
      </c>
      <c r="C44" s="1">
        <v>3222.1109999999999</v>
      </c>
      <c r="D44" s="19">
        <f t="shared" si="26"/>
        <v>1029.8731752786396</v>
      </c>
      <c r="E44" s="20">
        <f t="shared" si="19"/>
        <v>22.279999999999983</v>
      </c>
      <c r="F44" s="21">
        <f t="shared" si="21"/>
        <v>1029.8731752786396</v>
      </c>
      <c r="G44" s="22">
        <f t="shared" si="22"/>
        <v>22.279999999999983</v>
      </c>
      <c r="H44" s="17">
        <f t="shared" si="20"/>
        <v>30</v>
      </c>
      <c r="I44" s="17">
        <f t="shared" si="23"/>
        <v>3222.1109999999999</v>
      </c>
      <c r="J44" s="37">
        <f t="shared" si="24"/>
        <v>29.873175278639565</v>
      </c>
      <c r="K44" s="17">
        <f t="shared" si="25"/>
        <v>3222.1109999999999</v>
      </c>
      <c r="N44">
        <v>3221.5349999999999</v>
      </c>
      <c r="O44">
        <v>6</v>
      </c>
    </row>
    <row r="45" spans="1:15" x14ac:dyDescent="0.35">
      <c r="A45" s="17" t="s">
        <v>1032</v>
      </c>
      <c r="B45" s="18">
        <v>1035</v>
      </c>
      <c r="C45" s="1">
        <v>3223.0039999999999</v>
      </c>
      <c r="D45" s="19">
        <f t="shared" si="26"/>
        <v>1034.7927841045525</v>
      </c>
      <c r="E45" s="20">
        <f t="shared" si="19"/>
        <v>21.386999999999954</v>
      </c>
      <c r="F45" s="21">
        <f t="shared" si="21"/>
        <v>1034.7927841045525</v>
      </c>
      <c r="G45" s="22">
        <f t="shared" si="22"/>
        <v>21.386999999999954</v>
      </c>
      <c r="H45" s="17">
        <f t="shared" si="20"/>
        <v>35</v>
      </c>
      <c r="I45" s="17">
        <f t="shared" si="23"/>
        <v>3223.0039999999999</v>
      </c>
      <c r="J45" s="37">
        <f t="shared" si="24"/>
        <v>34.792784104552538</v>
      </c>
      <c r="K45" s="17">
        <f t="shared" si="25"/>
        <v>3223.0039999999999</v>
      </c>
      <c r="N45">
        <v>3222.1109999999999</v>
      </c>
      <c r="O45">
        <v>7</v>
      </c>
    </row>
    <row r="46" spans="1:15" x14ac:dyDescent="0.35">
      <c r="A46" s="17" t="s">
        <v>1031</v>
      </c>
      <c r="B46" s="18">
        <v>1040</v>
      </c>
      <c r="C46" s="1">
        <v>3224.328</v>
      </c>
      <c r="D46" s="19">
        <f t="shared" si="26"/>
        <v>1039.614300878349</v>
      </c>
      <c r="E46" s="20">
        <f t="shared" si="19"/>
        <v>20.062999999999885</v>
      </c>
      <c r="F46" s="21">
        <f t="shared" si="21"/>
        <v>1039.614300878349</v>
      </c>
      <c r="G46" s="22">
        <f t="shared" si="22"/>
        <v>20.062999999999885</v>
      </c>
      <c r="H46" s="17">
        <f t="shared" si="20"/>
        <v>40</v>
      </c>
      <c r="I46" s="17">
        <f t="shared" si="23"/>
        <v>3224.328</v>
      </c>
      <c r="J46" s="37">
        <f t="shared" si="24"/>
        <v>39.614300878349013</v>
      </c>
      <c r="K46" s="17">
        <f t="shared" si="25"/>
        <v>3224.328</v>
      </c>
      <c r="N46">
        <v>3223.0039999999999</v>
      </c>
      <c r="O46">
        <v>8</v>
      </c>
    </row>
    <row r="47" spans="1:15" x14ac:dyDescent="0.35">
      <c r="A47" s="17" t="s">
        <v>1030</v>
      </c>
      <c r="B47" s="18">
        <v>1045</v>
      </c>
      <c r="C47" s="1">
        <v>3225.6759999999999</v>
      </c>
      <c r="D47" s="19">
        <f t="shared" si="26"/>
        <v>1044.4291628701408</v>
      </c>
      <c r="E47" s="20">
        <f t="shared" si="19"/>
        <v>18.714999999999929</v>
      </c>
      <c r="F47" s="21">
        <f t="shared" si="21"/>
        <v>1044.4291628701408</v>
      </c>
      <c r="G47" s="22">
        <f t="shared" si="22"/>
        <v>18.714999999999929</v>
      </c>
      <c r="H47" s="17">
        <f t="shared" si="20"/>
        <v>45</v>
      </c>
      <c r="I47" s="17">
        <f t="shared" si="23"/>
        <v>3225.6759999999999</v>
      </c>
      <c r="J47" s="37">
        <f t="shared" si="24"/>
        <v>44.429162870140772</v>
      </c>
      <c r="K47" s="17">
        <f t="shared" si="25"/>
        <v>3225.6759999999999</v>
      </c>
      <c r="N47">
        <v>3224.328</v>
      </c>
      <c r="O47">
        <v>9</v>
      </c>
    </row>
    <row r="48" spans="1:15" x14ac:dyDescent="0.35">
      <c r="A48" s="17" t="s">
        <v>1029</v>
      </c>
      <c r="B48" s="18">
        <v>1050</v>
      </c>
      <c r="C48" s="1">
        <v>3225.607</v>
      </c>
      <c r="D48" s="19">
        <f t="shared" si="26"/>
        <v>1049.4286867474716</v>
      </c>
      <c r="E48" s="20">
        <f t="shared" si="19"/>
        <v>18.783999999999889</v>
      </c>
      <c r="F48" s="21">
        <f t="shared" si="21"/>
        <v>1049.4286867474716</v>
      </c>
      <c r="G48" s="22">
        <f t="shared" si="22"/>
        <v>18.783999999999889</v>
      </c>
      <c r="H48" s="17">
        <f t="shared" si="20"/>
        <v>50</v>
      </c>
      <c r="I48" s="17">
        <f t="shared" si="23"/>
        <v>3225.607</v>
      </c>
      <c r="J48" s="37">
        <f t="shared" si="24"/>
        <v>49.428686747471602</v>
      </c>
      <c r="K48" s="17">
        <f t="shared" si="25"/>
        <v>3225.607</v>
      </c>
      <c r="N48">
        <v>3225.6759999999999</v>
      </c>
      <c r="O48">
        <v>10</v>
      </c>
    </row>
    <row r="49" spans="1:15" x14ac:dyDescent="0.35">
      <c r="A49" s="17" t="s">
        <v>1028</v>
      </c>
      <c r="B49" s="18">
        <v>1055</v>
      </c>
      <c r="C49" s="1">
        <v>3225.7069999999999</v>
      </c>
      <c r="D49" s="19">
        <f t="shared" si="26"/>
        <v>1054.4276866474515</v>
      </c>
      <c r="E49" s="20">
        <f t="shared" si="19"/>
        <v>18.68399999999998</v>
      </c>
      <c r="F49" s="21">
        <f t="shared" si="21"/>
        <v>1054.4276866474515</v>
      </c>
      <c r="G49" s="22">
        <f t="shared" si="22"/>
        <v>18.68399999999998</v>
      </c>
      <c r="H49" s="17">
        <f t="shared" si="20"/>
        <v>55</v>
      </c>
      <c r="I49" s="17">
        <f t="shared" si="23"/>
        <v>3225.7069999999999</v>
      </c>
      <c r="J49" s="37">
        <f t="shared" si="24"/>
        <v>54.427686647451537</v>
      </c>
      <c r="K49" s="17">
        <f t="shared" si="25"/>
        <v>3225.7069999999999</v>
      </c>
      <c r="N49">
        <v>3225.607</v>
      </c>
      <c r="O49">
        <v>11</v>
      </c>
    </row>
    <row r="50" spans="1:15" x14ac:dyDescent="0.35">
      <c r="A50" s="17" t="s">
        <v>1027</v>
      </c>
      <c r="B50" s="18">
        <v>1060</v>
      </c>
      <c r="C50" s="1">
        <v>3224.4349999999999</v>
      </c>
      <c r="D50" s="19">
        <f t="shared" si="26"/>
        <v>1059.2631820719143</v>
      </c>
      <c r="E50" s="20">
        <f t="shared" si="19"/>
        <v>19.955999999999914</v>
      </c>
      <c r="F50" s="21">
        <f t="shared" si="21"/>
        <v>1059.2631820719143</v>
      </c>
      <c r="G50" s="22">
        <f t="shared" si="22"/>
        <v>19.955999999999914</v>
      </c>
      <c r="H50" s="17">
        <f t="shared" si="20"/>
        <v>60</v>
      </c>
      <c r="I50" s="17">
        <f t="shared" si="23"/>
        <v>3224.4349999999999</v>
      </c>
      <c r="J50" s="37">
        <f t="shared" si="24"/>
        <v>59.263182071914343</v>
      </c>
      <c r="K50" s="17">
        <f t="shared" si="25"/>
        <v>3224.4349999999999</v>
      </c>
      <c r="N50">
        <v>3225.7069999999999</v>
      </c>
      <c r="O50">
        <v>12</v>
      </c>
    </row>
    <row r="51" spans="1:15" x14ac:dyDescent="0.35">
      <c r="A51" s="17" t="s">
        <v>1026</v>
      </c>
      <c r="B51" s="18">
        <v>1065</v>
      </c>
      <c r="C51" s="1">
        <v>3226.01</v>
      </c>
      <c r="D51" s="19">
        <f t="shared" si="26"/>
        <v>1064.0086404270155</v>
      </c>
      <c r="E51" s="20">
        <f t="shared" si="19"/>
        <v>18.380999999999641</v>
      </c>
      <c r="F51" s="21">
        <f t="shared" si="21"/>
        <v>1064.0086404270155</v>
      </c>
      <c r="G51" s="22">
        <f t="shared" si="22"/>
        <v>18.380999999999641</v>
      </c>
      <c r="H51" s="17">
        <f t="shared" si="20"/>
        <v>65</v>
      </c>
      <c r="I51" s="17">
        <f t="shared" si="23"/>
        <v>3226.01</v>
      </c>
      <c r="J51" s="37">
        <f t="shared" si="24"/>
        <v>64.008640427015507</v>
      </c>
      <c r="K51" s="17">
        <f t="shared" si="25"/>
        <v>3226.01</v>
      </c>
      <c r="N51">
        <v>3224.4349999999999</v>
      </c>
      <c r="O51">
        <v>13</v>
      </c>
    </row>
    <row r="52" spans="1:15" x14ac:dyDescent="0.35">
      <c r="A52" s="17" t="s">
        <v>1025</v>
      </c>
      <c r="B52" s="18">
        <v>1070</v>
      </c>
      <c r="C52" s="1">
        <v>3228.2220000000002</v>
      </c>
      <c r="D52" s="19">
        <f t="shared" si="26"/>
        <v>1068.4927296321941</v>
      </c>
      <c r="E52" s="20">
        <f t="shared" si="19"/>
        <v>16.168999999999652</v>
      </c>
      <c r="F52" s="21">
        <f t="shared" si="21"/>
        <v>1068.4927296321941</v>
      </c>
      <c r="G52" s="22">
        <f t="shared" si="22"/>
        <v>16.168999999999652</v>
      </c>
      <c r="H52" s="17">
        <f t="shared" si="20"/>
        <v>70</v>
      </c>
      <c r="I52" s="17">
        <f t="shared" si="23"/>
        <v>3228.2220000000002</v>
      </c>
      <c r="J52" s="37">
        <f t="shared" si="24"/>
        <v>68.492729632194141</v>
      </c>
      <c r="K52" s="17">
        <f t="shared" si="25"/>
        <v>3228.2220000000002</v>
      </c>
      <c r="N52">
        <v>3226.01</v>
      </c>
      <c r="O52">
        <v>14</v>
      </c>
    </row>
    <row r="53" spans="1:15" x14ac:dyDescent="0.35">
      <c r="A53" s="17" t="s">
        <v>1024</v>
      </c>
      <c r="B53" s="18">
        <v>1075</v>
      </c>
      <c r="C53" s="1">
        <v>3227.3690000000001</v>
      </c>
      <c r="D53" s="19">
        <f t="shared" si="26"/>
        <v>1073.4194314701381</v>
      </c>
      <c r="E53" s="20">
        <f t="shared" si="19"/>
        <v>17.021999999999718</v>
      </c>
      <c r="F53" s="21">
        <f t="shared" si="21"/>
        <v>1073.4194314701381</v>
      </c>
      <c r="G53" s="22">
        <f t="shared" si="22"/>
        <v>17.021999999999718</v>
      </c>
      <c r="H53" s="17">
        <f t="shared" si="20"/>
        <v>75</v>
      </c>
      <c r="I53" s="17">
        <f t="shared" si="23"/>
        <v>3227.3690000000001</v>
      </c>
      <c r="J53" s="37">
        <f t="shared" si="24"/>
        <v>73.419431470138079</v>
      </c>
      <c r="K53" s="17">
        <f t="shared" si="25"/>
        <v>3227.3690000000001</v>
      </c>
      <c r="N53">
        <v>3228.2220000000002</v>
      </c>
      <c r="O53">
        <v>15</v>
      </c>
    </row>
    <row r="54" spans="1:15" x14ac:dyDescent="0.35">
      <c r="A54" s="17" t="s">
        <v>1023</v>
      </c>
      <c r="B54" s="18">
        <v>1080</v>
      </c>
      <c r="C54" s="1">
        <v>3226.6759999999999</v>
      </c>
      <c r="D54" s="19">
        <f t="shared" si="26"/>
        <v>1078.3711736887919</v>
      </c>
      <c r="E54" s="20">
        <f t="shared" si="19"/>
        <v>17.714999999999929</v>
      </c>
      <c r="F54" s="21">
        <f t="shared" si="21"/>
        <v>1078.3711736887919</v>
      </c>
      <c r="G54" s="22">
        <f t="shared" si="22"/>
        <v>17.714999999999929</v>
      </c>
      <c r="H54" s="17">
        <f t="shared" si="20"/>
        <v>80</v>
      </c>
      <c r="I54" s="17">
        <f t="shared" si="23"/>
        <v>3226.6759999999999</v>
      </c>
      <c r="J54" s="37">
        <f t="shared" si="24"/>
        <v>78.371173688791941</v>
      </c>
      <c r="K54" s="17">
        <f t="shared" si="25"/>
        <v>3226.6759999999999</v>
      </c>
      <c r="N54">
        <v>3227.3690000000001</v>
      </c>
      <c r="O54">
        <v>16</v>
      </c>
    </row>
    <row r="55" spans="1:15" x14ac:dyDescent="0.35">
      <c r="A55" s="17" t="s">
        <v>1022</v>
      </c>
      <c r="B55" s="18">
        <v>1085</v>
      </c>
      <c r="C55" s="1">
        <v>3226.3890000000001</v>
      </c>
      <c r="D55" s="19">
        <f t="shared" si="26"/>
        <v>1083.3629299929398</v>
      </c>
      <c r="E55" s="20">
        <f t="shared" si="19"/>
        <v>18.001999999999736</v>
      </c>
      <c r="F55" s="21">
        <f t="shared" si="21"/>
        <v>1083.3629299929398</v>
      </c>
      <c r="G55" s="22">
        <f t="shared" si="22"/>
        <v>18.001999999999736</v>
      </c>
      <c r="H55" s="17">
        <f t="shared" si="20"/>
        <v>85</v>
      </c>
      <c r="I55" s="17">
        <f t="shared" si="23"/>
        <v>3226.3890000000001</v>
      </c>
      <c r="J55" s="37">
        <f t="shared" si="24"/>
        <v>83.362929992939826</v>
      </c>
      <c r="K55" s="17">
        <f t="shared" si="25"/>
        <v>3226.3890000000001</v>
      </c>
      <c r="N55">
        <v>3226.6759999999999</v>
      </c>
      <c r="O55">
        <v>17</v>
      </c>
    </row>
    <row r="56" spans="1:15" x14ac:dyDescent="0.35">
      <c r="A56" s="17" t="s">
        <v>1021</v>
      </c>
      <c r="B56" s="18">
        <v>1090</v>
      </c>
      <c r="C56" s="1">
        <v>3226.42</v>
      </c>
      <c r="D56" s="19">
        <f t="shared" si="26"/>
        <v>1088.3628338920164</v>
      </c>
      <c r="E56" s="20">
        <f t="shared" si="19"/>
        <v>17.970999999999787</v>
      </c>
      <c r="F56" s="21">
        <f t="shared" si="21"/>
        <v>1088.3628338920164</v>
      </c>
      <c r="G56" s="22">
        <f t="shared" si="22"/>
        <v>17.970999999999787</v>
      </c>
      <c r="H56" s="17">
        <f t="shared" si="20"/>
        <v>90</v>
      </c>
      <c r="I56" s="17">
        <f t="shared" si="23"/>
        <v>3226.42</v>
      </c>
      <c r="J56" s="37">
        <f t="shared" si="24"/>
        <v>88.362833892016397</v>
      </c>
      <c r="K56" s="17">
        <f t="shared" si="25"/>
        <v>3226.42</v>
      </c>
      <c r="N56">
        <v>3226.3890000000001</v>
      </c>
      <c r="O56">
        <v>18</v>
      </c>
    </row>
    <row r="57" spans="1:15" x14ac:dyDescent="0.35">
      <c r="A57" s="17" t="s">
        <v>1020</v>
      </c>
      <c r="B57" s="18">
        <v>1095</v>
      </c>
      <c r="C57" s="1">
        <v>3227.0549999999998</v>
      </c>
      <c r="D57" s="19">
        <f t="shared" si="26"/>
        <v>1093.3223474770366</v>
      </c>
      <c r="E57" s="20">
        <f t="shared" si="19"/>
        <v>17.336000000000023</v>
      </c>
      <c r="F57" s="21">
        <f t="shared" si="21"/>
        <v>1093.3223474770366</v>
      </c>
      <c r="G57" s="22">
        <f t="shared" si="22"/>
        <v>17.336000000000023</v>
      </c>
      <c r="H57" s="17">
        <f t="shared" si="20"/>
        <v>95</v>
      </c>
      <c r="I57" s="17">
        <f t="shared" si="23"/>
        <v>3227.0549999999998</v>
      </c>
      <c r="J57" s="37">
        <f t="shared" si="24"/>
        <v>93.322347477036601</v>
      </c>
      <c r="K57" s="17">
        <f t="shared" si="25"/>
        <v>3227.0549999999998</v>
      </c>
      <c r="N57">
        <v>3226.42</v>
      </c>
      <c r="O57">
        <v>19</v>
      </c>
    </row>
    <row r="58" spans="1:15" x14ac:dyDescent="0.35">
      <c r="A58" s="17" t="s">
        <v>1019</v>
      </c>
      <c r="B58" s="18">
        <v>1100</v>
      </c>
      <c r="C58" s="1">
        <v>3226.393</v>
      </c>
      <c r="D58" s="19">
        <f t="shared" si="26"/>
        <v>1098.2783293171969</v>
      </c>
      <c r="E58" s="20">
        <f t="shared" si="19"/>
        <v>17.997999999999831</v>
      </c>
      <c r="F58" s="21">
        <f t="shared" si="21"/>
        <v>1098.2783293171969</v>
      </c>
      <c r="G58" s="22">
        <f t="shared" si="22"/>
        <v>17.997999999999831</v>
      </c>
      <c r="H58" s="17">
        <f t="shared" si="20"/>
        <v>100</v>
      </c>
      <c r="I58" s="17">
        <f t="shared" si="23"/>
        <v>3226.393</v>
      </c>
      <c r="J58" s="37">
        <f t="shared" si="24"/>
        <v>98.278329317196949</v>
      </c>
      <c r="K58" s="17">
        <f t="shared" si="25"/>
        <v>3226.393</v>
      </c>
      <c r="N58">
        <v>3227.0549999999998</v>
      </c>
      <c r="O58">
        <v>20</v>
      </c>
    </row>
    <row r="59" spans="1:15" x14ac:dyDescent="0.35">
      <c r="A59" s="17" t="s">
        <v>1018</v>
      </c>
      <c r="B59" s="18">
        <v>1105</v>
      </c>
      <c r="C59" s="1">
        <v>3226.33</v>
      </c>
      <c r="D59" s="19">
        <f t="shared" si="26"/>
        <v>1103.2779324014427</v>
      </c>
      <c r="E59" s="20">
        <f t="shared" si="19"/>
        <v>18.060999999999932</v>
      </c>
      <c r="F59" s="21">
        <f t="shared" si="21"/>
        <v>1103.2779324014427</v>
      </c>
      <c r="G59" s="22">
        <f t="shared" si="22"/>
        <v>18.060999999999932</v>
      </c>
      <c r="H59" s="17">
        <f t="shared" si="20"/>
        <v>105</v>
      </c>
      <c r="I59" s="17">
        <f t="shared" si="23"/>
        <v>3226.33</v>
      </c>
      <c r="J59" s="37">
        <f t="shared" si="24"/>
        <v>103.27793240144274</v>
      </c>
      <c r="K59" s="17">
        <f t="shared" si="25"/>
        <v>3226.33</v>
      </c>
      <c r="N59">
        <v>3226.393</v>
      </c>
      <c r="O59">
        <v>21</v>
      </c>
    </row>
    <row r="60" spans="1:15" x14ac:dyDescent="0.35">
      <c r="A60" s="17" t="s">
        <v>1017</v>
      </c>
      <c r="B60" s="18">
        <v>1110</v>
      </c>
      <c r="C60" s="1">
        <v>3227.3290000000002</v>
      </c>
      <c r="D60" s="19">
        <f t="shared" si="26"/>
        <v>1108.177115904844</v>
      </c>
      <c r="E60" s="20">
        <f t="shared" ref="E60:E85" si="27">ABS(C60-MAX(C:C))+0.01</f>
        <v>17.061999999999681</v>
      </c>
      <c r="F60" s="21">
        <f t="shared" si="21"/>
        <v>1108.177115904844</v>
      </c>
      <c r="G60" s="22">
        <f t="shared" si="22"/>
        <v>17.061999999999681</v>
      </c>
      <c r="H60" s="17">
        <f t="shared" si="20"/>
        <v>110</v>
      </c>
      <c r="I60" s="17">
        <f t="shared" si="23"/>
        <v>3227.3290000000002</v>
      </c>
      <c r="J60" s="37">
        <f t="shared" si="24"/>
        <v>108.17711590484396</v>
      </c>
      <c r="K60" s="17">
        <f t="shared" si="25"/>
        <v>3227.3290000000002</v>
      </c>
      <c r="N60">
        <v>3226.33</v>
      </c>
      <c r="O60">
        <v>22</v>
      </c>
    </row>
    <row r="61" spans="1:15" x14ac:dyDescent="0.35">
      <c r="A61" s="17" t="s">
        <v>1016</v>
      </c>
      <c r="B61" s="18">
        <v>1115</v>
      </c>
      <c r="C61" s="1">
        <v>3228.3890000000001</v>
      </c>
      <c r="D61" s="19">
        <f t="shared" si="26"/>
        <v>1113.0634642346297</v>
      </c>
      <c r="E61" s="20">
        <f t="shared" si="27"/>
        <v>16.001999999999736</v>
      </c>
      <c r="F61" s="21">
        <f t="shared" si="21"/>
        <v>1113.0634642346297</v>
      </c>
      <c r="G61" s="22">
        <f t="shared" si="22"/>
        <v>16.001999999999736</v>
      </c>
      <c r="H61" s="17">
        <f t="shared" si="20"/>
        <v>115</v>
      </c>
      <c r="I61" s="17">
        <f t="shared" si="23"/>
        <v>3228.3890000000001</v>
      </c>
      <c r="J61" s="37">
        <f t="shared" si="24"/>
        <v>113.06346423462969</v>
      </c>
      <c r="K61" s="17">
        <f t="shared" si="25"/>
        <v>3228.3890000000001</v>
      </c>
      <c r="N61">
        <v>3227.3290000000002</v>
      </c>
      <c r="O61">
        <v>23</v>
      </c>
    </row>
    <row r="62" spans="1:15" x14ac:dyDescent="0.35">
      <c r="A62" s="17" t="s">
        <v>1015</v>
      </c>
      <c r="B62" s="18">
        <v>1120</v>
      </c>
      <c r="C62" s="1">
        <v>3228.625</v>
      </c>
      <c r="D62" s="19">
        <f t="shared" si="26"/>
        <v>1118.0578915291251</v>
      </c>
      <c r="E62" s="20">
        <f t="shared" si="27"/>
        <v>15.765999999999858</v>
      </c>
      <c r="F62" s="21">
        <f t="shared" si="21"/>
        <v>1118.0578915291251</v>
      </c>
      <c r="G62" s="22">
        <f t="shared" si="22"/>
        <v>15.765999999999858</v>
      </c>
      <c r="H62" s="17">
        <f t="shared" si="20"/>
        <v>120</v>
      </c>
      <c r="I62" s="17">
        <f t="shared" si="23"/>
        <v>3228.625</v>
      </c>
      <c r="J62" s="37">
        <f t="shared" si="24"/>
        <v>118.05789152912507</v>
      </c>
      <c r="K62" s="17">
        <f t="shared" si="25"/>
        <v>3228.625</v>
      </c>
      <c r="N62">
        <v>3228.3890000000001</v>
      </c>
      <c r="O62">
        <v>24</v>
      </c>
    </row>
    <row r="63" spans="1:15" x14ac:dyDescent="0.35">
      <c r="A63" s="17" t="s">
        <v>1014</v>
      </c>
      <c r="B63" s="18">
        <v>1125</v>
      </c>
      <c r="C63" s="1">
        <v>3229.7979999999998</v>
      </c>
      <c r="D63" s="19">
        <f t="shared" si="26"/>
        <v>1122.9183514867834</v>
      </c>
      <c r="E63" s="20">
        <f t="shared" si="27"/>
        <v>14.593000000000083</v>
      </c>
      <c r="F63" s="21">
        <f t="shared" si="21"/>
        <v>1122.9183514867834</v>
      </c>
      <c r="G63" s="22">
        <f t="shared" si="22"/>
        <v>14.593000000000083</v>
      </c>
      <c r="H63" s="17">
        <f t="shared" si="20"/>
        <v>125</v>
      </c>
      <c r="I63" s="17">
        <f t="shared" si="23"/>
        <v>3229.7979999999998</v>
      </c>
      <c r="J63" s="37">
        <f t="shared" si="24"/>
        <v>122.91835148678342</v>
      </c>
      <c r="K63" s="17">
        <f t="shared" si="25"/>
        <v>3229.7979999999998</v>
      </c>
      <c r="N63">
        <v>3228.625</v>
      </c>
      <c r="O63">
        <v>25</v>
      </c>
    </row>
    <row r="64" spans="1:15" x14ac:dyDescent="0.35">
      <c r="A64" s="17" t="s">
        <v>1013</v>
      </c>
      <c r="B64" s="18">
        <v>1130</v>
      </c>
      <c r="C64" s="1">
        <v>3230.2669999999998</v>
      </c>
      <c r="D64" s="19">
        <f t="shared" si="26"/>
        <v>1127.8963067899174</v>
      </c>
      <c r="E64" s="20">
        <f t="shared" si="27"/>
        <v>14.124000000000033</v>
      </c>
      <c r="F64" s="21">
        <f t="shared" si="21"/>
        <v>1127.8963067899174</v>
      </c>
      <c r="G64" s="22">
        <f t="shared" si="22"/>
        <v>14.124000000000033</v>
      </c>
      <c r="H64" s="17">
        <f t="shared" si="20"/>
        <v>130</v>
      </c>
      <c r="I64" s="17">
        <f t="shared" si="23"/>
        <v>3230.2669999999998</v>
      </c>
      <c r="J64" s="37">
        <f t="shared" si="24"/>
        <v>127.89630678991739</v>
      </c>
      <c r="K64" s="17">
        <f t="shared" si="25"/>
        <v>3230.2669999999998</v>
      </c>
      <c r="N64">
        <v>3229.7979999999998</v>
      </c>
      <c r="O64">
        <v>26</v>
      </c>
    </row>
    <row r="65" spans="1:15" x14ac:dyDescent="0.35">
      <c r="A65" s="17" t="s">
        <v>1012</v>
      </c>
      <c r="B65" s="18">
        <v>1135</v>
      </c>
      <c r="C65" s="1">
        <v>3231.0880000000002</v>
      </c>
      <c r="D65" s="19">
        <f t="shared" si="26"/>
        <v>1132.828442128693</v>
      </c>
      <c r="E65" s="20">
        <f t="shared" si="27"/>
        <v>13.302999999999665</v>
      </c>
      <c r="F65" s="21">
        <f t="shared" si="21"/>
        <v>1132.828442128693</v>
      </c>
      <c r="G65" s="22">
        <f t="shared" si="22"/>
        <v>13.302999999999665</v>
      </c>
      <c r="H65" s="17">
        <f t="shared" si="20"/>
        <v>135</v>
      </c>
      <c r="I65" s="17">
        <f t="shared" si="23"/>
        <v>3231.0880000000002</v>
      </c>
      <c r="J65" s="37">
        <f t="shared" si="24"/>
        <v>132.82844212869304</v>
      </c>
      <c r="K65" s="17">
        <f t="shared" si="25"/>
        <v>3231.0880000000002</v>
      </c>
      <c r="N65">
        <v>3230.2669999999998</v>
      </c>
      <c r="O65">
        <v>27</v>
      </c>
    </row>
    <row r="66" spans="1:15" x14ac:dyDescent="0.35">
      <c r="A66" s="17" t="s">
        <v>1011</v>
      </c>
      <c r="B66" s="18">
        <v>1140</v>
      </c>
      <c r="C66" s="1">
        <v>3229.83</v>
      </c>
      <c r="D66" s="19">
        <f t="shared" si="26"/>
        <v>1137.6675986667685</v>
      </c>
      <c r="E66" s="20">
        <f t="shared" si="27"/>
        <v>14.560999999999931</v>
      </c>
      <c r="F66" s="21">
        <f t="shared" si="21"/>
        <v>1137.6675986667685</v>
      </c>
      <c r="G66" s="22">
        <f t="shared" si="22"/>
        <v>14.560999999999931</v>
      </c>
      <c r="H66" s="17">
        <f t="shared" si="20"/>
        <v>140</v>
      </c>
      <c r="I66" s="17">
        <f t="shared" si="23"/>
        <v>3229.83</v>
      </c>
      <c r="J66" s="37">
        <f t="shared" si="24"/>
        <v>137.66759866676853</v>
      </c>
      <c r="K66" s="17">
        <f t="shared" si="25"/>
        <v>3229.83</v>
      </c>
      <c r="N66">
        <v>3231.0880000000002</v>
      </c>
      <c r="O66">
        <v>28</v>
      </c>
    </row>
    <row r="67" spans="1:15" x14ac:dyDescent="0.35">
      <c r="A67" s="17" t="s">
        <v>1010</v>
      </c>
      <c r="B67" s="18">
        <v>1145</v>
      </c>
      <c r="C67" s="1">
        <v>3230.4169999999999</v>
      </c>
      <c r="D67" s="19">
        <f t="shared" si="26"/>
        <v>1142.6330222136576</v>
      </c>
      <c r="E67" s="20">
        <f t="shared" si="27"/>
        <v>13.973999999999942</v>
      </c>
      <c r="F67" s="21">
        <f t="shared" si="21"/>
        <v>1142.6330222136576</v>
      </c>
      <c r="G67" s="22">
        <f t="shared" si="22"/>
        <v>13.973999999999942</v>
      </c>
      <c r="H67" s="17">
        <f t="shared" si="20"/>
        <v>145</v>
      </c>
      <c r="I67" s="17">
        <f t="shared" si="23"/>
        <v>3230.4169999999999</v>
      </c>
      <c r="J67" s="37">
        <f t="shared" si="24"/>
        <v>142.63302221365757</v>
      </c>
      <c r="K67" s="17">
        <f t="shared" si="25"/>
        <v>3230.4169999999999</v>
      </c>
      <c r="N67">
        <v>3229.83</v>
      </c>
      <c r="O67">
        <v>29</v>
      </c>
    </row>
    <row r="68" spans="1:15" x14ac:dyDescent="0.35">
      <c r="A68" s="17" t="s">
        <v>1009</v>
      </c>
      <c r="B68" s="18">
        <v>1150</v>
      </c>
      <c r="C68" s="1">
        <v>3232.585</v>
      </c>
      <c r="D68" s="19">
        <f t="shared" si="26"/>
        <v>1147.1385494857977</v>
      </c>
      <c r="E68" s="20">
        <f t="shared" si="27"/>
        <v>11.805999999999822</v>
      </c>
      <c r="F68" s="21">
        <f t="shared" si="21"/>
        <v>1147.1385494857977</v>
      </c>
      <c r="G68" s="22">
        <f t="shared" si="22"/>
        <v>11.805999999999822</v>
      </c>
      <c r="H68" s="17">
        <f t="shared" si="20"/>
        <v>150</v>
      </c>
      <c r="I68" s="17">
        <f t="shared" si="23"/>
        <v>3232.585</v>
      </c>
      <c r="J68" s="37">
        <f t="shared" si="24"/>
        <v>147.13854948579774</v>
      </c>
      <c r="K68" s="17">
        <f t="shared" si="25"/>
        <v>3232.585</v>
      </c>
      <c r="N68">
        <v>3230.4169999999999</v>
      </c>
      <c r="O68">
        <v>30</v>
      </c>
    </row>
    <row r="69" spans="1:15" x14ac:dyDescent="0.35">
      <c r="A69" s="17" t="s">
        <v>1008</v>
      </c>
      <c r="B69" s="18">
        <v>1155</v>
      </c>
      <c r="C69" s="1">
        <v>3232.5079999999998</v>
      </c>
      <c r="D69" s="19">
        <f t="shared" si="26"/>
        <v>1152.1379565506406</v>
      </c>
      <c r="E69" s="20">
        <f t="shared" si="27"/>
        <v>11.883000000000047</v>
      </c>
      <c r="F69" s="21">
        <f t="shared" si="21"/>
        <v>1152.1379565506406</v>
      </c>
      <c r="G69" s="22">
        <f t="shared" si="22"/>
        <v>11.883000000000047</v>
      </c>
      <c r="H69" s="17">
        <f t="shared" si="20"/>
        <v>155</v>
      </c>
      <c r="I69" s="17">
        <f t="shared" si="23"/>
        <v>3232.5079999999998</v>
      </c>
      <c r="J69" s="37">
        <f t="shared" si="24"/>
        <v>152.13795655064064</v>
      </c>
      <c r="K69" s="17">
        <f t="shared" si="25"/>
        <v>3232.5079999999998</v>
      </c>
      <c r="N69">
        <v>3232.585</v>
      </c>
      <c r="O69">
        <v>31</v>
      </c>
    </row>
    <row r="70" spans="1:15" x14ac:dyDescent="0.35">
      <c r="A70" s="17" t="s">
        <v>1007</v>
      </c>
      <c r="B70" s="18">
        <v>1160</v>
      </c>
      <c r="C70" s="1">
        <v>3233.3530000000001</v>
      </c>
      <c r="D70" s="19">
        <f t="shared" si="26"/>
        <v>1157.066036805669</v>
      </c>
      <c r="E70" s="20">
        <f t="shared" si="27"/>
        <v>11.037999999999792</v>
      </c>
      <c r="F70" s="21">
        <f t="shared" si="21"/>
        <v>1157.066036805669</v>
      </c>
      <c r="G70" s="22">
        <f t="shared" si="22"/>
        <v>11.037999999999792</v>
      </c>
      <c r="H70" s="17">
        <f t="shared" si="20"/>
        <v>160</v>
      </c>
      <c r="I70" s="17">
        <f t="shared" si="23"/>
        <v>3233.3530000000001</v>
      </c>
      <c r="J70" s="37">
        <f t="shared" si="24"/>
        <v>157.066036805669</v>
      </c>
      <c r="K70" s="17">
        <f t="shared" si="25"/>
        <v>3233.3530000000001</v>
      </c>
      <c r="N70">
        <v>3232.5079999999998</v>
      </c>
      <c r="O70">
        <v>32</v>
      </c>
    </row>
    <row r="71" spans="1:15" x14ac:dyDescent="0.35">
      <c r="A71" s="17" t="s">
        <v>1006</v>
      </c>
      <c r="B71" s="18">
        <v>1165</v>
      </c>
      <c r="C71" s="1">
        <v>3234.3449999999998</v>
      </c>
      <c r="D71" s="19">
        <f t="shared" si="26"/>
        <v>1161.9666424825216</v>
      </c>
      <c r="E71" s="20">
        <f t="shared" si="27"/>
        <v>10.046000000000058</v>
      </c>
      <c r="F71" s="21">
        <f t="shared" si="21"/>
        <v>1161.9666424825216</v>
      </c>
      <c r="G71" s="22">
        <f t="shared" si="22"/>
        <v>10.046000000000058</v>
      </c>
      <c r="H71" s="17">
        <f t="shared" si="20"/>
        <v>165</v>
      </c>
      <c r="I71" s="17">
        <f t="shared" si="23"/>
        <v>3234.3449999999998</v>
      </c>
      <c r="J71" s="37">
        <f t="shared" si="24"/>
        <v>161.96664248252159</v>
      </c>
      <c r="K71" s="17">
        <f t="shared" si="25"/>
        <v>3234.3449999999998</v>
      </c>
      <c r="N71">
        <v>3233.3530000000001</v>
      </c>
      <c r="O71">
        <v>33</v>
      </c>
    </row>
    <row r="72" spans="1:15" x14ac:dyDescent="0.35">
      <c r="A72" s="17" t="s">
        <v>1005</v>
      </c>
      <c r="B72" s="18">
        <v>1170</v>
      </c>
      <c r="C72" s="1">
        <v>3234.74</v>
      </c>
      <c r="D72" s="19">
        <f t="shared" si="26"/>
        <v>1166.9510155624585</v>
      </c>
      <c r="E72" s="20">
        <f t="shared" si="27"/>
        <v>9.6510000000000762</v>
      </c>
      <c r="F72" s="21">
        <f t="shared" si="21"/>
        <v>1166.9510155624585</v>
      </c>
      <c r="G72" s="22">
        <f t="shared" si="22"/>
        <v>9.6510000000000762</v>
      </c>
      <c r="H72" s="17">
        <f t="shared" si="20"/>
        <v>170</v>
      </c>
      <c r="I72" s="17">
        <f t="shared" si="23"/>
        <v>3234.74</v>
      </c>
      <c r="J72" s="37">
        <f t="shared" si="24"/>
        <v>166.95101556245845</v>
      </c>
      <c r="K72" s="17">
        <f t="shared" si="25"/>
        <v>3234.74</v>
      </c>
      <c r="N72">
        <v>3234.3449999999998</v>
      </c>
      <c r="O72">
        <v>34</v>
      </c>
    </row>
    <row r="73" spans="1:15" x14ac:dyDescent="0.35">
      <c r="A73" s="17" t="s">
        <v>1004</v>
      </c>
      <c r="B73" s="18">
        <v>1175</v>
      </c>
      <c r="C73" s="1">
        <v>3236.0059999999999</v>
      </c>
      <c r="D73" s="19">
        <f t="shared" si="26"/>
        <v>1171.7880853366089</v>
      </c>
      <c r="E73" s="20">
        <f t="shared" si="27"/>
        <v>8.3849999999999998</v>
      </c>
      <c r="F73" s="21">
        <f t="shared" si="21"/>
        <v>1171.7880853366089</v>
      </c>
      <c r="G73" s="22">
        <f t="shared" si="22"/>
        <v>8.3849999999999998</v>
      </c>
      <c r="H73" s="17">
        <f t="shared" si="20"/>
        <v>175</v>
      </c>
      <c r="I73" s="17">
        <f t="shared" si="23"/>
        <v>3236.0059999999999</v>
      </c>
      <c r="J73" s="37">
        <f t="shared" si="24"/>
        <v>171.7880853366089</v>
      </c>
      <c r="K73" s="17">
        <f t="shared" si="25"/>
        <v>3236.0059999999999</v>
      </c>
      <c r="N73">
        <v>3234.74</v>
      </c>
      <c r="O73">
        <v>35</v>
      </c>
    </row>
    <row r="74" spans="1:15" x14ac:dyDescent="0.35">
      <c r="A74" s="17" t="s">
        <v>1003</v>
      </c>
      <c r="B74" s="18">
        <v>1180</v>
      </c>
      <c r="C74" s="1">
        <v>3236.1289999999999</v>
      </c>
      <c r="D74" s="19">
        <f t="shared" si="26"/>
        <v>1176.7865722076531</v>
      </c>
      <c r="E74" s="20">
        <f t="shared" si="27"/>
        <v>8.2619999999999525</v>
      </c>
      <c r="F74" s="21">
        <f t="shared" si="21"/>
        <v>1176.7865722076531</v>
      </c>
      <c r="G74" s="22">
        <f t="shared" si="22"/>
        <v>8.2619999999999525</v>
      </c>
      <c r="H74" s="17">
        <f t="shared" si="20"/>
        <v>180</v>
      </c>
      <c r="I74" s="17">
        <f t="shared" si="23"/>
        <v>3236.1289999999999</v>
      </c>
      <c r="J74" s="37">
        <f t="shared" si="24"/>
        <v>176.78657220765308</v>
      </c>
      <c r="K74" s="17">
        <f t="shared" si="25"/>
        <v>3236.1289999999999</v>
      </c>
      <c r="N74">
        <v>3236.0059999999999</v>
      </c>
      <c r="O74">
        <v>36</v>
      </c>
    </row>
    <row r="75" spans="1:15" x14ac:dyDescent="0.35">
      <c r="A75" s="17" t="s">
        <v>1002</v>
      </c>
      <c r="B75" s="18">
        <v>1185</v>
      </c>
      <c r="C75" s="1">
        <v>3237.223</v>
      </c>
      <c r="D75" s="19">
        <f t="shared" si="26"/>
        <v>1181.6654208423208</v>
      </c>
      <c r="E75" s="20">
        <f t="shared" si="27"/>
        <v>7.1679999999999016</v>
      </c>
      <c r="F75" s="21">
        <f t="shared" si="21"/>
        <v>1181.6654208423208</v>
      </c>
      <c r="G75" s="22">
        <f t="shared" si="22"/>
        <v>7.1679999999999016</v>
      </c>
      <c r="H75" s="17">
        <f t="shared" si="20"/>
        <v>185</v>
      </c>
      <c r="I75" s="17">
        <f t="shared" si="23"/>
        <v>3237.223</v>
      </c>
      <c r="J75" s="37">
        <f t="shared" si="24"/>
        <v>181.66542084232083</v>
      </c>
      <c r="K75" s="17">
        <f t="shared" si="25"/>
        <v>3237.223</v>
      </c>
      <c r="N75">
        <v>3236.1289999999999</v>
      </c>
      <c r="O75">
        <v>37</v>
      </c>
    </row>
    <row r="76" spans="1:15" x14ac:dyDescent="0.35">
      <c r="A76" s="17" t="s">
        <v>1001</v>
      </c>
      <c r="B76" s="18">
        <v>1190</v>
      </c>
      <c r="C76" s="1">
        <v>3237.5329999999999</v>
      </c>
      <c r="D76" s="19">
        <f t="shared" si="26"/>
        <v>1186.6558015893179</v>
      </c>
      <c r="E76" s="20">
        <f t="shared" si="27"/>
        <v>6.8579999999999561</v>
      </c>
      <c r="F76" s="21">
        <f t="shared" si="21"/>
        <v>1186.6558015893179</v>
      </c>
      <c r="G76" s="22">
        <f t="shared" si="22"/>
        <v>6.8579999999999561</v>
      </c>
      <c r="H76" s="17">
        <f t="shared" si="20"/>
        <v>190</v>
      </c>
      <c r="I76" s="17">
        <f t="shared" si="23"/>
        <v>3237.5329999999999</v>
      </c>
      <c r="J76" s="37">
        <f t="shared" si="24"/>
        <v>186.65580158931789</v>
      </c>
      <c r="K76" s="17">
        <f t="shared" si="25"/>
        <v>3237.5329999999999</v>
      </c>
      <c r="N76">
        <v>3237.223</v>
      </c>
      <c r="O76">
        <v>38</v>
      </c>
    </row>
    <row r="77" spans="1:15" x14ac:dyDescent="0.35">
      <c r="A77" s="17" t="s">
        <v>1000</v>
      </c>
      <c r="B77" s="18">
        <v>1195</v>
      </c>
      <c r="C77" s="1">
        <v>3237.58</v>
      </c>
      <c r="D77" s="19">
        <f t="shared" si="26"/>
        <v>1191.6555806844381</v>
      </c>
      <c r="E77" s="20">
        <f t="shared" si="27"/>
        <v>6.8109999999999307</v>
      </c>
      <c r="F77" s="21">
        <f t="shared" si="21"/>
        <v>1191.6555806844381</v>
      </c>
      <c r="G77" s="22">
        <f t="shared" si="22"/>
        <v>6.8109999999999307</v>
      </c>
      <c r="H77" s="17">
        <f t="shared" si="20"/>
        <v>195</v>
      </c>
      <c r="I77" s="17">
        <f t="shared" si="23"/>
        <v>3237.58</v>
      </c>
      <c r="J77" s="37">
        <f t="shared" si="24"/>
        <v>191.65558068443806</v>
      </c>
      <c r="K77" s="17">
        <f t="shared" si="25"/>
        <v>3237.58</v>
      </c>
      <c r="N77">
        <v>3237.5329999999999</v>
      </c>
      <c r="O77">
        <v>39</v>
      </c>
    </row>
    <row r="78" spans="1:15" x14ac:dyDescent="0.35">
      <c r="A78" s="17" t="s">
        <v>999</v>
      </c>
      <c r="B78" s="18">
        <v>1200</v>
      </c>
      <c r="C78" s="1">
        <v>3237.75</v>
      </c>
      <c r="D78" s="19">
        <f t="shared" si="26"/>
        <v>1196.652689848745</v>
      </c>
      <c r="E78" s="20">
        <f t="shared" si="27"/>
        <v>6.6409999999998579</v>
      </c>
      <c r="F78" s="21">
        <f t="shared" si="21"/>
        <v>1196.652689848745</v>
      </c>
      <c r="G78" s="22">
        <f t="shared" si="22"/>
        <v>6.6409999999998579</v>
      </c>
      <c r="H78" s="17">
        <f t="shared" si="20"/>
        <v>200</v>
      </c>
      <c r="I78" s="17">
        <f t="shared" si="23"/>
        <v>3237.75</v>
      </c>
      <c r="J78" s="37">
        <f t="shared" si="24"/>
        <v>196.65268984874501</v>
      </c>
      <c r="K78" s="17">
        <f t="shared" si="25"/>
        <v>3237.75</v>
      </c>
      <c r="N78">
        <v>3237.58</v>
      </c>
      <c r="O78">
        <v>40</v>
      </c>
    </row>
    <row r="79" spans="1:15" x14ac:dyDescent="0.35">
      <c r="A79" s="17" t="s">
        <v>998</v>
      </c>
      <c r="B79" s="18">
        <v>1205</v>
      </c>
      <c r="C79" s="1">
        <v>3238.8589999999999</v>
      </c>
      <c r="D79" s="19">
        <f t="shared" si="26"/>
        <v>1201.5281507500342</v>
      </c>
      <c r="E79" s="20">
        <f t="shared" si="27"/>
        <v>5.5319999999999343</v>
      </c>
      <c r="F79" s="21">
        <f t="shared" si="21"/>
        <v>1201.5281507500342</v>
      </c>
      <c r="G79" s="22">
        <f t="shared" si="22"/>
        <v>5.5319999999999343</v>
      </c>
      <c r="H79" s="17">
        <f t="shared" si="20"/>
        <v>205</v>
      </c>
      <c r="I79" s="17">
        <f t="shared" si="23"/>
        <v>3238.8589999999999</v>
      </c>
      <c r="J79" s="37">
        <f t="shared" si="24"/>
        <v>201.52815075003423</v>
      </c>
      <c r="K79" s="17">
        <f t="shared" si="25"/>
        <v>3238.8589999999999</v>
      </c>
      <c r="N79">
        <v>3237.75</v>
      </c>
      <c r="O79">
        <v>41</v>
      </c>
    </row>
    <row r="80" spans="1:15" x14ac:dyDescent="0.35">
      <c r="A80" s="17" t="s">
        <v>997</v>
      </c>
      <c r="B80" s="18">
        <v>1210</v>
      </c>
      <c r="C80" s="1">
        <v>3239.1</v>
      </c>
      <c r="D80" s="19">
        <f t="shared" si="26"/>
        <v>1206.5223392727073</v>
      </c>
      <c r="E80" s="20">
        <f t="shared" si="27"/>
        <v>5.2909999999999489</v>
      </c>
      <c r="F80" s="21">
        <f t="shared" si="21"/>
        <v>1206.5223392727073</v>
      </c>
      <c r="G80" s="22">
        <f t="shared" si="22"/>
        <v>5.2909999999999489</v>
      </c>
      <c r="H80" s="17">
        <f t="shared" si="20"/>
        <v>210</v>
      </c>
      <c r="I80" s="17">
        <f t="shared" si="23"/>
        <v>3239.1</v>
      </c>
      <c r="J80" s="37">
        <f t="shared" si="24"/>
        <v>206.52233927270731</v>
      </c>
      <c r="K80" s="17">
        <f t="shared" si="25"/>
        <v>3239.1</v>
      </c>
      <c r="N80">
        <v>3238.8589999999999</v>
      </c>
      <c r="O80">
        <v>42</v>
      </c>
    </row>
    <row r="81" spans="1:15" x14ac:dyDescent="0.35">
      <c r="A81" s="17" t="s">
        <v>996</v>
      </c>
      <c r="B81" s="18">
        <v>1215</v>
      </c>
      <c r="C81" s="1">
        <v>3239.6660000000002</v>
      </c>
      <c r="D81" s="19">
        <f t="shared" si="26"/>
        <v>1211.490200381877</v>
      </c>
      <c r="E81" s="20">
        <f t="shared" si="27"/>
        <v>4.7249999999996906</v>
      </c>
      <c r="F81" s="21">
        <f t="shared" si="21"/>
        <v>1211.490200381877</v>
      </c>
      <c r="G81" s="22">
        <f t="shared" si="22"/>
        <v>4.7249999999996906</v>
      </c>
      <c r="H81" s="17">
        <f t="shared" si="20"/>
        <v>215</v>
      </c>
      <c r="I81" s="17">
        <f t="shared" si="23"/>
        <v>3239.6660000000002</v>
      </c>
      <c r="J81" s="37">
        <f t="shared" si="24"/>
        <v>211.490200381877</v>
      </c>
      <c r="K81" s="17">
        <f t="shared" si="25"/>
        <v>3239.6660000000002</v>
      </c>
      <c r="N81">
        <v>3239.1</v>
      </c>
      <c r="O81">
        <v>43</v>
      </c>
    </row>
    <row r="82" spans="1:15" x14ac:dyDescent="0.35">
      <c r="A82" s="17" t="s">
        <v>995</v>
      </c>
      <c r="B82" s="18">
        <v>1220</v>
      </c>
      <c r="C82" s="1">
        <v>3239.598</v>
      </c>
      <c r="D82" s="19">
        <f t="shared" si="26"/>
        <v>1216.4897379604936</v>
      </c>
      <c r="E82" s="20">
        <f t="shared" si="27"/>
        <v>4.7929999999999016</v>
      </c>
      <c r="F82" s="21">
        <f t="shared" si="21"/>
        <v>1216.4897379604936</v>
      </c>
      <c r="G82" s="22">
        <f t="shared" si="22"/>
        <v>4.7929999999999016</v>
      </c>
      <c r="H82" s="17">
        <f t="shared" si="20"/>
        <v>220</v>
      </c>
      <c r="I82" s="17">
        <f t="shared" si="23"/>
        <v>3239.598</v>
      </c>
      <c r="J82" s="37">
        <f t="shared" si="24"/>
        <v>216.48973796049358</v>
      </c>
      <c r="K82" s="17">
        <f t="shared" si="25"/>
        <v>3239.598</v>
      </c>
      <c r="N82">
        <v>3239.6660000000002</v>
      </c>
      <c r="O82">
        <v>44</v>
      </c>
    </row>
    <row r="83" spans="1:15" x14ac:dyDescent="0.35">
      <c r="A83" s="17" t="s">
        <v>994</v>
      </c>
      <c r="B83" s="18">
        <v>1225</v>
      </c>
      <c r="C83" s="1">
        <v>3241.326</v>
      </c>
      <c r="D83" s="19">
        <f t="shared" si="26"/>
        <v>1221.1816475930418</v>
      </c>
      <c r="E83" s="20">
        <f t="shared" si="27"/>
        <v>3.0649999999998361</v>
      </c>
      <c r="F83" s="21">
        <f t="shared" si="21"/>
        <v>1221.1816475930418</v>
      </c>
      <c r="G83" s="22">
        <f t="shared" si="22"/>
        <v>3.0649999999998361</v>
      </c>
      <c r="H83" s="17">
        <f t="shared" si="20"/>
        <v>225</v>
      </c>
      <c r="I83" s="17">
        <f t="shared" si="23"/>
        <v>3241.326</v>
      </c>
      <c r="J83" s="37">
        <f t="shared" si="24"/>
        <v>221.18164759304182</v>
      </c>
      <c r="K83" s="17">
        <f t="shared" si="25"/>
        <v>3241.326</v>
      </c>
      <c r="N83">
        <v>3239.598</v>
      </c>
      <c r="O83">
        <v>45</v>
      </c>
    </row>
    <row r="84" spans="1:15" x14ac:dyDescent="0.35">
      <c r="A84" s="17" t="s">
        <v>993</v>
      </c>
      <c r="B84" s="18">
        <v>1230</v>
      </c>
      <c r="C84" s="1">
        <v>3243.0120000000002</v>
      </c>
      <c r="D84" s="19">
        <f t="shared" si="26"/>
        <v>1225.8888127696634</v>
      </c>
      <c r="E84" s="20">
        <f t="shared" si="27"/>
        <v>1.3789999999996871</v>
      </c>
      <c r="F84" s="21">
        <f t="shared" si="21"/>
        <v>1225.8888127696634</v>
      </c>
      <c r="G84" s="22">
        <f t="shared" si="22"/>
        <v>1.3789999999996871</v>
      </c>
      <c r="H84" s="17">
        <f t="shared" si="20"/>
        <v>230</v>
      </c>
      <c r="I84" s="17">
        <f t="shared" si="23"/>
        <v>3243.0120000000002</v>
      </c>
      <c r="J84" s="37">
        <f t="shared" si="24"/>
        <v>225.88881276966345</v>
      </c>
      <c r="K84" s="17">
        <f t="shared" si="25"/>
        <v>3243.0120000000002</v>
      </c>
      <c r="N84">
        <v>3241.326</v>
      </c>
      <c r="O84">
        <v>46</v>
      </c>
    </row>
    <row r="85" spans="1:15" x14ac:dyDescent="0.35">
      <c r="A85" s="17" t="s">
        <v>992</v>
      </c>
      <c r="B85" s="18">
        <v>1235</v>
      </c>
      <c r="C85" s="1">
        <f>'GOL01'!H2</f>
        <v>3244.3809999999999</v>
      </c>
      <c r="D85" s="19">
        <f t="shared" si="26"/>
        <v>1230.6977460193561</v>
      </c>
      <c r="E85" s="20">
        <f t="shared" si="27"/>
        <v>0.01</v>
      </c>
      <c r="F85" s="21">
        <f t="shared" si="21"/>
        <v>1230.6977460193561</v>
      </c>
      <c r="G85" s="22">
        <f t="shared" si="22"/>
        <v>0.01</v>
      </c>
      <c r="H85" s="17">
        <f t="shared" si="20"/>
        <v>235</v>
      </c>
      <c r="I85" s="17">
        <f t="shared" si="23"/>
        <v>3244.3809999999999</v>
      </c>
      <c r="J85" s="37">
        <f t="shared" si="24"/>
        <v>230.69774601935615</v>
      </c>
      <c r="K85" s="17">
        <f t="shared" si="25"/>
        <v>3244.3809999999999</v>
      </c>
      <c r="N85">
        <v>3243.0120000000002</v>
      </c>
      <c r="O85">
        <v>47</v>
      </c>
    </row>
  </sheetData>
  <autoFilter ref="N38:O85" xr:uid="{C9B30806-63C3-4288-9642-040D46F0F2DD}">
    <sortState xmlns:xlrd2="http://schemas.microsoft.com/office/spreadsheetml/2017/richdata2" ref="N39:O85">
      <sortCondition ref="O38:O85"/>
    </sortState>
  </autoFilter>
  <mergeCells count="9">
    <mergeCell ref="T1:U1"/>
    <mergeCell ref="D1:E1"/>
    <mergeCell ref="F1:G1"/>
    <mergeCell ref="H1:I1"/>
    <mergeCell ref="D36:E36"/>
    <mergeCell ref="F36:G36"/>
    <mergeCell ref="H36:I36"/>
    <mergeCell ref="P1:Q1"/>
    <mergeCell ref="R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9"/>
  <sheetViews>
    <sheetView topLeftCell="A20" workbookViewId="0">
      <selection activeCell="H49" sqref="H2:H49"/>
    </sheetView>
  </sheetViews>
  <sheetFormatPr defaultColWidth="11.54296875" defaultRowHeight="13" x14ac:dyDescent="0.3"/>
  <cols>
    <col min="1" max="16384" width="11.54296875" style="4"/>
  </cols>
  <sheetData>
    <row r="1" spans="1:2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7</v>
      </c>
      <c r="S1" s="3" t="s">
        <v>8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9</v>
      </c>
      <c r="AA1" s="3" t="s">
        <v>28</v>
      </c>
    </row>
    <row r="2" spans="1:27" x14ac:dyDescent="0.3">
      <c r="A2" s="4">
        <v>1</v>
      </c>
      <c r="F2" s="4">
        <v>74.486645809999999</v>
      </c>
      <c r="G2" s="4">
        <v>42.476834570000001</v>
      </c>
      <c r="H2" s="4">
        <v>3399.2919999999999</v>
      </c>
      <c r="I2" s="4">
        <v>1.6E-2</v>
      </c>
      <c r="J2" s="4">
        <v>1.0999999999999999E-2</v>
      </c>
      <c r="K2" s="4">
        <v>0.01</v>
      </c>
      <c r="L2" s="4">
        <v>1.9E-2</v>
      </c>
      <c r="M2" s="4">
        <v>2.1339999999999999</v>
      </c>
      <c r="N2" s="4" t="s">
        <v>10</v>
      </c>
      <c r="O2" s="4" t="s">
        <v>29</v>
      </c>
      <c r="P2" s="4" t="s">
        <v>127</v>
      </c>
      <c r="Q2" s="4" t="s">
        <v>128</v>
      </c>
      <c r="R2" s="4">
        <v>7</v>
      </c>
      <c r="S2" s="4">
        <v>1.5</v>
      </c>
      <c r="W2" s="4">
        <v>74.487397560000005</v>
      </c>
      <c r="X2" s="4">
        <v>42.476289379999997</v>
      </c>
      <c r="Y2" s="4">
        <v>3414.2809999999999</v>
      </c>
      <c r="Z2" s="4">
        <v>87.543999999999997</v>
      </c>
      <c r="AA2" s="4" t="s">
        <v>32</v>
      </c>
    </row>
    <row r="3" spans="1:27" x14ac:dyDescent="0.3">
      <c r="A3" s="4">
        <v>2</v>
      </c>
      <c r="F3" s="4">
        <v>74.486673289999999</v>
      </c>
      <c r="G3" s="4">
        <v>42.476795699999997</v>
      </c>
      <c r="H3" s="4">
        <v>3398.924</v>
      </c>
      <c r="I3" s="4">
        <v>1.0999999999999999E-2</v>
      </c>
      <c r="J3" s="4">
        <v>1.6E-2</v>
      </c>
      <c r="K3" s="4">
        <v>1.4E-2</v>
      </c>
      <c r="L3" s="4">
        <v>1.9E-2</v>
      </c>
      <c r="M3" s="4">
        <v>2.1339999999999999</v>
      </c>
      <c r="N3" s="4" t="s">
        <v>10</v>
      </c>
      <c r="O3" s="4" t="s">
        <v>29</v>
      </c>
      <c r="P3" s="4" t="s">
        <v>129</v>
      </c>
      <c r="Q3" s="4" t="s">
        <v>130</v>
      </c>
      <c r="R3" s="4">
        <v>7</v>
      </c>
      <c r="S3" s="4">
        <v>1.3</v>
      </c>
      <c r="W3" s="4">
        <v>74.487397560000005</v>
      </c>
      <c r="X3" s="4">
        <v>42.476289379999997</v>
      </c>
      <c r="Y3" s="4">
        <v>3414.2809999999999</v>
      </c>
      <c r="Z3" s="4">
        <v>83.021000000000001</v>
      </c>
      <c r="AA3" s="4" t="s">
        <v>32</v>
      </c>
    </row>
    <row r="4" spans="1:27" x14ac:dyDescent="0.3">
      <c r="A4" s="4">
        <v>3</v>
      </c>
      <c r="F4" s="4">
        <v>74.486709570000002</v>
      </c>
      <c r="G4" s="4">
        <v>42.47676027</v>
      </c>
      <c r="H4" s="4">
        <v>3398.107</v>
      </c>
      <c r="I4" s="4">
        <v>1.4E-2</v>
      </c>
      <c r="J4" s="4">
        <v>1.2999999999999999E-2</v>
      </c>
      <c r="K4" s="4">
        <v>0.01</v>
      </c>
      <c r="L4" s="4">
        <v>1.9E-2</v>
      </c>
      <c r="M4" s="4">
        <v>2.1339999999999999</v>
      </c>
      <c r="N4" s="4" t="s">
        <v>10</v>
      </c>
      <c r="O4" s="4" t="s">
        <v>29</v>
      </c>
      <c r="P4" s="4" t="s">
        <v>131</v>
      </c>
      <c r="Q4" s="4" t="s">
        <v>132</v>
      </c>
      <c r="R4" s="4">
        <v>6</v>
      </c>
      <c r="S4" s="4">
        <v>1.3</v>
      </c>
      <c r="W4" s="4">
        <v>74.487397560000005</v>
      </c>
      <c r="X4" s="4">
        <v>42.476289379999997</v>
      </c>
      <c r="Y4" s="4">
        <v>3414.2809999999999</v>
      </c>
      <c r="Z4" s="4">
        <v>78.370999999999995</v>
      </c>
      <c r="AA4" s="4" t="s">
        <v>32</v>
      </c>
    </row>
    <row r="5" spans="1:27" x14ac:dyDescent="0.3">
      <c r="A5" s="4">
        <v>4</v>
      </c>
      <c r="F5" s="4">
        <v>74.486743140000002</v>
      </c>
      <c r="G5" s="4">
        <v>42.476722580000001</v>
      </c>
      <c r="H5" s="4">
        <v>3396.931</v>
      </c>
      <c r="I5" s="4">
        <v>1.9E-2</v>
      </c>
      <c r="J5" s="4">
        <v>1.0999999999999999E-2</v>
      </c>
      <c r="K5" s="4">
        <v>0.01</v>
      </c>
      <c r="L5" s="4">
        <v>2.1999999999999999E-2</v>
      </c>
      <c r="M5" s="4">
        <v>2.1339999999999999</v>
      </c>
      <c r="N5" s="4" t="s">
        <v>10</v>
      </c>
      <c r="O5" s="4" t="s">
        <v>29</v>
      </c>
      <c r="P5" s="4" t="s">
        <v>133</v>
      </c>
      <c r="Q5" s="4" t="s">
        <v>134</v>
      </c>
      <c r="R5" s="4">
        <v>7</v>
      </c>
      <c r="S5" s="4">
        <v>1.3</v>
      </c>
      <c r="W5" s="4">
        <v>74.487397560000005</v>
      </c>
      <c r="X5" s="4">
        <v>42.476289379999997</v>
      </c>
      <c r="Y5" s="4">
        <v>3414.2809999999999</v>
      </c>
      <c r="Z5" s="4">
        <v>73.832999999999998</v>
      </c>
      <c r="AA5" s="4" t="s">
        <v>32</v>
      </c>
    </row>
    <row r="6" spans="1:27" x14ac:dyDescent="0.3">
      <c r="A6" s="4">
        <v>5</v>
      </c>
      <c r="F6" s="4">
        <v>74.486776759999998</v>
      </c>
      <c r="G6" s="4">
        <v>42.476686800000003</v>
      </c>
      <c r="H6" s="4">
        <v>3396.4160000000002</v>
      </c>
      <c r="I6" s="4">
        <v>1.0999999999999999E-2</v>
      </c>
      <c r="J6" s="4">
        <v>1.2E-2</v>
      </c>
      <c r="K6" s="4">
        <v>1.0999999999999999E-2</v>
      </c>
      <c r="L6" s="4">
        <v>1.6E-2</v>
      </c>
      <c r="M6" s="4">
        <v>2.1339999999999999</v>
      </c>
      <c r="N6" s="4" t="s">
        <v>10</v>
      </c>
      <c r="O6" s="4" t="s">
        <v>29</v>
      </c>
      <c r="P6" s="4" t="s">
        <v>135</v>
      </c>
      <c r="Q6" s="4" t="s">
        <v>136</v>
      </c>
      <c r="R6" s="4">
        <v>7</v>
      </c>
      <c r="S6" s="4">
        <v>1.3</v>
      </c>
      <c r="W6" s="4">
        <v>74.487397560000005</v>
      </c>
      <c r="X6" s="4">
        <v>42.476289379999997</v>
      </c>
      <c r="Y6" s="4">
        <v>3414.2809999999999</v>
      </c>
      <c r="Z6" s="4">
        <v>69.343999999999994</v>
      </c>
      <c r="AA6" s="4" t="s">
        <v>32</v>
      </c>
    </row>
    <row r="7" spans="1:27" x14ac:dyDescent="0.3">
      <c r="A7" s="4">
        <v>6</v>
      </c>
      <c r="F7" s="4">
        <v>74.486809239999999</v>
      </c>
      <c r="G7" s="4">
        <v>42.476651689999997</v>
      </c>
      <c r="H7" s="4">
        <v>3396.5540000000001</v>
      </c>
      <c r="I7" s="4">
        <v>0.01</v>
      </c>
      <c r="J7" s="4">
        <v>1.2999999999999999E-2</v>
      </c>
      <c r="K7" s="4">
        <v>1.2E-2</v>
      </c>
      <c r="L7" s="4">
        <v>1.7000000000000001E-2</v>
      </c>
      <c r="M7" s="4">
        <v>2.1339999999999999</v>
      </c>
      <c r="N7" s="4" t="s">
        <v>10</v>
      </c>
      <c r="O7" s="4" t="s">
        <v>29</v>
      </c>
      <c r="P7" s="4" t="s">
        <v>137</v>
      </c>
      <c r="Q7" s="4" t="s">
        <v>138</v>
      </c>
      <c r="R7" s="4">
        <v>7</v>
      </c>
      <c r="S7" s="4">
        <v>1.3</v>
      </c>
      <c r="W7" s="4">
        <v>74.487397560000005</v>
      </c>
      <c r="X7" s="4">
        <v>42.476289379999997</v>
      </c>
      <c r="Y7" s="4">
        <v>3414.2809999999999</v>
      </c>
      <c r="Z7" s="4">
        <v>64.88</v>
      </c>
      <c r="AA7" s="4" t="s">
        <v>32</v>
      </c>
    </row>
    <row r="8" spans="1:27" x14ac:dyDescent="0.3">
      <c r="A8" s="4">
        <v>7</v>
      </c>
      <c r="F8" s="4">
        <v>74.486847879999999</v>
      </c>
      <c r="G8" s="4">
        <v>42.476617529999999</v>
      </c>
      <c r="H8" s="4">
        <v>3397.0819999999999</v>
      </c>
      <c r="I8" s="4">
        <v>1.4999999999999999E-2</v>
      </c>
      <c r="J8" s="4">
        <v>1.2999999999999999E-2</v>
      </c>
      <c r="K8" s="4">
        <v>0.01</v>
      </c>
      <c r="L8" s="4">
        <v>0.02</v>
      </c>
      <c r="M8" s="4">
        <v>2.1339999999999999</v>
      </c>
      <c r="N8" s="4" t="s">
        <v>10</v>
      </c>
      <c r="O8" s="4" t="s">
        <v>29</v>
      </c>
      <c r="P8" s="4" t="s">
        <v>139</v>
      </c>
      <c r="Q8" s="4" t="s">
        <v>140</v>
      </c>
      <c r="R8" s="4">
        <v>6</v>
      </c>
      <c r="S8" s="4">
        <v>1.3</v>
      </c>
      <c r="W8" s="4">
        <v>74.487397560000005</v>
      </c>
      <c r="X8" s="4">
        <v>42.476289379999997</v>
      </c>
      <c r="Y8" s="4">
        <v>3414.2809999999999</v>
      </c>
      <c r="Z8" s="4">
        <v>60.023000000000003</v>
      </c>
      <c r="AA8" s="4" t="s">
        <v>32</v>
      </c>
    </row>
    <row r="9" spans="1:27" x14ac:dyDescent="0.3">
      <c r="A9" s="4">
        <v>8</v>
      </c>
      <c r="F9" s="4">
        <v>74.486877019999994</v>
      </c>
      <c r="G9" s="4">
        <v>42.476574280000001</v>
      </c>
      <c r="H9" s="4">
        <v>3397.9180000000001</v>
      </c>
      <c r="I9" s="4">
        <v>0.01</v>
      </c>
      <c r="J9" s="4">
        <v>1.9E-2</v>
      </c>
      <c r="K9" s="4">
        <v>1.4E-2</v>
      </c>
      <c r="L9" s="4">
        <v>2.1999999999999999E-2</v>
      </c>
      <c r="M9" s="4">
        <v>2.1339999999999999</v>
      </c>
      <c r="N9" s="4" t="s">
        <v>10</v>
      </c>
      <c r="O9" s="4" t="s">
        <v>29</v>
      </c>
      <c r="P9" s="4" t="s">
        <v>141</v>
      </c>
      <c r="Q9" s="4" t="s">
        <v>142</v>
      </c>
      <c r="R9" s="4">
        <v>7</v>
      </c>
      <c r="S9" s="4">
        <v>1.3</v>
      </c>
      <c r="W9" s="4">
        <v>74.487397560000005</v>
      </c>
      <c r="X9" s="4">
        <v>42.476289379999997</v>
      </c>
      <c r="Y9" s="4">
        <v>3414.2809999999999</v>
      </c>
      <c r="Z9" s="4">
        <v>55.112000000000002</v>
      </c>
      <c r="AA9" s="4" t="s">
        <v>32</v>
      </c>
    </row>
    <row r="10" spans="1:27" x14ac:dyDescent="0.3">
      <c r="A10" s="4">
        <v>9</v>
      </c>
      <c r="F10" s="4">
        <v>74.48691006</v>
      </c>
      <c r="G10" s="4">
        <v>42.47653854</v>
      </c>
      <c r="H10" s="4">
        <v>3398.55</v>
      </c>
      <c r="I10" s="4">
        <v>1.2999999999999999E-2</v>
      </c>
      <c r="J10" s="4">
        <v>1.4999999999999999E-2</v>
      </c>
      <c r="K10" s="4">
        <v>0.01</v>
      </c>
      <c r="L10" s="4">
        <v>0.02</v>
      </c>
      <c r="M10" s="4">
        <v>2.1339999999999999</v>
      </c>
      <c r="N10" s="4" t="s">
        <v>10</v>
      </c>
      <c r="O10" s="4" t="s">
        <v>29</v>
      </c>
      <c r="P10" s="4" t="s">
        <v>143</v>
      </c>
      <c r="Q10" s="4" t="s">
        <v>144</v>
      </c>
      <c r="R10" s="4">
        <v>6</v>
      </c>
      <c r="S10" s="4">
        <v>1.3</v>
      </c>
      <c r="W10" s="4">
        <v>74.487397560000005</v>
      </c>
      <c r="X10" s="4">
        <v>42.476289379999997</v>
      </c>
      <c r="Y10" s="4">
        <v>3414.2809999999999</v>
      </c>
      <c r="Z10" s="4">
        <v>50.593000000000004</v>
      </c>
      <c r="AA10" s="4" t="s">
        <v>32</v>
      </c>
    </row>
    <row r="11" spans="1:27" x14ac:dyDescent="0.3">
      <c r="A11" s="4">
        <v>10</v>
      </c>
      <c r="F11" s="4">
        <v>74.486943960000005</v>
      </c>
      <c r="G11" s="4">
        <v>42.476502490000001</v>
      </c>
      <c r="H11" s="4">
        <v>3399.1379999999999</v>
      </c>
      <c r="I11" s="4">
        <v>1.0999999999999999E-2</v>
      </c>
      <c r="J11" s="4">
        <v>1.2E-2</v>
      </c>
      <c r="K11" s="4">
        <v>1.0999999999999999E-2</v>
      </c>
      <c r="L11" s="4">
        <v>1.6E-2</v>
      </c>
      <c r="M11" s="4">
        <v>2.1339999999999999</v>
      </c>
      <c r="N11" s="4" t="s">
        <v>10</v>
      </c>
      <c r="O11" s="4" t="s">
        <v>29</v>
      </c>
      <c r="P11" s="4" t="s">
        <v>145</v>
      </c>
      <c r="Q11" s="4" t="s">
        <v>146</v>
      </c>
      <c r="R11" s="4">
        <v>6</v>
      </c>
      <c r="S11" s="4">
        <v>1.3</v>
      </c>
      <c r="W11" s="4">
        <v>74.487397560000005</v>
      </c>
      <c r="X11" s="4">
        <v>42.476289379999997</v>
      </c>
      <c r="Y11" s="4">
        <v>3414.2809999999999</v>
      </c>
      <c r="Z11" s="4">
        <v>46.073999999999998</v>
      </c>
      <c r="AA11" s="4" t="s">
        <v>32</v>
      </c>
    </row>
    <row r="12" spans="1:27" x14ac:dyDescent="0.3">
      <c r="A12" s="4">
        <v>11</v>
      </c>
      <c r="F12" s="4">
        <v>74.486976130000002</v>
      </c>
      <c r="G12" s="4">
        <v>42.476468590000003</v>
      </c>
      <c r="H12" s="4">
        <v>3399.95</v>
      </c>
      <c r="I12" s="4">
        <v>1.2999999999999999E-2</v>
      </c>
      <c r="J12" s="4">
        <v>1.2E-2</v>
      </c>
      <c r="K12" s="4">
        <v>1.2E-2</v>
      </c>
      <c r="L12" s="4">
        <v>1.7000000000000001E-2</v>
      </c>
      <c r="M12" s="4">
        <v>2.1339999999999999</v>
      </c>
      <c r="N12" s="4" t="s">
        <v>10</v>
      </c>
      <c r="O12" s="4" t="s">
        <v>29</v>
      </c>
      <c r="P12" s="4" t="s">
        <v>147</v>
      </c>
      <c r="Q12" s="4" t="s">
        <v>148</v>
      </c>
      <c r="R12" s="4">
        <v>6</v>
      </c>
      <c r="S12" s="4">
        <v>1.3</v>
      </c>
      <c r="W12" s="4">
        <v>74.487397560000005</v>
      </c>
      <c r="X12" s="4">
        <v>42.476289379999997</v>
      </c>
      <c r="Y12" s="4">
        <v>3414.2809999999999</v>
      </c>
      <c r="Z12" s="4">
        <v>41.805</v>
      </c>
      <c r="AA12" s="4" t="s">
        <v>32</v>
      </c>
    </row>
    <row r="13" spans="1:27" x14ac:dyDescent="0.3">
      <c r="A13" s="4">
        <v>12</v>
      </c>
      <c r="F13" s="4">
        <v>74.487008450000005</v>
      </c>
      <c r="G13" s="4">
        <v>42.476425800000001</v>
      </c>
      <c r="H13" s="4">
        <v>3400.837</v>
      </c>
      <c r="I13" s="4">
        <v>1.2999999999999999E-2</v>
      </c>
      <c r="J13" s="4">
        <v>1.0999999999999999E-2</v>
      </c>
      <c r="K13" s="4">
        <v>1.0999999999999999E-2</v>
      </c>
      <c r="L13" s="4">
        <v>1.6E-2</v>
      </c>
      <c r="M13" s="4">
        <v>2.1339999999999999</v>
      </c>
      <c r="N13" s="4" t="s">
        <v>10</v>
      </c>
      <c r="O13" s="4" t="s">
        <v>29</v>
      </c>
      <c r="P13" s="4" t="s">
        <v>149</v>
      </c>
      <c r="Q13" s="4" t="s">
        <v>150</v>
      </c>
      <c r="R13" s="4">
        <v>6</v>
      </c>
      <c r="S13" s="4">
        <v>1.3</v>
      </c>
      <c r="W13" s="4">
        <v>74.487397560000005</v>
      </c>
      <c r="X13" s="4">
        <v>42.476289379999997</v>
      </c>
      <c r="Y13" s="4">
        <v>3414.2809999999999</v>
      </c>
      <c r="Z13" s="4">
        <v>37.188000000000002</v>
      </c>
      <c r="AA13" s="4" t="s">
        <v>32</v>
      </c>
    </row>
    <row r="14" spans="1:27" x14ac:dyDescent="0.3">
      <c r="A14" s="4">
        <v>13</v>
      </c>
      <c r="F14" s="4">
        <v>74.487036549999999</v>
      </c>
      <c r="G14" s="4">
        <v>42.476390500000001</v>
      </c>
      <c r="H14" s="4">
        <v>3401.5340000000001</v>
      </c>
      <c r="I14" s="4">
        <v>1.2E-2</v>
      </c>
      <c r="J14" s="4">
        <v>1.2E-2</v>
      </c>
      <c r="K14" s="4">
        <v>0.01</v>
      </c>
      <c r="L14" s="4">
        <v>1.7000000000000001E-2</v>
      </c>
      <c r="M14" s="4">
        <v>2.1339999999999999</v>
      </c>
      <c r="N14" s="4" t="s">
        <v>10</v>
      </c>
      <c r="O14" s="4" t="s">
        <v>29</v>
      </c>
      <c r="P14" s="4" t="s">
        <v>151</v>
      </c>
      <c r="Q14" s="4" t="s">
        <v>152</v>
      </c>
      <c r="R14" s="4">
        <v>6</v>
      </c>
      <c r="S14" s="4">
        <v>1.3</v>
      </c>
      <c r="W14" s="4">
        <v>74.487397560000005</v>
      </c>
      <c r="X14" s="4">
        <v>42.476289379999997</v>
      </c>
      <c r="Y14" s="4">
        <v>3414.2809999999999</v>
      </c>
      <c r="Z14" s="4">
        <v>33.494</v>
      </c>
      <c r="AA14" s="4" t="s">
        <v>32</v>
      </c>
    </row>
    <row r="15" spans="1:27" x14ac:dyDescent="0.3">
      <c r="A15" s="4">
        <v>14</v>
      </c>
      <c r="F15" s="4">
        <v>74.487064630000006</v>
      </c>
      <c r="G15" s="4">
        <v>42.47635047</v>
      </c>
      <c r="H15" s="4">
        <v>3402.5369999999998</v>
      </c>
      <c r="I15" s="4">
        <v>0.01</v>
      </c>
      <c r="J15" s="4">
        <v>1.2E-2</v>
      </c>
      <c r="K15" s="4">
        <v>1.2E-2</v>
      </c>
      <c r="L15" s="4">
        <v>1.6E-2</v>
      </c>
      <c r="M15" s="4">
        <v>2.1339999999999999</v>
      </c>
      <c r="N15" s="4" t="s">
        <v>10</v>
      </c>
      <c r="O15" s="4" t="s">
        <v>29</v>
      </c>
      <c r="P15" s="4" t="s">
        <v>153</v>
      </c>
      <c r="Q15" s="4" t="s">
        <v>154</v>
      </c>
      <c r="R15" s="4">
        <v>7</v>
      </c>
      <c r="S15" s="4">
        <v>1.3</v>
      </c>
      <c r="W15" s="4">
        <v>74.487397560000005</v>
      </c>
      <c r="X15" s="4">
        <v>42.476289379999997</v>
      </c>
      <c r="Y15" s="4">
        <v>3414.2809999999999</v>
      </c>
      <c r="Z15" s="4">
        <v>29.81</v>
      </c>
      <c r="AA15" s="4" t="s">
        <v>32</v>
      </c>
    </row>
    <row r="16" spans="1:27" x14ac:dyDescent="0.3">
      <c r="A16" s="4">
        <v>15</v>
      </c>
      <c r="F16" s="4">
        <v>74.487107629999997</v>
      </c>
      <c r="G16" s="4">
        <v>42.476315929999998</v>
      </c>
      <c r="H16" s="4">
        <v>3404.067</v>
      </c>
      <c r="I16" s="4">
        <v>1.4999999999999999E-2</v>
      </c>
      <c r="J16" s="4">
        <v>1.0999999999999999E-2</v>
      </c>
      <c r="K16" s="4">
        <v>0.01</v>
      </c>
      <c r="L16" s="4">
        <v>1.9E-2</v>
      </c>
      <c r="M16" s="4">
        <v>2.1339999999999999</v>
      </c>
      <c r="N16" s="4" t="s">
        <v>10</v>
      </c>
      <c r="O16" s="4" t="s">
        <v>29</v>
      </c>
      <c r="P16" s="4" t="s">
        <v>155</v>
      </c>
      <c r="Q16" s="4" t="s">
        <v>156</v>
      </c>
      <c r="R16" s="4">
        <v>6</v>
      </c>
      <c r="S16" s="4">
        <v>1.3</v>
      </c>
      <c r="W16" s="4">
        <v>74.487397560000005</v>
      </c>
      <c r="X16" s="4">
        <v>42.476289379999997</v>
      </c>
      <c r="Y16" s="4">
        <v>3414.2809999999999</v>
      </c>
      <c r="Z16" s="4">
        <v>25.353000000000002</v>
      </c>
      <c r="AA16" s="4" t="s">
        <v>32</v>
      </c>
    </row>
    <row r="17" spans="1:27" x14ac:dyDescent="0.3">
      <c r="A17" s="4">
        <v>16</v>
      </c>
      <c r="F17" s="4">
        <v>74.487133409999998</v>
      </c>
      <c r="G17" s="4">
        <v>42.47628151</v>
      </c>
      <c r="H17" s="4">
        <v>3404.83</v>
      </c>
      <c r="I17" s="4">
        <v>1.4E-2</v>
      </c>
      <c r="J17" s="4">
        <v>1.2E-2</v>
      </c>
      <c r="K17" s="4">
        <v>1.0999999999999999E-2</v>
      </c>
      <c r="L17" s="4">
        <v>1.7999999999999999E-2</v>
      </c>
      <c r="M17" s="4">
        <v>2.1339999999999999</v>
      </c>
      <c r="N17" s="4" t="s">
        <v>10</v>
      </c>
      <c r="O17" s="4" t="s">
        <v>29</v>
      </c>
      <c r="P17" s="4" t="s">
        <v>157</v>
      </c>
      <c r="Q17" s="4" t="s">
        <v>158</v>
      </c>
      <c r="R17" s="4">
        <v>7</v>
      </c>
      <c r="S17" s="4">
        <v>1.3</v>
      </c>
      <c r="W17" s="4">
        <v>74.487397560000005</v>
      </c>
      <c r="X17" s="4">
        <v>42.476289379999997</v>
      </c>
      <c r="Y17" s="4">
        <v>3414.2809999999999</v>
      </c>
      <c r="Z17" s="4">
        <v>22.940999999999999</v>
      </c>
      <c r="AA17" s="4" t="s">
        <v>32</v>
      </c>
    </row>
    <row r="18" spans="1:27" x14ac:dyDescent="0.3">
      <c r="A18" s="4">
        <v>17</v>
      </c>
      <c r="F18" s="4">
        <v>74.487161220000004</v>
      </c>
      <c r="G18" s="4">
        <v>42.47624064</v>
      </c>
      <c r="H18" s="4">
        <v>3405.9009999999998</v>
      </c>
      <c r="I18" s="4">
        <v>1.2999999999999999E-2</v>
      </c>
      <c r="J18" s="4">
        <v>1.4999999999999999E-2</v>
      </c>
      <c r="K18" s="4">
        <v>1.0999999999999999E-2</v>
      </c>
      <c r="L18" s="4">
        <v>0.02</v>
      </c>
      <c r="M18" s="4">
        <v>2.1339999999999999</v>
      </c>
      <c r="N18" s="4" t="s">
        <v>10</v>
      </c>
      <c r="O18" s="4" t="s">
        <v>29</v>
      </c>
      <c r="P18" s="4" t="s">
        <v>159</v>
      </c>
      <c r="Q18" s="4" t="s">
        <v>160</v>
      </c>
      <c r="R18" s="4">
        <v>6</v>
      </c>
      <c r="S18" s="4">
        <v>1.3</v>
      </c>
      <c r="W18" s="4">
        <v>74.487397560000005</v>
      </c>
      <c r="X18" s="4">
        <v>42.476289379999997</v>
      </c>
      <c r="Y18" s="4">
        <v>3414.2809999999999</v>
      </c>
      <c r="Z18" s="4">
        <v>21.12</v>
      </c>
      <c r="AA18" s="4" t="s">
        <v>32</v>
      </c>
    </row>
    <row r="19" spans="1:27" x14ac:dyDescent="0.3">
      <c r="A19" s="4">
        <v>18</v>
      </c>
      <c r="F19" s="4">
        <v>74.487195290000003</v>
      </c>
      <c r="G19" s="4">
        <v>42.476204860000003</v>
      </c>
      <c r="H19" s="4">
        <v>3406.9009999999998</v>
      </c>
      <c r="I19" s="4">
        <v>1.0999999999999999E-2</v>
      </c>
      <c r="J19" s="4">
        <v>1.0999999999999999E-2</v>
      </c>
      <c r="K19" s="4">
        <v>1.0999999999999999E-2</v>
      </c>
      <c r="L19" s="4">
        <v>1.4999999999999999E-2</v>
      </c>
      <c r="M19" s="4">
        <v>2.1339999999999999</v>
      </c>
      <c r="N19" s="4" t="s">
        <v>10</v>
      </c>
      <c r="O19" s="4" t="s">
        <v>29</v>
      </c>
      <c r="P19" s="4" t="s">
        <v>161</v>
      </c>
      <c r="Q19" s="4" t="s">
        <v>162</v>
      </c>
      <c r="R19" s="4">
        <v>7</v>
      </c>
      <c r="S19" s="4">
        <v>1.3</v>
      </c>
      <c r="W19" s="4">
        <v>74.487397560000005</v>
      </c>
      <c r="X19" s="4">
        <v>42.476289379999997</v>
      </c>
      <c r="Y19" s="4">
        <v>3414.2809999999999</v>
      </c>
      <c r="Z19" s="4">
        <v>19.821999999999999</v>
      </c>
      <c r="AA19" s="4" t="s">
        <v>32</v>
      </c>
    </row>
    <row r="20" spans="1:27" x14ac:dyDescent="0.3">
      <c r="A20" s="4">
        <v>19</v>
      </c>
      <c r="F20" s="4">
        <v>74.487227419999996</v>
      </c>
      <c r="G20" s="4">
        <v>42.476168149999999</v>
      </c>
      <c r="H20" s="4">
        <v>3407.8589999999999</v>
      </c>
      <c r="I20" s="4">
        <v>1.0999999999999999E-2</v>
      </c>
      <c r="J20" s="4">
        <v>1.7999999999999999E-2</v>
      </c>
      <c r="K20" s="4">
        <v>1.2E-2</v>
      </c>
      <c r="L20" s="4">
        <v>2.1000000000000001E-2</v>
      </c>
      <c r="M20" s="4">
        <v>2.1339999999999999</v>
      </c>
      <c r="N20" s="4" t="s">
        <v>10</v>
      </c>
      <c r="O20" s="4" t="s">
        <v>29</v>
      </c>
      <c r="P20" s="4" t="s">
        <v>163</v>
      </c>
      <c r="Q20" s="4" t="s">
        <v>164</v>
      </c>
      <c r="R20" s="4">
        <v>7</v>
      </c>
      <c r="S20" s="4">
        <v>1.4</v>
      </c>
      <c r="W20" s="4">
        <v>74.487397560000005</v>
      </c>
      <c r="X20" s="4">
        <v>42.476289379999997</v>
      </c>
      <c r="Y20" s="4">
        <v>3414.2809999999999</v>
      </c>
      <c r="Z20" s="4">
        <v>19.908999999999999</v>
      </c>
      <c r="AA20" s="4" t="s">
        <v>32</v>
      </c>
    </row>
    <row r="21" spans="1:27" x14ac:dyDescent="0.3">
      <c r="A21" s="4">
        <v>20</v>
      </c>
      <c r="F21" s="4">
        <v>74.487258670000003</v>
      </c>
      <c r="G21" s="4">
        <v>42.47613372</v>
      </c>
      <c r="H21" s="4">
        <v>3408.5569999999998</v>
      </c>
      <c r="I21" s="4">
        <v>1.0999999999999999E-2</v>
      </c>
      <c r="J21" s="4">
        <v>1.2E-2</v>
      </c>
      <c r="K21" s="4">
        <v>1.0999999999999999E-2</v>
      </c>
      <c r="L21" s="4">
        <v>1.6E-2</v>
      </c>
      <c r="M21" s="4">
        <v>2.1339999999999999</v>
      </c>
      <c r="N21" s="4" t="s">
        <v>10</v>
      </c>
      <c r="O21" s="4" t="s">
        <v>29</v>
      </c>
      <c r="P21" s="4" t="s">
        <v>165</v>
      </c>
      <c r="Q21" s="4" t="s">
        <v>166</v>
      </c>
      <c r="R21" s="4">
        <v>6</v>
      </c>
      <c r="S21" s="4">
        <v>1.3</v>
      </c>
      <c r="W21" s="4">
        <v>74.487397560000005</v>
      </c>
      <c r="X21" s="4">
        <v>42.476289379999997</v>
      </c>
      <c r="Y21" s="4">
        <v>3414.2809999999999</v>
      </c>
      <c r="Z21" s="4">
        <v>21.045999999999999</v>
      </c>
      <c r="AA21" s="4" t="s">
        <v>32</v>
      </c>
    </row>
    <row r="22" spans="1:27" x14ac:dyDescent="0.3">
      <c r="A22" s="4">
        <v>21</v>
      </c>
      <c r="F22" s="4">
        <v>74.487292449999998</v>
      </c>
      <c r="G22" s="4">
        <v>42.476093990000003</v>
      </c>
      <c r="H22" s="4">
        <v>3409.884</v>
      </c>
      <c r="I22" s="4">
        <v>1.4999999999999999E-2</v>
      </c>
      <c r="J22" s="4">
        <v>1.7000000000000001E-2</v>
      </c>
      <c r="K22" s="4">
        <v>0.01</v>
      </c>
      <c r="L22" s="4">
        <v>2.1999999999999999E-2</v>
      </c>
      <c r="M22" s="4">
        <v>2.1339999999999999</v>
      </c>
      <c r="N22" s="4" t="s">
        <v>10</v>
      </c>
      <c r="O22" s="4" t="s">
        <v>29</v>
      </c>
      <c r="P22" s="4" t="s">
        <v>167</v>
      </c>
      <c r="Q22" s="4" t="s">
        <v>168</v>
      </c>
      <c r="R22" s="4">
        <v>6</v>
      </c>
      <c r="S22" s="4">
        <v>1.3</v>
      </c>
      <c r="W22" s="4">
        <v>74.487397560000005</v>
      </c>
      <c r="X22" s="4">
        <v>42.476289379999997</v>
      </c>
      <c r="Y22" s="4">
        <v>3414.2809999999999</v>
      </c>
      <c r="Z22" s="4">
        <v>23.48</v>
      </c>
      <c r="AA22" s="4" t="s">
        <v>32</v>
      </c>
    </row>
    <row r="23" spans="1:27" x14ac:dyDescent="0.3">
      <c r="A23" s="4">
        <v>22</v>
      </c>
      <c r="F23" s="4">
        <v>74.487330049999997</v>
      </c>
      <c r="G23" s="4">
        <v>42.47606021</v>
      </c>
      <c r="H23" s="4">
        <v>3410.5819999999999</v>
      </c>
      <c r="I23" s="4">
        <v>1.0999999999999999E-2</v>
      </c>
      <c r="J23" s="4">
        <v>1.7000000000000001E-2</v>
      </c>
      <c r="K23" s="4">
        <v>0.01</v>
      </c>
      <c r="L23" s="4">
        <v>0.02</v>
      </c>
      <c r="M23" s="4">
        <v>2.1339999999999999</v>
      </c>
      <c r="N23" s="4" t="s">
        <v>10</v>
      </c>
      <c r="O23" s="4" t="s">
        <v>29</v>
      </c>
      <c r="P23" s="4" t="s">
        <v>169</v>
      </c>
      <c r="Q23" s="4" t="s">
        <v>170</v>
      </c>
      <c r="R23" s="4">
        <v>7</v>
      </c>
      <c r="S23" s="4">
        <v>1.3</v>
      </c>
      <c r="W23" s="4">
        <v>74.487397560000005</v>
      </c>
      <c r="X23" s="4">
        <v>42.476289379999997</v>
      </c>
      <c r="Y23" s="4">
        <v>3414.2809999999999</v>
      </c>
      <c r="Z23" s="4">
        <v>26.131</v>
      </c>
      <c r="AA23" s="4" t="s">
        <v>32</v>
      </c>
    </row>
    <row r="24" spans="1:27" x14ac:dyDescent="0.3">
      <c r="A24" s="4">
        <v>23</v>
      </c>
      <c r="F24" s="4">
        <v>74.487360499999994</v>
      </c>
      <c r="G24" s="4">
        <v>42.476022970000002</v>
      </c>
      <c r="H24" s="4">
        <v>3411.46</v>
      </c>
      <c r="I24" s="4">
        <v>1.2E-2</v>
      </c>
      <c r="J24" s="4">
        <v>1.2E-2</v>
      </c>
      <c r="K24" s="4">
        <v>0.01</v>
      </c>
      <c r="L24" s="4">
        <v>1.7000000000000001E-2</v>
      </c>
      <c r="M24" s="4">
        <v>2.1339999999999999</v>
      </c>
      <c r="N24" s="4" t="s">
        <v>10</v>
      </c>
      <c r="O24" s="4" t="s">
        <v>29</v>
      </c>
      <c r="P24" s="4" t="s">
        <v>171</v>
      </c>
      <c r="Q24" s="4" t="s">
        <v>172</v>
      </c>
      <c r="R24" s="4">
        <v>7</v>
      </c>
      <c r="S24" s="4">
        <v>1.4</v>
      </c>
      <c r="W24" s="4">
        <v>74.487397560000005</v>
      </c>
      <c r="X24" s="4">
        <v>42.476289379999997</v>
      </c>
      <c r="Y24" s="4">
        <v>3414.2809999999999</v>
      </c>
      <c r="Z24" s="4">
        <v>29.765999999999998</v>
      </c>
      <c r="AA24" s="4" t="s">
        <v>32</v>
      </c>
    </row>
    <row r="25" spans="1:27" x14ac:dyDescent="0.3">
      <c r="A25" s="4">
        <v>24</v>
      </c>
      <c r="F25" s="4">
        <v>74.487395829999997</v>
      </c>
      <c r="G25" s="4">
        <v>42.475987779999997</v>
      </c>
      <c r="H25" s="4">
        <v>3411.9479999999999</v>
      </c>
      <c r="I25" s="4">
        <v>1.0999999999999999E-2</v>
      </c>
      <c r="J25" s="4">
        <v>1.2E-2</v>
      </c>
      <c r="K25" s="4">
        <v>1.4E-2</v>
      </c>
      <c r="L25" s="4">
        <v>1.7000000000000001E-2</v>
      </c>
      <c r="M25" s="4">
        <v>2.1339999999999999</v>
      </c>
      <c r="N25" s="4" t="s">
        <v>10</v>
      </c>
      <c r="O25" s="4" t="s">
        <v>29</v>
      </c>
      <c r="P25" s="4" t="s">
        <v>173</v>
      </c>
      <c r="Q25" s="4" t="s">
        <v>174</v>
      </c>
      <c r="R25" s="4">
        <v>6</v>
      </c>
      <c r="S25" s="4">
        <v>1.3</v>
      </c>
      <c r="W25" s="4">
        <v>74.487397560000005</v>
      </c>
      <c r="X25" s="4">
        <v>42.476289379999997</v>
      </c>
      <c r="Y25" s="4">
        <v>3414.2809999999999</v>
      </c>
      <c r="Z25" s="4">
        <v>33.515999999999998</v>
      </c>
      <c r="AA25" s="4" t="s">
        <v>32</v>
      </c>
    </row>
    <row r="26" spans="1:27" x14ac:dyDescent="0.3">
      <c r="A26" s="4">
        <v>25</v>
      </c>
      <c r="F26" s="4">
        <v>74.487415850000005</v>
      </c>
      <c r="G26" s="4">
        <v>42.47595012</v>
      </c>
      <c r="H26" s="4">
        <v>3412.433</v>
      </c>
      <c r="I26" s="4">
        <v>0.01</v>
      </c>
      <c r="J26" s="4">
        <v>1.0999999999999999E-2</v>
      </c>
      <c r="K26" s="4">
        <v>0.01</v>
      </c>
      <c r="L26" s="4">
        <v>1.4999999999999999E-2</v>
      </c>
      <c r="M26" s="4">
        <v>2.1339999999999999</v>
      </c>
      <c r="N26" s="4" t="s">
        <v>10</v>
      </c>
      <c r="O26" s="4" t="s">
        <v>29</v>
      </c>
      <c r="P26" s="4" t="s">
        <v>175</v>
      </c>
      <c r="Q26" s="4" t="s">
        <v>176</v>
      </c>
      <c r="R26" s="4">
        <v>7</v>
      </c>
      <c r="S26" s="4">
        <v>1.4</v>
      </c>
      <c r="W26" s="4">
        <v>74.487397560000005</v>
      </c>
      <c r="X26" s="4">
        <v>42.476289379999997</v>
      </c>
      <c r="Y26" s="4">
        <v>3414.2809999999999</v>
      </c>
      <c r="Z26" s="4">
        <v>37.743000000000002</v>
      </c>
      <c r="AA26" s="4" t="s">
        <v>32</v>
      </c>
    </row>
    <row r="27" spans="1:27" x14ac:dyDescent="0.3">
      <c r="A27" s="4">
        <v>26</v>
      </c>
      <c r="F27" s="4">
        <v>74.487450339999995</v>
      </c>
      <c r="G27" s="4">
        <v>42.475909100000003</v>
      </c>
      <c r="H27" s="4">
        <v>3412.7820000000002</v>
      </c>
      <c r="I27" s="4">
        <v>1.4999999999999999E-2</v>
      </c>
      <c r="J27" s="4">
        <v>1.0999999999999999E-2</v>
      </c>
      <c r="K27" s="4">
        <v>1.0999999999999999E-2</v>
      </c>
      <c r="L27" s="4">
        <v>1.7999999999999999E-2</v>
      </c>
      <c r="M27" s="4">
        <v>2.1339999999999999</v>
      </c>
      <c r="N27" s="4" t="s">
        <v>10</v>
      </c>
      <c r="O27" s="4" t="s">
        <v>29</v>
      </c>
      <c r="P27" s="4" t="s">
        <v>177</v>
      </c>
      <c r="Q27" s="4" t="s">
        <v>178</v>
      </c>
      <c r="R27" s="4">
        <v>6</v>
      </c>
      <c r="S27" s="4">
        <v>1.3</v>
      </c>
      <c r="W27" s="4">
        <v>74.487397560000005</v>
      </c>
      <c r="X27" s="4">
        <v>42.476289379999997</v>
      </c>
      <c r="Y27" s="4">
        <v>3414.2809999999999</v>
      </c>
      <c r="Z27" s="4">
        <v>42.488</v>
      </c>
      <c r="AA27" s="4" t="s">
        <v>32</v>
      </c>
    </row>
    <row r="28" spans="1:27" x14ac:dyDescent="0.3">
      <c r="A28" s="4">
        <v>27</v>
      </c>
      <c r="F28" s="4">
        <v>74.487485140000004</v>
      </c>
      <c r="G28" s="4">
        <v>42.475875680000001</v>
      </c>
      <c r="H28" s="4">
        <v>3413.2289999999998</v>
      </c>
      <c r="I28" s="4">
        <v>0.01</v>
      </c>
      <c r="J28" s="4">
        <v>1.0999999999999999E-2</v>
      </c>
      <c r="K28" s="4">
        <v>1.0999999999999999E-2</v>
      </c>
      <c r="L28" s="4">
        <v>1.4999999999999999E-2</v>
      </c>
      <c r="M28" s="4">
        <v>2.1339999999999999</v>
      </c>
      <c r="N28" s="4" t="s">
        <v>10</v>
      </c>
      <c r="O28" s="4" t="s">
        <v>29</v>
      </c>
      <c r="P28" s="4" t="s">
        <v>179</v>
      </c>
      <c r="Q28" s="4" t="s">
        <v>180</v>
      </c>
      <c r="R28" s="4">
        <v>6</v>
      </c>
      <c r="S28" s="4">
        <v>1.3</v>
      </c>
      <c r="W28" s="4">
        <v>74.487397560000005</v>
      </c>
      <c r="X28" s="4">
        <v>42.476289379999997</v>
      </c>
      <c r="Y28" s="4">
        <v>3414.2809999999999</v>
      </c>
      <c r="Z28" s="4">
        <v>46.545000000000002</v>
      </c>
      <c r="AA28" s="4" t="s">
        <v>32</v>
      </c>
    </row>
    <row r="29" spans="1:27" x14ac:dyDescent="0.3">
      <c r="A29" s="4">
        <v>28</v>
      </c>
      <c r="F29" s="4">
        <v>74.487520529999998</v>
      </c>
      <c r="G29" s="4">
        <v>42.475837579999997</v>
      </c>
      <c r="H29" s="4">
        <v>3414.002</v>
      </c>
      <c r="I29" s="4">
        <v>0.01</v>
      </c>
      <c r="J29" s="4">
        <v>1.0999999999999999E-2</v>
      </c>
      <c r="K29" s="4">
        <v>1.2E-2</v>
      </c>
      <c r="L29" s="4">
        <v>1.4999999999999999E-2</v>
      </c>
      <c r="M29" s="4">
        <v>2.1339999999999999</v>
      </c>
      <c r="N29" s="4" t="s">
        <v>10</v>
      </c>
      <c r="O29" s="4" t="s">
        <v>29</v>
      </c>
      <c r="P29" s="4" t="s">
        <v>181</v>
      </c>
      <c r="Q29" s="4" t="s">
        <v>182</v>
      </c>
      <c r="R29" s="4">
        <v>6</v>
      </c>
      <c r="S29" s="4">
        <v>1.3</v>
      </c>
      <c r="W29" s="4">
        <v>74.487397560000005</v>
      </c>
      <c r="X29" s="4">
        <v>42.476289379999997</v>
      </c>
      <c r="Y29" s="4">
        <v>3414.2809999999999</v>
      </c>
      <c r="Z29" s="4">
        <v>51.255000000000003</v>
      </c>
      <c r="AA29" s="4" t="s">
        <v>32</v>
      </c>
    </row>
    <row r="30" spans="1:27" x14ac:dyDescent="0.3">
      <c r="A30" s="4">
        <v>29</v>
      </c>
      <c r="F30" s="4">
        <v>74.487545879999999</v>
      </c>
      <c r="G30" s="4">
        <v>42.475795669999997</v>
      </c>
      <c r="H30" s="4">
        <v>3414.415</v>
      </c>
      <c r="I30" s="4">
        <v>1.2E-2</v>
      </c>
      <c r="J30" s="4">
        <v>0.01</v>
      </c>
      <c r="K30" s="4">
        <v>1.0999999999999999E-2</v>
      </c>
      <c r="L30" s="4">
        <v>1.6E-2</v>
      </c>
      <c r="M30" s="4">
        <v>2.1339999999999999</v>
      </c>
      <c r="N30" s="4" t="s">
        <v>10</v>
      </c>
      <c r="O30" s="4" t="s">
        <v>29</v>
      </c>
      <c r="P30" s="4" t="s">
        <v>183</v>
      </c>
      <c r="Q30" s="4" t="s">
        <v>184</v>
      </c>
      <c r="R30" s="4">
        <v>6</v>
      </c>
      <c r="S30" s="4">
        <v>1.3</v>
      </c>
      <c r="W30" s="4">
        <v>74.487397560000005</v>
      </c>
      <c r="X30" s="4">
        <v>42.476289379999997</v>
      </c>
      <c r="Y30" s="4">
        <v>3414.2809999999999</v>
      </c>
      <c r="Z30" s="4">
        <v>56.256</v>
      </c>
      <c r="AA30" s="4" t="s">
        <v>32</v>
      </c>
    </row>
    <row r="31" spans="1:27" x14ac:dyDescent="0.3">
      <c r="A31" s="4">
        <v>30</v>
      </c>
      <c r="F31" s="4">
        <v>74.487577029999997</v>
      </c>
      <c r="G31" s="4">
        <v>42.475754979999998</v>
      </c>
      <c r="H31" s="4">
        <v>3415.0830000000001</v>
      </c>
      <c r="I31" s="4">
        <v>1.2E-2</v>
      </c>
      <c r="J31" s="4">
        <v>1.4999999999999999E-2</v>
      </c>
      <c r="K31" s="4">
        <v>0.01</v>
      </c>
      <c r="L31" s="4">
        <v>0.02</v>
      </c>
      <c r="M31" s="4">
        <v>2.1339999999999999</v>
      </c>
      <c r="N31" s="4" t="s">
        <v>10</v>
      </c>
      <c r="O31" s="4" t="s">
        <v>29</v>
      </c>
      <c r="P31" s="4" t="s">
        <v>185</v>
      </c>
      <c r="Q31" s="4" t="s">
        <v>186</v>
      </c>
      <c r="R31" s="4">
        <v>6</v>
      </c>
      <c r="S31" s="4">
        <v>1.3</v>
      </c>
      <c r="W31" s="4">
        <v>74.487397560000005</v>
      </c>
      <c r="X31" s="4">
        <v>42.476289379999997</v>
      </c>
      <c r="Y31" s="4">
        <v>3414.2809999999999</v>
      </c>
      <c r="Z31" s="4">
        <v>61.265000000000001</v>
      </c>
      <c r="AA31" s="4" t="s">
        <v>32</v>
      </c>
    </row>
    <row r="32" spans="1:27" x14ac:dyDescent="0.3">
      <c r="A32" s="4">
        <v>31</v>
      </c>
      <c r="F32" s="4">
        <v>74.487606549999995</v>
      </c>
      <c r="G32" s="4">
        <v>42.475722699999999</v>
      </c>
      <c r="H32" s="4">
        <v>3415.8829999999998</v>
      </c>
      <c r="I32" s="4">
        <v>0.01</v>
      </c>
      <c r="J32" s="4">
        <v>1.0999999999999999E-2</v>
      </c>
      <c r="K32" s="4">
        <v>0.01</v>
      </c>
      <c r="L32" s="4">
        <v>1.4999999999999999E-2</v>
      </c>
      <c r="M32" s="4">
        <v>2.1339999999999999</v>
      </c>
      <c r="N32" s="4" t="s">
        <v>10</v>
      </c>
      <c r="O32" s="4" t="s">
        <v>29</v>
      </c>
      <c r="P32" s="4" t="s">
        <v>187</v>
      </c>
      <c r="Q32" s="4" t="s">
        <v>188</v>
      </c>
      <c r="R32" s="4">
        <v>6</v>
      </c>
      <c r="S32" s="4">
        <v>1.3</v>
      </c>
      <c r="W32" s="4">
        <v>74.487397560000005</v>
      </c>
      <c r="X32" s="4">
        <v>42.476289379999997</v>
      </c>
      <c r="Y32" s="4">
        <v>3414.2809999999999</v>
      </c>
      <c r="Z32" s="4">
        <v>65.391999999999996</v>
      </c>
      <c r="AA32" s="4" t="s">
        <v>32</v>
      </c>
    </row>
    <row r="33" spans="1:27" x14ac:dyDescent="0.3">
      <c r="A33" s="4">
        <v>32</v>
      </c>
      <c r="F33" s="4">
        <v>74.487634650000004</v>
      </c>
      <c r="G33" s="4">
        <v>42.475681289999997</v>
      </c>
      <c r="H33" s="4">
        <v>3416.261</v>
      </c>
      <c r="I33" s="4">
        <v>1.0999999999999999E-2</v>
      </c>
      <c r="J33" s="4">
        <v>1.4E-2</v>
      </c>
      <c r="K33" s="4">
        <v>0.01</v>
      </c>
      <c r="L33" s="4">
        <v>1.7000000000000001E-2</v>
      </c>
      <c r="M33" s="4">
        <v>2.1339999999999999</v>
      </c>
      <c r="N33" s="4" t="s">
        <v>10</v>
      </c>
      <c r="O33" s="4" t="s">
        <v>29</v>
      </c>
      <c r="P33" s="4" t="s">
        <v>189</v>
      </c>
      <c r="Q33" s="4" t="s">
        <v>190</v>
      </c>
      <c r="R33" s="4">
        <v>6</v>
      </c>
      <c r="S33" s="4">
        <v>1.3</v>
      </c>
      <c r="W33" s="4">
        <v>74.487397560000005</v>
      </c>
      <c r="X33" s="4">
        <v>42.476289379999997</v>
      </c>
      <c r="Y33" s="4">
        <v>3414.2809999999999</v>
      </c>
      <c r="Z33" s="4">
        <v>70.448999999999998</v>
      </c>
      <c r="AA33" s="4" t="s">
        <v>32</v>
      </c>
    </row>
    <row r="34" spans="1:27" x14ac:dyDescent="0.3">
      <c r="A34" s="4">
        <v>33</v>
      </c>
      <c r="F34" s="4">
        <v>74.487658510000003</v>
      </c>
      <c r="G34" s="4">
        <v>42.475637550000002</v>
      </c>
      <c r="H34" s="4">
        <v>3416.616</v>
      </c>
      <c r="I34" s="4">
        <v>1.0999999999999999E-2</v>
      </c>
      <c r="J34" s="4">
        <v>1.2999999999999999E-2</v>
      </c>
      <c r="K34" s="4">
        <v>1.0999999999999999E-2</v>
      </c>
      <c r="L34" s="4">
        <v>1.7000000000000001E-2</v>
      </c>
      <c r="M34" s="4">
        <v>2.1339999999999999</v>
      </c>
      <c r="N34" s="4" t="s">
        <v>10</v>
      </c>
      <c r="O34" s="4" t="s">
        <v>29</v>
      </c>
      <c r="P34" s="4" t="s">
        <v>191</v>
      </c>
      <c r="Q34" s="4" t="s">
        <v>192</v>
      </c>
      <c r="R34" s="4">
        <v>6</v>
      </c>
      <c r="S34" s="4">
        <v>1.3</v>
      </c>
      <c r="W34" s="4">
        <v>74.487397560000005</v>
      </c>
      <c r="X34" s="4">
        <v>42.476289379999997</v>
      </c>
      <c r="Y34" s="4">
        <v>3414.2809999999999</v>
      </c>
      <c r="Z34" s="4">
        <v>75.683000000000007</v>
      </c>
      <c r="AA34" s="4" t="s">
        <v>32</v>
      </c>
    </row>
    <row r="35" spans="1:27" x14ac:dyDescent="0.3">
      <c r="A35" s="4">
        <v>34</v>
      </c>
      <c r="F35" s="4">
        <v>74.487689230000001</v>
      </c>
      <c r="G35" s="4">
        <v>42.475599719999998</v>
      </c>
      <c r="H35" s="4">
        <v>3417.1550000000002</v>
      </c>
      <c r="I35" s="4">
        <v>1.2E-2</v>
      </c>
      <c r="J35" s="4">
        <v>1.2999999999999999E-2</v>
      </c>
      <c r="K35" s="4">
        <v>1.2E-2</v>
      </c>
      <c r="L35" s="4">
        <v>1.7999999999999999E-2</v>
      </c>
      <c r="M35" s="4">
        <v>2.1339999999999999</v>
      </c>
      <c r="N35" s="4" t="s">
        <v>10</v>
      </c>
      <c r="O35" s="4" t="s">
        <v>29</v>
      </c>
      <c r="P35" s="4" t="s">
        <v>193</v>
      </c>
      <c r="Q35" s="4" t="s">
        <v>194</v>
      </c>
      <c r="R35" s="4">
        <v>7</v>
      </c>
      <c r="S35" s="4">
        <v>1.3</v>
      </c>
      <c r="W35" s="4">
        <v>74.487397560000005</v>
      </c>
      <c r="X35" s="4">
        <v>42.476289379999997</v>
      </c>
      <c r="Y35" s="4">
        <v>3414.2809999999999</v>
      </c>
      <c r="Z35" s="4">
        <v>80.474999999999994</v>
      </c>
      <c r="AA35" s="4" t="s">
        <v>32</v>
      </c>
    </row>
    <row r="36" spans="1:27" x14ac:dyDescent="0.3">
      <c r="A36" s="4">
        <v>35</v>
      </c>
      <c r="F36" s="4">
        <v>74.487720539999998</v>
      </c>
      <c r="G36" s="4">
        <v>42.475563520000001</v>
      </c>
      <c r="H36" s="4">
        <v>3417.9290000000001</v>
      </c>
      <c r="I36" s="4">
        <v>1.2999999999999999E-2</v>
      </c>
      <c r="J36" s="4">
        <v>1.0999999999999999E-2</v>
      </c>
      <c r="K36" s="4">
        <v>1.2E-2</v>
      </c>
      <c r="L36" s="4">
        <v>1.7000000000000001E-2</v>
      </c>
      <c r="M36" s="4">
        <v>2.1339999999999999</v>
      </c>
      <c r="N36" s="4" t="s">
        <v>10</v>
      </c>
      <c r="O36" s="4" t="s">
        <v>29</v>
      </c>
      <c r="P36" s="4" t="s">
        <v>195</v>
      </c>
      <c r="Q36" s="4" t="s">
        <v>196</v>
      </c>
      <c r="R36" s="4">
        <v>6</v>
      </c>
      <c r="S36" s="4">
        <v>1.4</v>
      </c>
      <c r="W36" s="4">
        <v>74.487397560000005</v>
      </c>
      <c r="X36" s="4">
        <v>42.476289379999997</v>
      </c>
      <c r="Y36" s="4">
        <v>3414.2809999999999</v>
      </c>
      <c r="Z36" s="4">
        <v>85.13</v>
      </c>
      <c r="AA36" s="4" t="s">
        <v>32</v>
      </c>
    </row>
    <row r="37" spans="1:27" x14ac:dyDescent="0.3">
      <c r="A37" s="4">
        <v>36</v>
      </c>
      <c r="F37" s="4">
        <v>74.487746580000007</v>
      </c>
      <c r="G37" s="4">
        <v>42.475523539999998</v>
      </c>
      <c r="H37" s="4">
        <v>3418.1030000000001</v>
      </c>
      <c r="I37" s="4">
        <v>1.2E-2</v>
      </c>
      <c r="J37" s="4">
        <v>1.2999999999999999E-2</v>
      </c>
      <c r="K37" s="4">
        <v>0.01</v>
      </c>
      <c r="L37" s="4">
        <v>1.7000000000000001E-2</v>
      </c>
      <c r="M37" s="4">
        <v>2.1339999999999999</v>
      </c>
      <c r="N37" s="4" t="s">
        <v>10</v>
      </c>
      <c r="O37" s="4" t="s">
        <v>29</v>
      </c>
      <c r="P37" s="4" t="s">
        <v>197</v>
      </c>
      <c r="Q37" s="4" t="s">
        <v>198</v>
      </c>
      <c r="R37" s="4">
        <v>6</v>
      </c>
      <c r="S37" s="4">
        <v>1.4</v>
      </c>
      <c r="W37" s="4">
        <v>74.487397560000005</v>
      </c>
      <c r="X37" s="4">
        <v>42.476289379999997</v>
      </c>
      <c r="Y37" s="4">
        <v>3414.2809999999999</v>
      </c>
      <c r="Z37" s="4">
        <v>90.022000000000006</v>
      </c>
      <c r="AA37" s="4" t="s">
        <v>32</v>
      </c>
    </row>
    <row r="38" spans="1:27" x14ac:dyDescent="0.3">
      <c r="A38" s="4">
        <v>37</v>
      </c>
      <c r="F38" s="4">
        <v>74.487775999999997</v>
      </c>
      <c r="G38" s="4">
        <v>42.475483070000003</v>
      </c>
      <c r="H38" s="4">
        <v>3418.23</v>
      </c>
      <c r="I38" s="4">
        <v>1.0999999999999999E-2</v>
      </c>
      <c r="J38" s="4">
        <v>1.2E-2</v>
      </c>
      <c r="K38" s="4">
        <v>1.2E-2</v>
      </c>
      <c r="L38" s="4">
        <v>1.6E-2</v>
      </c>
      <c r="M38" s="4">
        <v>2.1339999999999999</v>
      </c>
      <c r="N38" s="4" t="s">
        <v>10</v>
      </c>
      <c r="O38" s="4" t="s">
        <v>29</v>
      </c>
      <c r="P38" s="4" t="s">
        <v>199</v>
      </c>
      <c r="Q38" s="4" t="s">
        <v>200</v>
      </c>
      <c r="R38" s="4">
        <v>7</v>
      </c>
      <c r="S38" s="4">
        <v>1.4</v>
      </c>
      <c r="W38" s="4">
        <v>74.487397560000005</v>
      </c>
      <c r="X38" s="4">
        <v>42.476289379999997</v>
      </c>
      <c r="Y38" s="4">
        <v>3414.2809999999999</v>
      </c>
      <c r="Z38" s="4">
        <v>95.066999999999993</v>
      </c>
      <c r="AA38" s="4" t="s">
        <v>32</v>
      </c>
    </row>
    <row r="39" spans="1:27" x14ac:dyDescent="0.3">
      <c r="A39" s="4">
        <v>38</v>
      </c>
      <c r="F39" s="4">
        <v>74.487809029999994</v>
      </c>
      <c r="G39" s="4">
        <v>42.475443419999998</v>
      </c>
      <c r="H39" s="4">
        <v>3419.3240000000001</v>
      </c>
      <c r="I39" s="4">
        <v>1.2999999999999999E-2</v>
      </c>
      <c r="J39" s="4">
        <v>1.4E-2</v>
      </c>
      <c r="K39" s="4">
        <v>1.0999999999999999E-2</v>
      </c>
      <c r="L39" s="4">
        <v>1.9E-2</v>
      </c>
      <c r="M39" s="4">
        <v>2.1339999999999999</v>
      </c>
      <c r="N39" s="4" t="s">
        <v>10</v>
      </c>
      <c r="O39" s="4" t="s">
        <v>29</v>
      </c>
      <c r="P39" s="4" t="s">
        <v>201</v>
      </c>
      <c r="Q39" s="4" t="s">
        <v>202</v>
      </c>
      <c r="R39" s="4">
        <v>7</v>
      </c>
      <c r="S39" s="4">
        <v>1.4</v>
      </c>
      <c r="W39" s="4">
        <v>74.487397560000005</v>
      </c>
      <c r="X39" s="4">
        <v>42.476289379999997</v>
      </c>
      <c r="Y39" s="4">
        <v>3414.2809999999999</v>
      </c>
      <c r="Z39" s="4">
        <v>100.16800000000001</v>
      </c>
      <c r="AA39" s="4" t="s">
        <v>32</v>
      </c>
    </row>
    <row r="40" spans="1:27" x14ac:dyDescent="0.3">
      <c r="A40" s="4">
        <v>39</v>
      </c>
      <c r="F40" s="4">
        <v>74.487833949999995</v>
      </c>
      <c r="G40" s="4">
        <v>42.475407789999998</v>
      </c>
      <c r="H40" s="4">
        <v>3419.904</v>
      </c>
      <c r="I40" s="4">
        <v>1.0999999999999999E-2</v>
      </c>
      <c r="J40" s="4">
        <v>1.0999999999999999E-2</v>
      </c>
      <c r="K40" s="4">
        <v>1.0999999999999999E-2</v>
      </c>
      <c r="L40" s="4">
        <v>1.6E-2</v>
      </c>
      <c r="M40" s="4">
        <v>2.1339999999999999</v>
      </c>
      <c r="N40" s="4" t="s">
        <v>10</v>
      </c>
      <c r="O40" s="4" t="s">
        <v>29</v>
      </c>
      <c r="P40" s="4" t="s">
        <v>203</v>
      </c>
      <c r="Q40" s="4" t="s">
        <v>204</v>
      </c>
      <c r="R40" s="4">
        <v>6</v>
      </c>
      <c r="S40" s="4">
        <v>1.4</v>
      </c>
      <c r="W40" s="4">
        <v>74.487397560000005</v>
      </c>
      <c r="X40" s="4">
        <v>42.476289379999997</v>
      </c>
      <c r="Y40" s="4">
        <v>3414.2809999999999</v>
      </c>
      <c r="Z40" s="4">
        <v>104.646</v>
      </c>
      <c r="AA40" s="4" t="s">
        <v>32</v>
      </c>
    </row>
    <row r="41" spans="1:27" x14ac:dyDescent="0.3">
      <c r="A41" s="4">
        <v>40</v>
      </c>
      <c r="F41" s="4">
        <v>74.487867879999996</v>
      </c>
      <c r="G41" s="4">
        <v>42.475369639999997</v>
      </c>
      <c r="H41" s="4">
        <v>3420.6</v>
      </c>
      <c r="I41" s="4">
        <v>1.0999999999999999E-2</v>
      </c>
      <c r="J41" s="4">
        <v>1.4999999999999999E-2</v>
      </c>
      <c r="K41" s="4">
        <v>1.4999999999999999E-2</v>
      </c>
      <c r="L41" s="4">
        <v>1.7999999999999999E-2</v>
      </c>
      <c r="M41" s="4">
        <v>2.1339999999999999</v>
      </c>
      <c r="N41" s="4" t="s">
        <v>10</v>
      </c>
      <c r="O41" s="4" t="s">
        <v>29</v>
      </c>
      <c r="P41" s="4" t="s">
        <v>205</v>
      </c>
      <c r="Q41" s="4" t="s">
        <v>206</v>
      </c>
      <c r="R41" s="4">
        <v>7</v>
      </c>
      <c r="S41" s="4">
        <v>1.4</v>
      </c>
      <c r="W41" s="4">
        <v>74.487397560000005</v>
      </c>
      <c r="X41" s="4">
        <v>42.476289379999997</v>
      </c>
      <c r="Y41" s="4">
        <v>3414.2809999999999</v>
      </c>
      <c r="Z41" s="4">
        <v>109.64</v>
      </c>
      <c r="AA41" s="4" t="s">
        <v>32</v>
      </c>
    </row>
    <row r="42" spans="1:27" x14ac:dyDescent="0.3">
      <c r="A42" s="4">
        <v>41</v>
      </c>
      <c r="F42" s="4">
        <v>74.487893319999998</v>
      </c>
      <c r="G42" s="4">
        <v>42.47532923</v>
      </c>
      <c r="H42" s="4">
        <v>3421.0410000000002</v>
      </c>
      <c r="I42" s="4">
        <v>1.0999999999999999E-2</v>
      </c>
      <c r="J42" s="4">
        <v>0.01</v>
      </c>
      <c r="K42" s="4">
        <v>1.0999999999999999E-2</v>
      </c>
      <c r="L42" s="4">
        <v>1.4999999999999999E-2</v>
      </c>
      <c r="M42" s="4">
        <v>2.1339999999999999</v>
      </c>
      <c r="N42" s="4" t="s">
        <v>10</v>
      </c>
      <c r="O42" s="4" t="s">
        <v>29</v>
      </c>
      <c r="P42" s="4" t="s">
        <v>207</v>
      </c>
      <c r="Q42" s="4" t="s">
        <v>208</v>
      </c>
      <c r="R42" s="4">
        <v>6</v>
      </c>
      <c r="S42" s="4">
        <v>1.5</v>
      </c>
      <c r="W42" s="4">
        <v>74.487397560000005</v>
      </c>
      <c r="X42" s="4">
        <v>42.476289379999997</v>
      </c>
      <c r="Y42" s="4">
        <v>3414.2809999999999</v>
      </c>
      <c r="Z42" s="4">
        <v>114.583</v>
      </c>
      <c r="AA42" s="4" t="s">
        <v>32</v>
      </c>
    </row>
    <row r="43" spans="1:27" x14ac:dyDescent="0.3">
      <c r="A43" s="4">
        <v>42</v>
      </c>
      <c r="F43" s="4">
        <v>74.487930129999995</v>
      </c>
      <c r="G43" s="4">
        <v>42.475288820000003</v>
      </c>
      <c r="H43" s="4">
        <v>3421.0880000000002</v>
      </c>
      <c r="I43" s="4">
        <v>1.0999999999999999E-2</v>
      </c>
      <c r="J43" s="4">
        <v>1.2999999999999999E-2</v>
      </c>
      <c r="K43" s="4">
        <v>1.0999999999999999E-2</v>
      </c>
      <c r="L43" s="4">
        <v>1.7000000000000001E-2</v>
      </c>
      <c r="M43" s="4">
        <v>2.1339999999999999</v>
      </c>
      <c r="N43" s="4" t="s">
        <v>10</v>
      </c>
      <c r="O43" s="4" t="s">
        <v>29</v>
      </c>
      <c r="P43" s="4" t="s">
        <v>209</v>
      </c>
      <c r="Q43" s="4" t="s">
        <v>210</v>
      </c>
      <c r="R43" s="4">
        <v>7</v>
      </c>
      <c r="S43" s="4">
        <v>1.5</v>
      </c>
      <c r="W43" s="4">
        <v>74.487397560000005</v>
      </c>
      <c r="X43" s="4">
        <v>42.476289379999997</v>
      </c>
      <c r="Y43" s="4">
        <v>3414.2809999999999</v>
      </c>
      <c r="Z43" s="4">
        <v>119.85599999999999</v>
      </c>
      <c r="AA43" s="4" t="s">
        <v>32</v>
      </c>
    </row>
    <row r="44" spans="1:27" x14ac:dyDescent="0.3">
      <c r="A44" s="4">
        <v>43</v>
      </c>
      <c r="F44" s="4">
        <v>74.487960430000001</v>
      </c>
      <c r="G44" s="4">
        <v>42.475255850000003</v>
      </c>
      <c r="H44" s="4">
        <v>3421.009</v>
      </c>
      <c r="I44" s="4">
        <v>1.0999999999999999E-2</v>
      </c>
      <c r="J44" s="4">
        <v>0.01</v>
      </c>
      <c r="K44" s="4">
        <v>1.0999999999999999E-2</v>
      </c>
      <c r="L44" s="4">
        <v>1.4999999999999999E-2</v>
      </c>
      <c r="M44" s="4">
        <v>2.1339999999999999</v>
      </c>
      <c r="N44" s="4" t="s">
        <v>10</v>
      </c>
      <c r="O44" s="4" t="s">
        <v>29</v>
      </c>
      <c r="P44" s="4" t="s">
        <v>211</v>
      </c>
      <c r="Q44" s="4" t="s">
        <v>212</v>
      </c>
      <c r="R44" s="4">
        <v>6</v>
      </c>
      <c r="S44" s="4">
        <v>1.5</v>
      </c>
      <c r="W44" s="4">
        <v>74.487397560000005</v>
      </c>
      <c r="X44" s="4">
        <v>42.476289379999997</v>
      </c>
      <c r="Y44" s="4">
        <v>3414.2809999999999</v>
      </c>
      <c r="Z44" s="4">
        <v>124.16800000000001</v>
      </c>
      <c r="AA44" s="4" t="s">
        <v>32</v>
      </c>
    </row>
    <row r="45" spans="1:27" x14ac:dyDescent="0.3">
      <c r="A45" s="4">
        <v>44</v>
      </c>
      <c r="F45" s="4">
        <v>74.487996809999999</v>
      </c>
      <c r="G45" s="4">
        <v>42.47521759</v>
      </c>
      <c r="H45" s="4">
        <v>3420.8879999999999</v>
      </c>
      <c r="I45" s="4">
        <v>0.01</v>
      </c>
      <c r="J45" s="4">
        <v>1.2999999999999999E-2</v>
      </c>
      <c r="K45" s="4">
        <v>0.01</v>
      </c>
      <c r="L45" s="4">
        <v>1.7000000000000001E-2</v>
      </c>
      <c r="M45" s="4">
        <v>2.1339999999999999</v>
      </c>
      <c r="N45" s="4" t="s">
        <v>10</v>
      </c>
      <c r="O45" s="4" t="s">
        <v>29</v>
      </c>
      <c r="P45" s="4" t="s">
        <v>213</v>
      </c>
      <c r="Q45" s="4" t="s">
        <v>214</v>
      </c>
      <c r="R45" s="4">
        <v>6</v>
      </c>
      <c r="S45" s="4">
        <v>1.5</v>
      </c>
      <c r="W45" s="4">
        <v>74.487397560000005</v>
      </c>
      <c r="X45" s="4">
        <v>42.476289379999997</v>
      </c>
      <c r="Y45" s="4">
        <v>3414.2809999999999</v>
      </c>
      <c r="Z45" s="4">
        <v>129.22999999999999</v>
      </c>
      <c r="AA45" s="4" t="s">
        <v>32</v>
      </c>
    </row>
    <row r="46" spans="1:27" x14ac:dyDescent="0.3">
      <c r="A46" s="4">
        <v>45</v>
      </c>
      <c r="F46" s="4">
        <v>74.488033630000004</v>
      </c>
      <c r="G46" s="4">
        <v>42.47517817</v>
      </c>
      <c r="H46" s="4">
        <v>3420.415</v>
      </c>
      <c r="I46" s="4">
        <v>1.2E-2</v>
      </c>
      <c r="J46" s="4">
        <v>1.2E-2</v>
      </c>
      <c r="K46" s="4">
        <v>0.01</v>
      </c>
      <c r="L46" s="4">
        <v>1.7000000000000001E-2</v>
      </c>
      <c r="M46" s="4">
        <v>2.1339999999999999</v>
      </c>
      <c r="N46" s="4" t="s">
        <v>10</v>
      </c>
      <c r="O46" s="4" t="s">
        <v>29</v>
      </c>
      <c r="P46" s="4" t="s">
        <v>215</v>
      </c>
      <c r="Q46" s="4" t="s">
        <v>216</v>
      </c>
      <c r="R46" s="4">
        <v>7</v>
      </c>
      <c r="S46" s="4">
        <v>1.4</v>
      </c>
      <c r="W46" s="4">
        <v>74.487397560000005</v>
      </c>
      <c r="X46" s="4">
        <v>42.476289379999997</v>
      </c>
      <c r="Y46" s="4">
        <v>3414.2809999999999</v>
      </c>
      <c r="Z46" s="4">
        <v>134.39099999999999</v>
      </c>
      <c r="AA46" s="4" t="s">
        <v>32</v>
      </c>
    </row>
    <row r="47" spans="1:27" x14ac:dyDescent="0.3">
      <c r="A47" s="4">
        <v>46</v>
      </c>
      <c r="F47" s="4">
        <v>74.488069980000006</v>
      </c>
      <c r="G47" s="4">
        <v>42.475146889999998</v>
      </c>
      <c r="H47" s="4">
        <v>3420.288</v>
      </c>
      <c r="I47" s="4">
        <v>1.0999999999999999E-2</v>
      </c>
      <c r="J47" s="4">
        <v>1.0999999999999999E-2</v>
      </c>
      <c r="K47" s="4">
        <v>1.2999999999999999E-2</v>
      </c>
      <c r="L47" s="4">
        <v>1.6E-2</v>
      </c>
      <c r="M47" s="4">
        <v>2.1339999999999999</v>
      </c>
      <c r="N47" s="4" t="s">
        <v>10</v>
      </c>
      <c r="O47" s="4" t="s">
        <v>29</v>
      </c>
      <c r="P47" s="4" t="s">
        <v>217</v>
      </c>
      <c r="Q47" s="4" t="s">
        <v>218</v>
      </c>
      <c r="R47" s="4">
        <v>6</v>
      </c>
      <c r="S47" s="4">
        <v>1.4</v>
      </c>
      <c r="W47" s="4">
        <v>74.487397560000005</v>
      </c>
      <c r="X47" s="4">
        <v>42.476289379999997</v>
      </c>
      <c r="Y47" s="4">
        <v>3414.2809999999999</v>
      </c>
      <c r="Z47" s="4">
        <v>138.74700000000001</v>
      </c>
      <c r="AA47" s="4" t="s">
        <v>32</v>
      </c>
    </row>
    <row r="48" spans="1:27" x14ac:dyDescent="0.3">
      <c r="A48" s="4">
        <v>47</v>
      </c>
      <c r="F48" s="4">
        <v>74.488114859999996</v>
      </c>
      <c r="G48" s="4">
        <v>42.475114499999997</v>
      </c>
      <c r="H48" s="4">
        <v>3420.491</v>
      </c>
      <c r="I48" s="4">
        <v>1.2E-2</v>
      </c>
      <c r="J48" s="4">
        <v>1.2E-2</v>
      </c>
      <c r="K48" s="4">
        <v>1.2E-2</v>
      </c>
      <c r="L48" s="4">
        <v>1.7000000000000001E-2</v>
      </c>
      <c r="M48" s="4">
        <v>2.1339999999999999</v>
      </c>
      <c r="N48" s="4" t="s">
        <v>10</v>
      </c>
      <c r="O48" s="4" t="s">
        <v>29</v>
      </c>
      <c r="P48" s="4" t="s">
        <v>219</v>
      </c>
      <c r="Q48" s="4" t="s">
        <v>220</v>
      </c>
      <c r="R48" s="4">
        <v>6</v>
      </c>
      <c r="S48" s="4">
        <v>1.4</v>
      </c>
      <c r="W48" s="4">
        <v>74.487397560000005</v>
      </c>
      <c r="X48" s="4">
        <v>42.476289379999997</v>
      </c>
      <c r="Y48" s="4">
        <v>3414.2809999999999</v>
      </c>
      <c r="Z48" s="4">
        <v>143.54400000000001</v>
      </c>
      <c r="AA48" s="4" t="s">
        <v>32</v>
      </c>
    </row>
    <row r="49" spans="1:27" x14ac:dyDescent="0.3">
      <c r="A49" s="4">
        <v>48</v>
      </c>
      <c r="F49" s="4">
        <v>74.488144250000005</v>
      </c>
      <c r="G49" s="4">
        <v>42.475072689999998</v>
      </c>
      <c r="H49" s="4">
        <v>3420.6210000000001</v>
      </c>
      <c r="I49" s="4">
        <v>1.0999999999999999E-2</v>
      </c>
      <c r="J49" s="4">
        <v>1.0999999999999999E-2</v>
      </c>
      <c r="K49" s="4">
        <v>1.0999999999999999E-2</v>
      </c>
      <c r="L49" s="4">
        <v>1.4999999999999999E-2</v>
      </c>
      <c r="M49" s="4">
        <v>2.1339999999999999</v>
      </c>
      <c r="N49" s="4" t="s">
        <v>10</v>
      </c>
      <c r="O49" s="4" t="s">
        <v>29</v>
      </c>
      <c r="P49" s="4" t="s">
        <v>221</v>
      </c>
      <c r="Q49" s="4" t="s">
        <v>222</v>
      </c>
      <c r="R49" s="4">
        <v>7</v>
      </c>
      <c r="S49" s="4">
        <v>1.4</v>
      </c>
      <c r="W49" s="4">
        <v>74.487397560000005</v>
      </c>
      <c r="X49" s="4">
        <v>42.476289379999997</v>
      </c>
      <c r="Y49" s="4">
        <v>3414.2809999999999</v>
      </c>
      <c r="Z49" s="4">
        <v>148.77199999999999</v>
      </c>
      <c r="AA49" s="4" t="s">
        <v>32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2"/>
  <sheetViews>
    <sheetView workbookViewId="0">
      <selection activeCell="F2" sqref="F2"/>
    </sheetView>
  </sheetViews>
  <sheetFormatPr defaultColWidth="11.54296875" defaultRowHeight="13" x14ac:dyDescent="0.3"/>
  <cols>
    <col min="1" max="1" width="5.54296875" style="4" bestFit="1" customWidth="1"/>
    <col min="2" max="2" width="6.54296875" style="4" bestFit="1" customWidth="1"/>
    <col min="3" max="3" width="7.81640625" style="4" bestFit="1" customWidth="1"/>
    <col min="4" max="4" width="8.1796875" style="4" bestFit="1" customWidth="1"/>
    <col min="5" max="5" width="10" style="4" bestFit="1" customWidth="1"/>
    <col min="6" max="7" width="12" style="4" bestFit="1" customWidth="1"/>
    <col min="8" max="8" width="14.1796875" style="4" bestFit="1" customWidth="1"/>
    <col min="9" max="9" width="10.54296875" style="4" bestFit="1" customWidth="1"/>
    <col min="10" max="10" width="12" style="4" bestFit="1" customWidth="1"/>
    <col min="11" max="11" width="12.453125" style="4" bestFit="1" customWidth="1"/>
    <col min="12" max="12" width="10.453125" style="4" bestFit="1" customWidth="1"/>
    <col min="13" max="13" width="13.1796875" style="4" bestFit="1" customWidth="1"/>
    <col min="14" max="14" width="17.54296875" style="4" bestFit="1" customWidth="1"/>
    <col min="15" max="15" width="12.54296875" style="4" bestFit="1" customWidth="1"/>
    <col min="16" max="17" width="28.453125" style="4" bestFit="1" customWidth="1"/>
    <col min="18" max="18" width="7.54296875" style="4" bestFit="1" customWidth="1"/>
    <col min="19" max="19" width="5.54296875" style="4" bestFit="1" customWidth="1"/>
    <col min="20" max="20" width="10.81640625" style="4" bestFit="1" customWidth="1"/>
    <col min="21" max="21" width="11.81640625" style="4" bestFit="1" customWidth="1"/>
    <col min="22" max="23" width="12.54296875" style="4" bestFit="1" customWidth="1"/>
    <col min="24" max="24" width="12" style="4" bestFit="1" customWidth="1"/>
    <col min="25" max="25" width="18.54296875" style="4" bestFit="1" customWidth="1"/>
    <col min="26" max="26" width="8" style="4" bestFit="1" customWidth="1"/>
    <col min="27" max="27" width="8.453125" style="4" bestFit="1" customWidth="1"/>
    <col min="28" max="16384" width="11.54296875" style="4"/>
  </cols>
  <sheetData>
    <row r="1" spans="1:2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7</v>
      </c>
      <c r="S1" s="3" t="s">
        <v>8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9</v>
      </c>
      <c r="AA1" s="3" t="s">
        <v>28</v>
      </c>
    </row>
    <row r="2" spans="1:27" x14ac:dyDescent="0.3">
      <c r="A2" s="4">
        <v>1</v>
      </c>
      <c r="F2" s="4">
        <v>74.489796720000001</v>
      </c>
      <c r="G2" s="4">
        <v>42.479997750000003</v>
      </c>
      <c r="H2" s="4">
        <v>3212.2959999999998</v>
      </c>
      <c r="I2" s="4">
        <v>1.6E-2</v>
      </c>
      <c r="J2" s="4">
        <v>7.6999999999999999E-2</v>
      </c>
      <c r="K2" s="4">
        <v>2.5000000000000001E-2</v>
      </c>
      <c r="L2" s="4">
        <v>7.9000000000000001E-2</v>
      </c>
      <c r="M2" s="4">
        <v>2.1339999999999999</v>
      </c>
      <c r="N2" s="4" t="s">
        <v>10</v>
      </c>
      <c r="O2" s="4" t="s">
        <v>29</v>
      </c>
      <c r="P2" s="4" t="s">
        <v>559</v>
      </c>
      <c r="Q2" s="4" t="s">
        <v>560</v>
      </c>
      <c r="R2" s="4">
        <v>6</v>
      </c>
      <c r="S2" s="4">
        <v>1.6</v>
      </c>
      <c r="W2" s="4">
        <v>74.489795889999996</v>
      </c>
      <c r="X2" s="4">
        <v>42.480001020000003</v>
      </c>
      <c r="Y2" s="4">
        <v>3213.0169999999998</v>
      </c>
      <c r="Z2" s="4">
        <v>1.4610000000000001</v>
      </c>
      <c r="AA2" s="4" t="s">
        <v>32</v>
      </c>
    </row>
    <row r="3" spans="1:27" x14ac:dyDescent="0.3">
      <c r="A3" s="4">
        <v>1</v>
      </c>
      <c r="F3" s="4">
        <v>74.489815160000006</v>
      </c>
      <c r="G3" s="4">
        <v>42.4800167</v>
      </c>
      <c r="H3" s="4">
        <v>3211.8040000000001</v>
      </c>
      <c r="I3" s="4">
        <v>1.0999999999999999E-2</v>
      </c>
      <c r="J3" s="4">
        <v>1.2999999999999999E-2</v>
      </c>
      <c r="K3" s="4">
        <v>1.4999999999999999E-2</v>
      </c>
      <c r="L3" s="4">
        <v>1.7000000000000001E-2</v>
      </c>
      <c r="M3" s="4">
        <v>2.1339999999999999</v>
      </c>
      <c r="N3" s="4" t="s">
        <v>10</v>
      </c>
      <c r="O3" s="4" t="s">
        <v>29</v>
      </c>
      <c r="P3" s="4" t="s">
        <v>561</v>
      </c>
      <c r="Q3" s="4" t="s">
        <v>562</v>
      </c>
      <c r="R3" s="4">
        <v>7</v>
      </c>
      <c r="S3" s="4">
        <v>1.5</v>
      </c>
      <c r="W3" s="4">
        <v>74.489795889999996</v>
      </c>
      <c r="X3" s="4">
        <v>42.480001020000003</v>
      </c>
      <c r="Y3" s="4">
        <v>3213.0169999999998</v>
      </c>
      <c r="Z3" s="4">
        <v>2.528</v>
      </c>
      <c r="AA3" s="4" t="s">
        <v>32</v>
      </c>
    </row>
    <row r="4" spans="1:27" x14ac:dyDescent="0.3">
      <c r="A4" s="4">
        <v>2</v>
      </c>
      <c r="F4" s="4">
        <v>74.489852389999996</v>
      </c>
      <c r="G4" s="4">
        <v>42.480053560000002</v>
      </c>
      <c r="H4" s="4">
        <v>3210.0549999999998</v>
      </c>
      <c r="I4" s="4">
        <v>1.2E-2</v>
      </c>
      <c r="J4" s="4">
        <v>0.01</v>
      </c>
      <c r="K4" s="4">
        <v>1.0999999999999999E-2</v>
      </c>
      <c r="L4" s="4">
        <v>1.6E-2</v>
      </c>
      <c r="M4" s="4">
        <v>2.1339999999999999</v>
      </c>
      <c r="N4" s="4" t="s">
        <v>10</v>
      </c>
      <c r="O4" s="4" t="s">
        <v>29</v>
      </c>
      <c r="P4" s="4" t="s">
        <v>563</v>
      </c>
      <c r="Q4" s="4" t="s">
        <v>564</v>
      </c>
      <c r="R4" s="4">
        <v>6</v>
      </c>
      <c r="S4" s="4">
        <v>1.4</v>
      </c>
      <c r="W4" s="4">
        <v>74.489795889999996</v>
      </c>
      <c r="X4" s="4">
        <v>42.480001020000003</v>
      </c>
      <c r="Y4" s="4">
        <v>3213.0169999999998</v>
      </c>
      <c r="Z4" s="4">
        <v>7.5149999999999997</v>
      </c>
      <c r="AA4" s="4" t="s">
        <v>32</v>
      </c>
    </row>
    <row r="5" spans="1:27" x14ac:dyDescent="0.3">
      <c r="A5" s="4">
        <v>3</v>
      </c>
      <c r="F5" s="4">
        <v>74.489882069999993</v>
      </c>
      <c r="G5" s="4">
        <v>42.48008789</v>
      </c>
      <c r="H5" s="4">
        <v>3208.605</v>
      </c>
      <c r="I5" s="4">
        <v>1.2999999999999999E-2</v>
      </c>
      <c r="J5" s="4">
        <v>2.3E-2</v>
      </c>
      <c r="K5" s="4">
        <v>1.4E-2</v>
      </c>
      <c r="L5" s="4">
        <v>2.5999999999999999E-2</v>
      </c>
      <c r="M5" s="4">
        <v>2.1339999999999999</v>
      </c>
      <c r="N5" s="4" t="s">
        <v>10</v>
      </c>
      <c r="O5" s="4" t="s">
        <v>29</v>
      </c>
      <c r="P5" s="4" t="s">
        <v>565</v>
      </c>
      <c r="Q5" s="4" t="s">
        <v>566</v>
      </c>
      <c r="R5" s="4">
        <v>7</v>
      </c>
      <c r="S5" s="4">
        <v>1.4</v>
      </c>
      <c r="W5" s="4">
        <v>74.489795889999996</v>
      </c>
      <c r="X5" s="4">
        <v>42.480001020000003</v>
      </c>
      <c r="Y5" s="4">
        <v>3213.0169999999998</v>
      </c>
      <c r="Z5" s="4">
        <v>12.223000000000001</v>
      </c>
      <c r="AA5" s="4" t="s">
        <v>32</v>
      </c>
    </row>
    <row r="6" spans="1:27" x14ac:dyDescent="0.3">
      <c r="A6" s="4">
        <v>4</v>
      </c>
      <c r="F6" s="4">
        <v>74.489919319999998</v>
      </c>
      <c r="G6" s="4">
        <v>42.480123310000003</v>
      </c>
      <c r="H6" s="4">
        <v>3207.2220000000002</v>
      </c>
      <c r="I6" s="4">
        <v>0.32600000000000001</v>
      </c>
      <c r="J6" s="4">
        <v>0.115</v>
      </c>
      <c r="K6" s="4">
        <v>6.5000000000000002E-2</v>
      </c>
      <c r="L6" s="4">
        <v>0.34599999999999997</v>
      </c>
      <c r="M6" s="4">
        <v>2.1339999999999999</v>
      </c>
      <c r="N6" s="4" t="s">
        <v>10</v>
      </c>
      <c r="O6" s="4" t="s">
        <v>29</v>
      </c>
      <c r="P6" s="4" t="s">
        <v>567</v>
      </c>
      <c r="Q6" s="4" t="s">
        <v>568</v>
      </c>
      <c r="R6" s="4">
        <v>7</v>
      </c>
      <c r="S6" s="4">
        <v>1.4</v>
      </c>
      <c r="W6" s="4">
        <v>74.489795889999996</v>
      </c>
      <c r="X6" s="4">
        <v>42.480001020000003</v>
      </c>
      <c r="Y6" s="4">
        <v>3213.0169999999998</v>
      </c>
      <c r="Z6" s="4">
        <v>17.829000000000001</v>
      </c>
      <c r="AA6" s="4" t="s">
        <v>32</v>
      </c>
    </row>
    <row r="7" spans="1:27" x14ac:dyDescent="0.3">
      <c r="A7" s="4">
        <v>5</v>
      </c>
      <c r="F7" s="4">
        <v>74.489945809999995</v>
      </c>
      <c r="G7" s="4">
        <v>42.480163179999998</v>
      </c>
      <c r="H7" s="4">
        <v>3205.5540000000001</v>
      </c>
      <c r="I7" s="4">
        <v>1.0999999999999999E-2</v>
      </c>
      <c r="J7" s="4">
        <v>1.2999999999999999E-2</v>
      </c>
      <c r="K7" s="4">
        <v>1.0999999999999999E-2</v>
      </c>
      <c r="L7" s="4">
        <v>1.7000000000000001E-2</v>
      </c>
      <c r="M7" s="4">
        <v>2.1339999999999999</v>
      </c>
      <c r="N7" s="4" t="s">
        <v>10</v>
      </c>
      <c r="O7" s="4" t="s">
        <v>29</v>
      </c>
      <c r="P7" s="4" t="s">
        <v>569</v>
      </c>
      <c r="Q7" s="4" t="s">
        <v>570</v>
      </c>
      <c r="R7" s="4">
        <v>7</v>
      </c>
      <c r="S7" s="4">
        <v>1.4</v>
      </c>
      <c r="W7" s="4">
        <v>74.489795889999996</v>
      </c>
      <c r="X7" s="4">
        <v>42.480001020000003</v>
      </c>
      <c r="Y7" s="4">
        <v>3213.0169999999998</v>
      </c>
      <c r="Z7" s="4">
        <v>22.481999999999999</v>
      </c>
      <c r="AA7" s="4" t="s">
        <v>32</v>
      </c>
    </row>
    <row r="8" spans="1:27" x14ac:dyDescent="0.3">
      <c r="A8" s="4">
        <v>6</v>
      </c>
      <c r="F8" s="4">
        <v>74.489970040000003</v>
      </c>
      <c r="G8" s="4">
        <v>42.480200660000001</v>
      </c>
      <c r="H8" s="4">
        <v>3204.3009999999999</v>
      </c>
      <c r="I8" s="4">
        <v>1.0999999999999999E-2</v>
      </c>
      <c r="J8" s="4">
        <v>4.8000000000000001E-2</v>
      </c>
      <c r="K8" s="4">
        <v>0.01</v>
      </c>
      <c r="L8" s="4">
        <v>4.9000000000000002E-2</v>
      </c>
      <c r="M8" s="4">
        <v>2.1339999999999999</v>
      </c>
      <c r="N8" s="4" t="s">
        <v>10</v>
      </c>
      <c r="O8" s="4" t="s">
        <v>29</v>
      </c>
      <c r="P8" s="4" t="s">
        <v>571</v>
      </c>
      <c r="Q8" s="4" t="s">
        <v>572</v>
      </c>
      <c r="R8" s="4">
        <v>6</v>
      </c>
      <c r="S8" s="4">
        <v>1.4</v>
      </c>
      <c r="W8" s="4">
        <v>74.489795889999996</v>
      </c>
      <c r="X8" s="4">
        <v>42.480001020000003</v>
      </c>
      <c r="Y8" s="4">
        <v>3213.0169999999998</v>
      </c>
      <c r="Z8" s="4">
        <v>27.202000000000002</v>
      </c>
      <c r="AA8" s="4" t="s">
        <v>32</v>
      </c>
    </row>
    <row r="9" spans="1:27" x14ac:dyDescent="0.3">
      <c r="A9" s="4">
        <v>7</v>
      </c>
      <c r="F9" s="4">
        <v>74.489993470000002</v>
      </c>
      <c r="G9" s="4">
        <v>42.480236210000001</v>
      </c>
      <c r="H9" s="4">
        <v>3202.6289999999999</v>
      </c>
      <c r="I9" s="4">
        <v>1.6E-2</v>
      </c>
      <c r="J9" s="4">
        <v>1.4999999999999999E-2</v>
      </c>
      <c r="K9" s="4">
        <v>1.0999999999999999E-2</v>
      </c>
      <c r="L9" s="4">
        <v>2.1000000000000001E-2</v>
      </c>
      <c r="M9" s="4">
        <v>2.1339999999999999</v>
      </c>
      <c r="N9" s="4" t="s">
        <v>10</v>
      </c>
      <c r="O9" s="4" t="s">
        <v>29</v>
      </c>
      <c r="P9" s="4" t="s">
        <v>573</v>
      </c>
      <c r="Q9" s="4" t="s">
        <v>574</v>
      </c>
      <c r="R9" s="4">
        <v>7</v>
      </c>
      <c r="S9" s="4">
        <v>1.5</v>
      </c>
      <c r="W9" s="4">
        <v>74.489795889999996</v>
      </c>
      <c r="X9" s="4">
        <v>42.480001020000003</v>
      </c>
      <c r="Y9" s="4">
        <v>3213.0169999999998</v>
      </c>
      <c r="Z9" s="4">
        <v>31.864000000000001</v>
      </c>
      <c r="AA9" s="4" t="s">
        <v>32</v>
      </c>
    </row>
    <row r="10" spans="1:27" x14ac:dyDescent="0.3">
      <c r="A10" s="4">
        <v>8</v>
      </c>
      <c r="F10" s="4">
        <v>74.490026510000007</v>
      </c>
      <c r="G10" s="4">
        <v>42.480285129999999</v>
      </c>
      <c r="H10" s="4">
        <v>3201.6239999999998</v>
      </c>
      <c r="I10" s="4">
        <v>1.4999999999999999E-2</v>
      </c>
      <c r="J10" s="4">
        <v>1.9E-2</v>
      </c>
      <c r="K10" s="4">
        <v>1.0999999999999999E-2</v>
      </c>
      <c r="L10" s="4">
        <v>2.4E-2</v>
      </c>
      <c r="M10" s="4">
        <v>2.1339999999999999</v>
      </c>
      <c r="N10" s="4" t="s">
        <v>10</v>
      </c>
      <c r="O10" s="4" t="s">
        <v>29</v>
      </c>
      <c r="P10" s="4" t="s">
        <v>575</v>
      </c>
      <c r="Q10" s="4" t="s">
        <v>576</v>
      </c>
      <c r="R10" s="4">
        <v>6</v>
      </c>
      <c r="S10" s="4">
        <v>1.3</v>
      </c>
      <c r="W10" s="4">
        <v>74.489795889999996</v>
      </c>
      <c r="X10" s="4">
        <v>42.480001020000003</v>
      </c>
      <c r="Y10" s="4">
        <v>3213.0169999999998</v>
      </c>
      <c r="Z10" s="4">
        <v>37.969000000000001</v>
      </c>
      <c r="AA10" s="4" t="s">
        <v>32</v>
      </c>
    </row>
    <row r="11" spans="1:27" x14ac:dyDescent="0.3">
      <c r="A11" s="4">
        <v>9</v>
      </c>
      <c r="F11" s="4">
        <v>74.490041869999999</v>
      </c>
      <c r="G11" s="4">
        <v>42.480317390000003</v>
      </c>
      <c r="H11" s="4">
        <v>3200.39</v>
      </c>
      <c r="I11" s="4">
        <v>1.9E-2</v>
      </c>
      <c r="J11" s="4">
        <v>1.4999999999999999E-2</v>
      </c>
      <c r="K11" s="4">
        <v>0.01</v>
      </c>
      <c r="L11" s="4">
        <v>2.5000000000000001E-2</v>
      </c>
      <c r="M11" s="4">
        <v>2.1339999999999999</v>
      </c>
      <c r="N11" s="4" t="s">
        <v>10</v>
      </c>
      <c r="O11" s="4" t="s">
        <v>29</v>
      </c>
      <c r="P11" s="4" t="s">
        <v>577</v>
      </c>
      <c r="Q11" s="4" t="s">
        <v>578</v>
      </c>
      <c r="R11" s="4">
        <v>6</v>
      </c>
      <c r="S11" s="4">
        <v>1.5</v>
      </c>
      <c r="W11" s="4">
        <v>74.489795889999996</v>
      </c>
      <c r="X11" s="4">
        <v>42.480001020000003</v>
      </c>
      <c r="Y11" s="4">
        <v>3213.0169999999998</v>
      </c>
      <c r="Z11" s="4">
        <v>41.89</v>
      </c>
      <c r="AA11" s="4" t="s">
        <v>32</v>
      </c>
    </row>
    <row r="12" spans="1:27" x14ac:dyDescent="0.3">
      <c r="A12" s="4">
        <v>10</v>
      </c>
      <c r="F12" s="4">
        <v>74.490076700000003</v>
      </c>
      <c r="G12" s="4">
        <v>42.480348589999998</v>
      </c>
      <c r="H12" s="4">
        <v>3199.252</v>
      </c>
      <c r="I12" s="4">
        <v>1.4999999999999999E-2</v>
      </c>
      <c r="J12" s="4">
        <v>1.0999999999999999E-2</v>
      </c>
      <c r="K12" s="4">
        <v>1.0999999999999999E-2</v>
      </c>
      <c r="L12" s="4">
        <v>1.9E-2</v>
      </c>
      <c r="M12" s="4">
        <v>2.1339999999999999</v>
      </c>
      <c r="N12" s="4" t="s">
        <v>10</v>
      </c>
      <c r="O12" s="4" t="s">
        <v>29</v>
      </c>
      <c r="P12" s="4" t="s">
        <v>579</v>
      </c>
      <c r="Q12" s="4" t="s">
        <v>580</v>
      </c>
      <c r="R12" s="4">
        <v>7</v>
      </c>
      <c r="S12" s="4">
        <v>1.5</v>
      </c>
      <c r="W12" s="4">
        <v>74.489795889999996</v>
      </c>
      <c r="X12" s="4">
        <v>42.480001020000003</v>
      </c>
      <c r="Y12" s="4">
        <v>3213.0169999999998</v>
      </c>
      <c r="Z12" s="4">
        <v>46.496000000000002</v>
      </c>
      <c r="AA12" s="4" t="s">
        <v>32</v>
      </c>
    </row>
    <row r="13" spans="1:27" x14ac:dyDescent="0.3">
      <c r="A13" s="4">
        <v>11</v>
      </c>
      <c r="F13" s="4">
        <v>74.490095830000001</v>
      </c>
      <c r="G13" s="4">
        <v>42.480395819999998</v>
      </c>
      <c r="H13" s="4">
        <v>3199.04</v>
      </c>
      <c r="I13" s="4">
        <v>1.0999999999999999E-2</v>
      </c>
      <c r="J13" s="4">
        <v>1.9E-2</v>
      </c>
      <c r="K13" s="4">
        <v>1.0999999999999999E-2</v>
      </c>
      <c r="L13" s="4">
        <v>2.1999999999999999E-2</v>
      </c>
      <c r="M13" s="4">
        <v>2.1339999999999999</v>
      </c>
      <c r="N13" s="4" t="s">
        <v>10</v>
      </c>
      <c r="O13" s="4" t="s">
        <v>29</v>
      </c>
      <c r="P13" s="4" t="s">
        <v>581</v>
      </c>
      <c r="Q13" s="4" t="s">
        <v>582</v>
      </c>
      <c r="R13" s="4">
        <v>7</v>
      </c>
      <c r="S13" s="4">
        <v>1.5</v>
      </c>
      <c r="W13" s="4">
        <v>74.489795889999996</v>
      </c>
      <c r="X13" s="4">
        <v>42.480001020000003</v>
      </c>
      <c r="Y13" s="4">
        <v>3213.0169999999998</v>
      </c>
      <c r="Z13" s="4">
        <v>51.734999999999999</v>
      </c>
      <c r="AA13" s="4" t="s">
        <v>32</v>
      </c>
    </row>
    <row r="14" spans="1:27" x14ac:dyDescent="0.3">
      <c r="A14" s="4">
        <v>12</v>
      </c>
      <c r="F14" s="4">
        <v>74.490111470000002</v>
      </c>
      <c r="G14" s="4">
        <v>42.480430499999997</v>
      </c>
      <c r="H14" s="4">
        <v>3199.3980000000001</v>
      </c>
      <c r="I14" s="4">
        <v>0.01</v>
      </c>
      <c r="J14" s="4">
        <v>1.2E-2</v>
      </c>
      <c r="K14" s="4">
        <v>1.2999999999999999E-2</v>
      </c>
      <c r="L14" s="4">
        <v>1.6E-2</v>
      </c>
      <c r="M14" s="4">
        <v>2.1339999999999999</v>
      </c>
      <c r="N14" s="4" t="s">
        <v>10</v>
      </c>
      <c r="O14" s="4" t="s">
        <v>29</v>
      </c>
      <c r="P14" s="4" t="s">
        <v>583</v>
      </c>
      <c r="Q14" s="4" t="s">
        <v>584</v>
      </c>
      <c r="R14" s="4">
        <v>6</v>
      </c>
      <c r="S14" s="4">
        <v>1.5</v>
      </c>
      <c r="W14" s="4">
        <v>74.489795889999996</v>
      </c>
      <c r="X14" s="4">
        <v>42.480001020000003</v>
      </c>
      <c r="Y14" s="4">
        <v>3213.0169999999998</v>
      </c>
      <c r="Z14" s="4">
        <v>55.54</v>
      </c>
      <c r="AA14" s="4" t="s">
        <v>32</v>
      </c>
    </row>
    <row r="15" spans="1:27" x14ac:dyDescent="0.3">
      <c r="A15" s="4">
        <v>13</v>
      </c>
      <c r="F15" s="4">
        <v>74.490135370000004</v>
      </c>
      <c r="G15" s="4">
        <v>42.480476959999997</v>
      </c>
      <c r="H15" s="4">
        <v>3200.1039999999998</v>
      </c>
      <c r="I15" s="4">
        <v>0.02</v>
      </c>
      <c r="J15" s="4">
        <v>1.2999999999999999E-2</v>
      </c>
      <c r="K15" s="4">
        <v>1.2E-2</v>
      </c>
      <c r="L15" s="4">
        <v>2.4E-2</v>
      </c>
      <c r="M15" s="4">
        <v>2.1339999999999999</v>
      </c>
      <c r="N15" s="4" t="s">
        <v>10</v>
      </c>
      <c r="O15" s="4" t="s">
        <v>29</v>
      </c>
      <c r="P15" s="4" t="s">
        <v>585</v>
      </c>
      <c r="Q15" s="4" t="s">
        <v>586</v>
      </c>
      <c r="R15" s="4">
        <v>6</v>
      </c>
      <c r="S15" s="4">
        <v>1.5</v>
      </c>
      <c r="W15" s="4">
        <v>74.489795889999996</v>
      </c>
      <c r="X15" s="4">
        <v>42.480001020000003</v>
      </c>
      <c r="Y15" s="4">
        <v>3213.0169999999998</v>
      </c>
      <c r="Z15" s="4">
        <v>60.768999999999998</v>
      </c>
      <c r="AA15" s="4" t="s">
        <v>32</v>
      </c>
    </row>
    <row r="16" spans="1:27" x14ac:dyDescent="0.3">
      <c r="A16" s="4">
        <v>14</v>
      </c>
      <c r="F16" s="4">
        <v>74.490149819999999</v>
      </c>
      <c r="G16" s="4">
        <v>42.480524719999998</v>
      </c>
      <c r="H16" s="4">
        <v>3200.1990000000001</v>
      </c>
      <c r="I16" s="4">
        <v>0.01</v>
      </c>
      <c r="J16" s="4">
        <v>0.01</v>
      </c>
      <c r="K16" s="4">
        <v>0.01</v>
      </c>
      <c r="L16" s="4">
        <v>1.4999999999999999E-2</v>
      </c>
      <c r="M16" s="4">
        <v>2.1339999999999999</v>
      </c>
      <c r="N16" s="4" t="s">
        <v>10</v>
      </c>
      <c r="O16" s="4" t="s">
        <v>29</v>
      </c>
      <c r="P16" s="4" t="s">
        <v>587</v>
      </c>
      <c r="Q16" s="4" t="s">
        <v>588</v>
      </c>
      <c r="R16" s="4">
        <v>6</v>
      </c>
      <c r="S16" s="4">
        <v>1.5</v>
      </c>
      <c r="W16" s="4">
        <v>74.489795889999996</v>
      </c>
      <c r="X16" s="4">
        <v>42.480001020000003</v>
      </c>
      <c r="Y16" s="4">
        <v>3213.0169999999998</v>
      </c>
      <c r="Z16" s="4">
        <v>65.950999999999993</v>
      </c>
      <c r="AA16" s="4" t="s">
        <v>32</v>
      </c>
    </row>
    <row r="17" spans="1:27" x14ac:dyDescent="0.3">
      <c r="A17" s="4">
        <v>15</v>
      </c>
      <c r="F17" s="4">
        <v>74.490176320000003</v>
      </c>
      <c r="G17" s="4">
        <v>42.480560869999998</v>
      </c>
      <c r="H17" s="4">
        <v>3200.3420000000001</v>
      </c>
      <c r="I17" s="4">
        <v>1.7000000000000001E-2</v>
      </c>
      <c r="J17" s="4">
        <v>1.9E-2</v>
      </c>
      <c r="K17" s="4">
        <v>1.0999999999999999E-2</v>
      </c>
      <c r="L17" s="4">
        <v>2.5000000000000001E-2</v>
      </c>
      <c r="M17" s="4">
        <v>2.1339999999999999</v>
      </c>
      <c r="N17" s="4" t="s">
        <v>10</v>
      </c>
      <c r="O17" s="4" t="s">
        <v>29</v>
      </c>
      <c r="P17" s="4" t="s">
        <v>589</v>
      </c>
      <c r="Q17" s="4" t="s">
        <v>590</v>
      </c>
      <c r="R17" s="4">
        <v>7</v>
      </c>
      <c r="S17" s="4">
        <v>1.5</v>
      </c>
      <c r="W17" s="4">
        <v>74.489795889999996</v>
      </c>
      <c r="X17" s="4">
        <v>42.480001020000003</v>
      </c>
      <c r="Y17" s="4">
        <v>3213.0169999999998</v>
      </c>
      <c r="Z17" s="4">
        <v>70.450999999999993</v>
      </c>
      <c r="AA17" s="4" t="s">
        <v>32</v>
      </c>
    </row>
    <row r="18" spans="1:27" x14ac:dyDescent="0.3">
      <c r="A18" s="4">
        <v>16</v>
      </c>
      <c r="F18" s="4">
        <v>74.490217139999999</v>
      </c>
      <c r="G18" s="4">
        <v>42.48059688</v>
      </c>
      <c r="H18" s="4">
        <v>3199.2640000000001</v>
      </c>
      <c r="I18" s="4">
        <v>1.2E-2</v>
      </c>
      <c r="J18" s="4">
        <v>2.4E-2</v>
      </c>
      <c r="K18" s="4">
        <v>1.2E-2</v>
      </c>
      <c r="L18" s="4">
        <v>2.7E-2</v>
      </c>
      <c r="M18" s="4">
        <v>2.1339999999999999</v>
      </c>
      <c r="N18" s="4" t="s">
        <v>10</v>
      </c>
      <c r="O18" s="4" t="s">
        <v>29</v>
      </c>
      <c r="P18" s="4" t="s">
        <v>591</v>
      </c>
      <c r="Q18" s="4" t="s">
        <v>592</v>
      </c>
      <c r="R18" s="4">
        <v>6</v>
      </c>
      <c r="S18" s="4">
        <v>1.5</v>
      </c>
      <c r="W18" s="4">
        <v>74.489795889999996</v>
      </c>
      <c r="X18" s="4">
        <v>42.480001020000003</v>
      </c>
      <c r="Y18" s="4">
        <v>3213.0169999999998</v>
      </c>
      <c r="Z18" s="4">
        <v>75.662000000000006</v>
      </c>
      <c r="AA18" s="4" t="s">
        <v>32</v>
      </c>
    </row>
    <row r="19" spans="1:27" x14ac:dyDescent="0.3">
      <c r="A19" s="4">
        <v>17</v>
      </c>
      <c r="F19" s="4">
        <v>74.490236890000006</v>
      </c>
      <c r="G19" s="4">
        <v>42.480636830000002</v>
      </c>
      <c r="H19" s="4">
        <v>3198.5219999999999</v>
      </c>
      <c r="I19" s="4">
        <v>1.2E-2</v>
      </c>
      <c r="J19" s="4">
        <v>1.2E-2</v>
      </c>
      <c r="K19" s="4">
        <v>1.0999999999999999E-2</v>
      </c>
      <c r="L19" s="4">
        <v>1.7000000000000001E-2</v>
      </c>
      <c r="M19" s="4">
        <v>2.1339999999999999</v>
      </c>
      <c r="N19" s="4" t="s">
        <v>10</v>
      </c>
      <c r="O19" s="4" t="s">
        <v>29</v>
      </c>
      <c r="P19" s="4" t="s">
        <v>593</v>
      </c>
      <c r="Q19" s="4" t="s">
        <v>594</v>
      </c>
      <c r="R19" s="4">
        <v>7</v>
      </c>
      <c r="S19" s="4">
        <v>1.7</v>
      </c>
      <c r="W19" s="4">
        <v>74.489795889999996</v>
      </c>
      <c r="X19" s="4">
        <v>42.480001020000003</v>
      </c>
      <c r="Y19" s="4">
        <v>3213.0169999999998</v>
      </c>
      <c r="Z19" s="4">
        <v>80.382999999999996</v>
      </c>
      <c r="AA19" s="4" t="s">
        <v>32</v>
      </c>
    </row>
    <row r="20" spans="1:27" x14ac:dyDescent="0.3">
      <c r="A20" s="4">
        <v>18</v>
      </c>
      <c r="F20" s="4">
        <v>74.490243460000002</v>
      </c>
      <c r="G20" s="4">
        <v>42.480677999999997</v>
      </c>
      <c r="H20" s="4">
        <v>3197.73</v>
      </c>
      <c r="I20" s="4">
        <v>0.01</v>
      </c>
      <c r="J20" s="4">
        <v>0.01</v>
      </c>
      <c r="K20" s="4">
        <v>1.0999999999999999E-2</v>
      </c>
      <c r="L20" s="4">
        <v>1.4E-2</v>
      </c>
      <c r="M20" s="4">
        <v>2.1339999999999999</v>
      </c>
      <c r="N20" s="4" t="s">
        <v>10</v>
      </c>
      <c r="O20" s="4" t="s">
        <v>29</v>
      </c>
      <c r="P20" s="4" t="s">
        <v>595</v>
      </c>
      <c r="Q20" s="4" t="s">
        <v>596</v>
      </c>
      <c r="R20" s="4">
        <v>6</v>
      </c>
      <c r="S20" s="4">
        <v>1.7</v>
      </c>
      <c r="W20" s="4">
        <v>74.489795889999996</v>
      </c>
      <c r="X20" s="4">
        <v>42.480001020000003</v>
      </c>
      <c r="Y20" s="4">
        <v>3213.0169999999998</v>
      </c>
      <c r="Z20" s="4">
        <v>84.789000000000001</v>
      </c>
      <c r="AA20" s="4" t="s">
        <v>32</v>
      </c>
    </row>
    <row r="21" spans="1:27" x14ac:dyDescent="0.3">
      <c r="A21" s="4">
        <v>19</v>
      </c>
      <c r="F21" s="4">
        <v>74.490258780000005</v>
      </c>
      <c r="G21" s="4">
        <v>42.480723939999997</v>
      </c>
      <c r="H21" s="4">
        <v>3196.2820000000002</v>
      </c>
      <c r="I21" s="4">
        <v>1.4E-2</v>
      </c>
      <c r="J21" s="4">
        <v>1.4E-2</v>
      </c>
      <c r="K21" s="4">
        <v>1.2E-2</v>
      </c>
      <c r="L21" s="4">
        <v>0.02</v>
      </c>
      <c r="M21" s="4">
        <v>2.1339999999999999</v>
      </c>
      <c r="N21" s="4" t="s">
        <v>10</v>
      </c>
      <c r="O21" s="4" t="s">
        <v>29</v>
      </c>
      <c r="P21" s="4" t="s">
        <v>597</v>
      </c>
      <c r="Q21" s="4" t="s">
        <v>598</v>
      </c>
      <c r="R21" s="4">
        <v>7</v>
      </c>
      <c r="S21" s="4">
        <v>1.7</v>
      </c>
      <c r="W21" s="4">
        <v>74.489795889999996</v>
      </c>
      <c r="X21" s="4">
        <v>42.480001020000003</v>
      </c>
      <c r="Y21" s="4">
        <v>3213.0169999999998</v>
      </c>
      <c r="Z21" s="4">
        <v>90.091999999999999</v>
      </c>
      <c r="AA21" s="4" t="s">
        <v>32</v>
      </c>
    </row>
    <row r="22" spans="1:27" x14ac:dyDescent="0.3">
      <c r="A22" s="4">
        <v>20</v>
      </c>
      <c r="F22" s="4">
        <v>74.490279130000005</v>
      </c>
      <c r="G22" s="4">
        <v>42.480758780000002</v>
      </c>
      <c r="H22" s="4">
        <v>3195.1060000000002</v>
      </c>
      <c r="I22" s="4">
        <v>0.01</v>
      </c>
      <c r="J22" s="4">
        <v>1.4E-2</v>
      </c>
      <c r="K22" s="4">
        <v>1.2999999999999999E-2</v>
      </c>
      <c r="L22" s="4">
        <v>1.7999999999999999E-2</v>
      </c>
      <c r="M22" s="4">
        <v>2.1339999999999999</v>
      </c>
      <c r="N22" s="4" t="s">
        <v>10</v>
      </c>
      <c r="O22" s="4" t="s">
        <v>29</v>
      </c>
      <c r="P22" s="4" t="s">
        <v>599</v>
      </c>
      <c r="Q22" s="4" t="s">
        <v>600</v>
      </c>
      <c r="R22" s="4">
        <v>7</v>
      </c>
      <c r="S22" s="4">
        <v>1.7</v>
      </c>
      <c r="W22" s="4">
        <v>74.489795889999996</v>
      </c>
      <c r="X22" s="4">
        <v>42.480001020000003</v>
      </c>
      <c r="Y22" s="4">
        <v>3213.0169999999998</v>
      </c>
      <c r="Z22" s="4">
        <v>94.462999999999994</v>
      </c>
      <c r="AA22" s="4" t="s">
        <v>32</v>
      </c>
    </row>
    <row r="23" spans="1:27" x14ac:dyDescent="0.3">
      <c r="A23" s="4">
        <v>21</v>
      </c>
      <c r="F23" s="4">
        <v>74.490295790000005</v>
      </c>
      <c r="G23" s="4">
        <v>42.480804390000003</v>
      </c>
      <c r="H23" s="4">
        <v>3194.009</v>
      </c>
      <c r="I23" s="4">
        <v>0.01</v>
      </c>
      <c r="J23" s="4">
        <v>1.0999999999999999E-2</v>
      </c>
      <c r="K23" s="4">
        <v>1.2E-2</v>
      </c>
      <c r="L23" s="4">
        <v>1.4999999999999999E-2</v>
      </c>
      <c r="M23" s="4">
        <v>2.1339999999999999</v>
      </c>
      <c r="N23" s="4" t="s">
        <v>10</v>
      </c>
      <c r="O23" s="4" t="s">
        <v>29</v>
      </c>
      <c r="P23" s="4" t="s">
        <v>601</v>
      </c>
      <c r="Q23" s="4" t="s">
        <v>602</v>
      </c>
      <c r="R23" s="4">
        <v>6</v>
      </c>
      <c r="S23" s="4">
        <v>1.7</v>
      </c>
      <c r="W23" s="4">
        <v>74.489795889999996</v>
      </c>
      <c r="X23" s="4">
        <v>42.480001020000003</v>
      </c>
      <c r="Y23" s="4">
        <v>3213.0169999999998</v>
      </c>
      <c r="Z23" s="4">
        <v>99.74</v>
      </c>
      <c r="AA23" s="4" t="s">
        <v>32</v>
      </c>
    </row>
    <row r="24" spans="1:27" x14ac:dyDescent="0.3">
      <c r="A24" s="4">
        <v>22</v>
      </c>
      <c r="F24" s="4">
        <v>74.490329119999998</v>
      </c>
      <c r="G24" s="4">
        <v>42.4808375</v>
      </c>
      <c r="H24" s="4">
        <v>3194.2649999999999</v>
      </c>
      <c r="I24" s="4">
        <v>1.0999999999999999E-2</v>
      </c>
      <c r="J24" s="4">
        <v>1.2999999999999999E-2</v>
      </c>
      <c r="K24" s="4">
        <v>0.01</v>
      </c>
      <c r="L24" s="4">
        <v>1.7000000000000001E-2</v>
      </c>
      <c r="M24" s="4">
        <v>2.1339999999999999</v>
      </c>
      <c r="N24" s="4" t="s">
        <v>10</v>
      </c>
      <c r="O24" s="4" t="s">
        <v>29</v>
      </c>
      <c r="P24" s="4" t="s">
        <v>603</v>
      </c>
      <c r="Q24" s="4" t="s">
        <v>604</v>
      </c>
      <c r="R24" s="4">
        <v>6</v>
      </c>
      <c r="S24" s="4">
        <v>1.7</v>
      </c>
      <c r="W24" s="4">
        <v>74.489795889999996</v>
      </c>
      <c r="X24" s="4">
        <v>42.480001020000003</v>
      </c>
      <c r="Y24" s="4">
        <v>3213.0169999999998</v>
      </c>
      <c r="Z24" s="4">
        <v>104.126</v>
      </c>
      <c r="AA24" s="4" t="s">
        <v>32</v>
      </c>
    </row>
    <row r="25" spans="1:27" x14ac:dyDescent="0.3">
      <c r="A25" s="4">
        <v>23</v>
      </c>
      <c r="F25" s="4">
        <v>74.490354389999993</v>
      </c>
      <c r="G25" s="4">
        <v>42.480882319999999</v>
      </c>
      <c r="H25" s="4">
        <v>3194.2449999999999</v>
      </c>
      <c r="I25" s="4">
        <v>1.4E-2</v>
      </c>
      <c r="J25" s="4">
        <v>1.7999999999999999E-2</v>
      </c>
      <c r="K25" s="4">
        <v>1.7999999999999999E-2</v>
      </c>
      <c r="L25" s="4">
        <v>2.3E-2</v>
      </c>
      <c r="M25" s="4">
        <v>2.1339999999999999</v>
      </c>
      <c r="N25" s="4" t="s">
        <v>10</v>
      </c>
      <c r="O25" s="4" t="s">
        <v>29</v>
      </c>
      <c r="P25" s="4" t="s">
        <v>605</v>
      </c>
      <c r="Q25" s="4" t="s">
        <v>606</v>
      </c>
      <c r="R25" s="4">
        <v>7</v>
      </c>
      <c r="S25" s="4">
        <v>1.7</v>
      </c>
      <c r="W25" s="4">
        <v>74.489795889999996</v>
      </c>
      <c r="X25" s="4">
        <v>42.480001020000003</v>
      </c>
      <c r="Y25" s="4">
        <v>3213.0169999999998</v>
      </c>
      <c r="Z25" s="4">
        <v>109.47499999999999</v>
      </c>
      <c r="AA25" s="4" t="s">
        <v>32</v>
      </c>
    </row>
    <row r="26" spans="1:27" x14ac:dyDescent="0.3">
      <c r="A26" s="4">
        <v>24</v>
      </c>
      <c r="F26" s="4">
        <v>74.490374110000005</v>
      </c>
      <c r="G26" s="4">
        <v>42.480919700000001</v>
      </c>
      <c r="H26" s="4">
        <v>3193.2359999999999</v>
      </c>
      <c r="I26" s="4">
        <v>0.01</v>
      </c>
      <c r="J26" s="4">
        <v>1.0999999999999999E-2</v>
      </c>
      <c r="K26" s="4">
        <v>1.6E-2</v>
      </c>
      <c r="L26" s="4">
        <v>1.4999999999999999E-2</v>
      </c>
      <c r="M26" s="4">
        <v>2.1339999999999999</v>
      </c>
      <c r="N26" s="4" t="s">
        <v>10</v>
      </c>
      <c r="O26" s="4" t="s">
        <v>29</v>
      </c>
      <c r="P26" s="4" t="s">
        <v>607</v>
      </c>
      <c r="Q26" s="4" t="s">
        <v>608</v>
      </c>
      <c r="R26" s="4">
        <v>7</v>
      </c>
      <c r="S26" s="4">
        <v>1.7</v>
      </c>
      <c r="W26" s="4">
        <v>74.489795889999996</v>
      </c>
      <c r="X26" s="4">
        <v>42.480001020000003</v>
      </c>
      <c r="Y26" s="4">
        <v>3213.0169999999998</v>
      </c>
      <c r="Z26" s="4">
        <v>114.006</v>
      </c>
      <c r="AA26" s="4" t="s">
        <v>32</v>
      </c>
    </row>
    <row r="27" spans="1:27" x14ac:dyDescent="0.3">
      <c r="A27" s="4">
        <v>25</v>
      </c>
      <c r="F27" s="4">
        <v>74.490391579999994</v>
      </c>
      <c r="G27" s="4">
        <v>42.480944229999999</v>
      </c>
      <c r="H27" s="4">
        <v>3192.7440000000001</v>
      </c>
      <c r="I27" s="4">
        <v>0.01</v>
      </c>
      <c r="J27" s="4">
        <v>0.01</v>
      </c>
      <c r="K27" s="4">
        <v>1.0999999999999999E-2</v>
      </c>
      <c r="L27" s="4">
        <v>1.4999999999999999E-2</v>
      </c>
      <c r="M27" s="4">
        <v>2.1339999999999999</v>
      </c>
      <c r="N27" s="4" t="s">
        <v>10</v>
      </c>
      <c r="O27" s="4" t="s">
        <v>29</v>
      </c>
      <c r="P27" s="4" t="s">
        <v>609</v>
      </c>
      <c r="Q27" s="4" t="s">
        <v>610</v>
      </c>
      <c r="R27" s="4">
        <v>7</v>
      </c>
      <c r="S27" s="4">
        <v>1.6</v>
      </c>
      <c r="W27" s="4">
        <v>74.489795889999996</v>
      </c>
      <c r="X27" s="4">
        <v>42.480001020000003</v>
      </c>
      <c r="Y27" s="4">
        <v>3213.0169999999998</v>
      </c>
      <c r="Z27" s="4">
        <v>117.134</v>
      </c>
      <c r="AA27" s="4" t="s">
        <v>32</v>
      </c>
    </row>
    <row r="28" spans="1:27" x14ac:dyDescent="0.3">
      <c r="A28" s="4">
        <v>26</v>
      </c>
      <c r="F28" s="4">
        <v>74.490425439999996</v>
      </c>
      <c r="G28" s="4">
        <v>42.480983459999997</v>
      </c>
      <c r="H28" s="4">
        <v>3191.683</v>
      </c>
      <c r="I28" s="4">
        <v>0.01</v>
      </c>
      <c r="J28" s="4">
        <v>0.01</v>
      </c>
      <c r="K28" s="4">
        <v>1.0999999999999999E-2</v>
      </c>
      <c r="L28" s="4">
        <v>1.4E-2</v>
      </c>
      <c r="M28" s="4">
        <v>2.1339999999999999</v>
      </c>
      <c r="N28" s="4" t="s">
        <v>10</v>
      </c>
      <c r="O28" s="4" t="s">
        <v>29</v>
      </c>
      <c r="P28" s="4" t="s">
        <v>611</v>
      </c>
      <c r="Q28" s="4" t="s">
        <v>612</v>
      </c>
      <c r="R28" s="4">
        <v>7</v>
      </c>
      <c r="S28" s="4">
        <v>1.6</v>
      </c>
      <c r="W28" s="4">
        <v>74.489795889999996</v>
      </c>
      <c r="X28" s="4">
        <v>42.480001020000003</v>
      </c>
      <c r="Y28" s="4">
        <v>3213.0169999999998</v>
      </c>
      <c r="Z28" s="4">
        <v>122.361</v>
      </c>
      <c r="AA28" s="4" t="s">
        <v>32</v>
      </c>
    </row>
    <row r="29" spans="1:27" x14ac:dyDescent="0.3">
      <c r="A29" s="4">
        <v>27</v>
      </c>
      <c r="F29" s="4">
        <v>74.490470439999996</v>
      </c>
      <c r="G29" s="4">
        <v>42.480991860000003</v>
      </c>
      <c r="H29" s="4">
        <v>3191.9340000000002</v>
      </c>
      <c r="I29" s="4">
        <v>0.28999999999999998</v>
      </c>
      <c r="J29" s="4">
        <v>0.69599999999999995</v>
      </c>
      <c r="K29" s="4">
        <v>0.26700000000000002</v>
      </c>
      <c r="L29" s="4">
        <v>0.754</v>
      </c>
      <c r="M29" s="4">
        <v>2.1339999999999999</v>
      </c>
      <c r="N29" s="4" t="s">
        <v>10</v>
      </c>
      <c r="O29" s="4" t="s">
        <v>29</v>
      </c>
      <c r="P29" s="4" t="s">
        <v>613</v>
      </c>
      <c r="Q29" s="4" t="s">
        <v>614</v>
      </c>
      <c r="R29" s="4">
        <v>6</v>
      </c>
      <c r="S29" s="4">
        <v>1.6</v>
      </c>
      <c r="W29" s="4">
        <v>74.489795889999996</v>
      </c>
      <c r="X29" s="4">
        <v>42.480001020000003</v>
      </c>
      <c r="Y29" s="4">
        <v>3213.0169999999998</v>
      </c>
      <c r="Z29" s="4">
        <v>125.31</v>
      </c>
      <c r="AA29" s="4" t="s">
        <v>32</v>
      </c>
    </row>
    <row r="30" spans="1:27" s="6" customFormat="1" x14ac:dyDescent="0.3">
      <c r="A30" s="6">
        <v>28</v>
      </c>
      <c r="F30" s="6">
        <v>74.490460139999996</v>
      </c>
      <c r="G30" s="6">
        <v>42.481017829999999</v>
      </c>
      <c r="H30" s="6">
        <v>3191.761</v>
      </c>
      <c r="I30" s="6">
        <v>0.01</v>
      </c>
      <c r="J30" s="6">
        <v>1.2E-2</v>
      </c>
      <c r="K30" s="6">
        <v>1.6E-2</v>
      </c>
      <c r="L30" s="6">
        <v>1.6E-2</v>
      </c>
      <c r="M30" s="6">
        <v>2.1339999999999999</v>
      </c>
      <c r="N30" s="6" t="s">
        <v>10</v>
      </c>
      <c r="O30" s="6" t="s">
        <v>29</v>
      </c>
      <c r="P30" s="6" t="s">
        <v>615</v>
      </c>
      <c r="Q30" s="6" t="s">
        <v>616</v>
      </c>
      <c r="R30" s="6">
        <v>7</v>
      </c>
      <c r="S30" s="6">
        <v>1.6</v>
      </c>
      <c r="W30" s="6">
        <v>74.489795889999996</v>
      </c>
      <c r="X30" s="6">
        <v>42.480001020000003</v>
      </c>
      <c r="Y30" s="6">
        <v>3213.0169999999998</v>
      </c>
      <c r="Z30" s="6">
        <v>126.977</v>
      </c>
      <c r="AA30" s="6" t="s">
        <v>32</v>
      </c>
    </row>
    <row r="31" spans="1:27" s="6" customFormat="1" x14ac:dyDescent="0.3">
      <c r="A31" s="6">
        <v>29</v>
      </c>
      <c r="F31" s="6">
        <v>74.490461670000002</v>
      </c>
      <c r="G31" s="6">
        <v>42.481017180000002</v>
      </c>
      <c r="H31" s="6">
        <v>3191.8560000000002</v>
      </c>
      <c r="I31" s="6">
        <v>2.7E-2</v>
      </c>
      <c r="J31" s="6">
        <v>3.9E-2</v>
      </c>
      <c r="K31" s="6">
        <v>0.17399999999999999</v>
      </c>
      <c r="L31" s="6">
        <v>4.7E-2</v>
      </c>
      <c r="M31" s="6">
        <v>2.1339999999999999</v>
      </c>
      <c r="N31" s="6" t="s">
        <v>10</v>
      </c>
      <c r="O31" s="6" t="s">
        <v>29</v>
      </c>
      <c r="P31" s="6" t="s">
        <v>617</v>
      </c>
      <c r="Q31" s="6" t="s">
        <v>618</v>
      </c>
      <c r="R31" s="6">
        <v>6</v>
      </c>
      <c r="S31" s="6">
        <v>1.6</v>
      </c>
      <c r="W31" s="6">
        <v>74.489795889999996</v>
      </c>
      <c r="X31" s="6">
        <v>42.480001020000003</v>
      </c>
      <c r="Y31" s="6">
        <v>3213.0169999999998</v>
      </c>
      <c r="Z31" s="6">
        <v>126.85899999999999</v>
      </c>
      <c r="AA31" s="6" t="s">
        <v>32</v>
      </c>
    </row>
    <row r="32" spans="1:27" x14ac:dyDescent="0.3">
      <c r="A32" s="4">
        <v>30</v>
      </c>
      <c r="F32" s="4">
        <v>74.490483549999993</v>
      </c>
      <c r="G32" s="4">
        <v>42.481059180000003</v>
      </c>
      <c r="H32" s="4">
        <v>3191.9470000000001</v>
      </c>
      <c r="I32" s="4">
        <v>1.4999999999999999E-2</v>
      </c>
      <c r="J32" s="4">
        <v>1.4E-2</v>
      </c>
      <c r="K32" s="4">
        <v>1.0999999999999999E-2</v>
      </c>
      <c r="L32" s="4">
        <v>0.02</v>
      </c>
      <c r="M32" s="4">
        <v>1.9339999999999999</v>
      </c>
      <c r="N32" s="4" t="s">
        <v>10</v>
      </c>
      <c r="O32" s="4" t="s">
        <v>29</v>
      </c>
      <c r="P32" s="4" t="s">
        <v>619</v>
      </c>
      <c r="Q32" s="4" t="s">
        <v>620</v>
      </c>
      <c r="R32" s="4">
        <v>7</v>
      </c>
      <c r="S32" s="4">
        <v>1.5</v>
      </c>
      <c r="W32" s="4">
        <v>74.489795889999996</v>
      </c>
      <c r="X32" s="4">
        <v>42.480001020000003</v>
      </c>
      <c r="Y32" s="4">
        <v>3213.0169999999998</v>
      </c>
      <c r="Z32" s="4">
        <v>131.90600000000001</v>
      </c>
      <c r="AA32" s="4" t="s">
        <v>32</v>
      </c>
    </row>
    <row r="33" spans="1:27" x14ac:dyDescent="0.3">
      <c r="A33" s="4">
        <v>31</v>
      </c>
      <c r="F33" s="4">
        <v>74.490522279999993</v>
      </c>
      <c r="G33" s="4">
        <v>42.481091220000003</v>
      </c>
      <c r="H33" s="4">
        <v>3191.7220000000002</v>
      </c>
      <c r="I33" s="4">
        <v>1.2E-2</v>
      </c>
      <c r="J33" s="4">
        <v>1.0999999999999999E-2</v>
      </c>
      <c r="K33" s="4">
        <v>1.0999999999999999E-2</v>
      </c>
      <c r="L33" s="4">
        <v>1.6E-2</v>
      </c>
      <c r="M33" s="4">
        <v>1.9339999999999999</v>
      </c>
      <c r="N33" s="4" t="s">
        <v>10</v>
      </c>
      <c r="O33" s="4" t="s">
        <v>29</v>
      </c>
      <c r="P33" s="4" t="s">
        <v>621</v>
      </c>
      <c r="Q33" s="4" t="s">
        <v>622</v>
      </c>
      <c r="R33" s="4">
        <v>7</v>
      </c>
      <c r="S33" s="4">
        <v>2.2000000000000002</v>
      </c>
      <c r="W33" s="4">
        <v>74.489795889999996</v>
      </c>
      <c r="X33" s="4">
        <v>42.480001020000003</v>
      </c>
      <c r="Y33" s="4">
        <v>3213.0169999999998</v>
      </c>
      <c r="Z33" s="4">
        <v>136.48500000000001</v>
      </c>
      <c r="AA33" s="4" t="s">
        <v>32</v>
      </c>
    </row>
    <row r="34" spans="1:27" x14ac:dyDescent="0.3">
      <c r="A34" s="4">
        <v>32</v>
      </c>
      <c r="F34" s="4">
        <v>74.490554029999998</v>
      </c>
      <c r="G34" s="4">
        <v>42.481127440000002</v>
      </c>
      <c r="H34" s="4">
        <v>3190.6219999999998</v>
      </c>
      <c r="I34" s="4">
        <v>1.0999999999999999E-2</v>
      </c>
      <c r="J34" s="4">
        <v>0.01</v>
      </c>
      <c r="K34" s="4">
        <v>1.0999999999999999E-2</v>
      </c>
      <c r="L34" s="4">
        <v>1.4999999999999999E-2</v>
      </c>
      <c r="M34" s="4">
        <v>1.9339999999999999</v>
      </c>
      <c r="N34" s="4" t="s">
        <v>10</v>
      </c>
      <c r="O34" s="4" t="s">
        <v>29</v>
      </c>
      <c r="P34" s="4" t="s">
        <v>623</v>
      </c>
      <c r="Q34" s="4" t="s">
        <v>624</v>
      </c>
      <c r="R34" s="4">
        <v>7</v>
      </c>
      <c r="S34" s="4">
        <v>1.4</v>
      </c>
      <c r="W34" s="4">
        <v>74.489795889999996</v>
      </c>
      <c r="X34" s="4">
        <v>42.480001020000003</v>
      </c>
      <c r="Y34" s="4">
        <v>3213.0169999999998</v>
      </c>
      <c r="Z34" s="4">
        <v>141.352</v>
      </c>
      <c r="AA34" s="4" t="s">
        <v>32</v>
      </c>
    </row>
    <row r="35" spans="1:27" x14ac:dyDescent="0.3">
      <c r="A35" s="4">
        <v>33</v>
      </c>
      <c r="F35" s="4">
        <v>74.490595819999996</v>
      </c>
      <c r="G35" s="4">
        <v>42.481161559999997</v>
      </c>
      <c r="H35" s="4">
        <v>3188.9250000000002</v>
      </c>
      <c r="I35" s="4">
        <v>1.0999999999999999E-2</v>
      </c>
      <c r="J35" s="4">
        <v>1.0999999999999999E-2</v>
      </c>
      <c r="K35" s="4">
        <v>1.4999999999999999E-2</v>
      </c>
      <c r="L35" s="4">
        <v>1.4999999999999999E-2</v>
      </c>
      <c r="M35" s="4">
        <v>1.9339999999999999</v>
      </c>
      <c r="N35" s="4" t="s">
        <v>10</v>
      </c>
      <c r="O35" s="4" t="s">
        <v>29</v>
      </c>
      <c r="P35" s="4" t="s">
        <v>625</v>
      </c>
      <c r="Q35" s="4" t="s">
        <v>626</v>
      </c>
      <c r="R35" s="4">
        <v>6</v>
      </c>
      <c r="S35" s="4">
        <v>1.5</v>
      </c>
      <c r="W35" s="4">
        <v>74.489795889999996</v>
      </c>
      <c r="X35" s="4">
        <v>42.480001020000003</v>
      </c>
      <c r="Y35" s="4">
        <v>3213.0169999999998</v>
      </c>
      <c r="Z35" s="4">
        <v>146.48699999999999</v>
      </c>
      <c r="AA35" s="4" t="s">
        <v>32</v>
      </c>
    </row>
    <row r="36" spans="1:27" x14ac:dyDescent="0.3">
      <c r="A36" s="4">
        <v>34</v>
      </c>
      <c r="F36" s="4">
        <v>74.490613740000001</v>
      </c>
      <c r="G36" s="4">
        <v>42.481200999999999</v>
      </c>
      <c r="H36" s="4">
        <v>3187.8209999999999</v>
      </c>
      <c r="I36" s="4">
        <v>0.01</v>
      </c>
      <c r="J36" s="4">
        <v>1.0999999999999999E-2</v>
      </c>
      <c r="K36" s="4">
        <v>1.0999999999999999E-2</v>
      </c>
      <c r="L36" s="4">
        <v>1.4999999999999999E-2</v>
      </c>
      <c r="M36" s="4">
        <v>1.9339999999999999</v>
      </c>
      <c r="N36" s="4" t="s">
        <v>10</v>
      </c>
      <c r="O36" s="4" t="s">
        <v>29</v>
      </c>
      <c r="P36" s="4" t="s">
        <v>627</v>
      </c>
      <c r="Q36" s="4" t="s">
        <v>628</v>
      </c>
      <c r="R36" s="4">
        <v>6</v>
      </c>
      <c r="S36" s="4">
        <v>1.4</v>
      </c>
      <c r="W36" s="4">
        <v>74.489795889999996</v>
      </c>
      <c r="X36" s="4">
        <v>42.480001020000003</v>
      </c>
      <c r="Y36" s="4">
        <v>3213.0169999999998</v>
      </c>
      <c r="Z36" s="4">
        <v>151.17699999999999</v>
      </c>
      <c r="AA36" s="4" t="s">
        <v>32</v>
      </c>
    </row>
    <row r="37" spans="1:27" x14ac:dyDescent="0.3">
      <c r="A37" s="4">
        <v>35</v>
      </c>
      <c r="F37" s="4">
        <v>74.490653039999998</v>
      </c>
      <c r="G37" s="4">
        <v>42.481236199999998</v>
      </c>
      <c r="H37" s="4">
        <v>3187.0120000000002</v>
      </c>
      <c r="I37" s="4">
        <v>1.0999999999999999E-2</v>
      </c>
      <c r="J37" s="4">
        <v>1.0999999999999999E-2</v>
      </c>
      <c r="K37" s="4">
        <v>1.0999999999999999E-2</v>
      </c>
      <c r="L37" s="4">
        <v>1.4999999999999999E-2</v>
      </c>
      <c r="M37" s="4">
        <v>1.9339999999999999</v>
      </c>
      <c r="N37" s="4" t="s">
        <v>10</v>
      </c>
      <c r="O37" s="4" t="s">
        <v>29</v>
      </c>
      <c r="P37" s="4" t="s">
        <v>629</v>
      </c>
      <c r="Q37" s="4" t="s">
        <v>630</v>
      </c>
      <c r="R37" s="4">
        <v>7</v>
      </c>
      <c r="S37" s="4">
        <v>2</v>
      </c>
      <c r="W37" s="4">
        <v>74.489795889999996</v>
      </c>
      <c r="X37" s="4">
        <v>42.480001020000003</v>
      </c>
      <c r="Y37" s="4">
        <v>3213.0169999999998</v>
      </c>
      <c r="Z37" s="4">
        <v>156.18799999999999</v>
      </c>
      <c r="AA37" s="4" t="s">
        <v>32</v>
      </c>
    </row>
    <row r="38" spans="1:27" x14ac:dyDescent="0.3">
      <c r="A38" s="4">
        <v>36</v>
      </c>
      <c r="F38" s="4">
        <v>74.490682930000006</v>
      </c>
      <c r="G38" s="4">
        <v>42.481281709999998</v>
      </c>
      <c r="H38" s="4">
        <v>3186.971</v>
      </c>
      <c r="I38" s="4">
        <v>0.01</v>
      </c>
      <c r="J38" s="4">
        <v>1.2E-2</v>
      </c>
      <c r="K38" s="4">
        <v>1.0999999999999999E-2</v>
      </c>
      <c r="L38" s="4">
        <v>1.4999999999999999E-2</v>
      </c>
      <c r="M38" s="4">
        <v>1.9339999999999999</v>
      </c>
      <c r="N38" s="4" t="s">
        <v>10</v>
      </c>
      <c r="O38" s="4" t="s">
        <v>29</v>
      </c>
      <c r="P38" s="4" t="s">
        <v>631</v>
      </c>
      <c r="Q38" s="4" t="s">
        <v>632</v>
      </c>
      <c r="R38" s="4">
        <v>6</v>
      </c>
      <c r="S38" s="4">
        <v>1.9</v>
      </c>
      <c r="W38" s="4">
        <v>74.489795889999996</v>
      </c>
      <c r="X38" s="4">
        <v>42.480001020000003</v>
      </c>
      <c r="Y38" s="4">
        <v>3213.0169999999998</v>
      </c>
      <c r="Z38" s="4">
        <v>161.749</v>
      </c>
      <c r="AA38" s="4" t="s">
        <v>32</v>
      </c>
    </row>
    <row r="39" spans="1:27" x14ac:dyDescent="0.3">
      <c r="A39" s="4">
        <v>37</v>
      </c>
      <c r="F39" s="4">
        <v>74.490716059999997</v>
      </c>
      <c r="G39" s="4">
        <v>42.481308630000001</v>
      </c>
      <c r="H39" s="4">
        <v>3186.895</v>
      </c>
      <c r="I39" s="4">
        <v>1.0999999999999999E-2</v>
      </c>
      <c r="J39" s="4">
        <v>0.01</v>
      </c>
      <c r="K39" s="4">
        <v>1.0999999999999999E-2</v>
      </c>
      <c r="L39" s="4">
        <v>1.4999999999999999E-2</v>
      </c>
      <c r="M39" s="4">
        <v>1.9339999999999999</v>
      </c>
      <c r="N39" s="4" t="s">
        <v>10</v>
      </c>
      <c r="O39" s="4" t="s">
        <v>29</v>
      </c>
      <c r="P39" s="4" t="s">
        <v>633</v>
      </c>
      <c r="Q39" s="4" t="s">
        <v>634</v>
      </c>
      <c r="R39" s="4">
        <v>6</v>
      </c>
      <c r="S39" s="4">
        <v>1.9</v>
      </c>
      <c r="W39" s="4">
        <v>74.489795889999996</v>
      </c>
      <c r="X39" s="4">
        <v>42.480001020000003</v>
      </c>
      <c r="Y39" s="4">
        <v>3213.0169999999998</v>
      </c>
      <c r="Z39" s="4">
        <v>165.63300000000001</v>
      </c>
      <c r="AA39" s="4" t="s">
        <v>32</v>
      </c>
    </row>
    <row r="40" spans="1:27" x14ac:dyDescent="0.3">
      <c r="A40" s="4">
        <v>38</v>
      </c>
      <c r="F40" s="4">
        <v>74.49075363</v>
      </c>
      <c r="G40" s="4">
        <v>42.4813495</v>
      </c>
      <c r="H40" s="4">
        <v>3186.2330000000002</v>
      </c>
      <c r="I40" s="4">
        <v>1.0999999999999999E-2</v>
      </c>
      <c r="J40" s="4">
        <v>1.6E-2</v>
      </c>
      <c r="K40" s="4">
        <v>1.0999999999999999E-2</v>
      </c>
      <c r="L40" s="4">
        <v>1.9E-2</v>
      </c>
      <c r="M40" s="4">
        <v>1.9339999999999999</v>
      </c>
      <c r="N40" s="4" t="s">
        <v>10</v>
      </c>
      <c r="O40" s="4" t="s">
        <v>29</v>
      </c>
      <c r="P40" s="4" t="s">
        <v>635</v>
      </c>
      <c r="Q40" s="4" t="s">
        <v>636</v>
      </c>
      <c r="R40" s="4">
        <v>6</v>
      </c>
      <c r="S40" s="4">
        <v>1.6</v>
      </c>
      <c r="W40" s="4">
        <v>74.489795889999996</v>
      </c>
      <c r="X40" s="4">
        <v>42.480001020000003</v>
      </c>
      <c r="Y40" s="4">
        <v>3213.0169999999998</v>
      </c>
      <c r="Z40" s="4">
        <v>171.13200000000001</v>
      </c>
      <c r="AA40" s="4" t="s">
        <v>32</v>
      </c>
    </row>
    <row r="41" spans="1:27" x14ac:dyDescent="0.3">
      <c r="A41" s="4">
        <v>39</v>
      </c>
      <c r="F41" s="4">
        <v>74.490794589999993</v>
      </c>
      <c r="G41" s="4">
        <v>42.481375800000002</v>
      </c>
      <c r="H41" s="4">
        <v>3185.9369999999999</v>
      </c>
      <c r="I41" s="4">
        <v>1.4E-2</v>
      </c>
      <c r="J41" s="4">
        <v>1.0999999999999999E-2</v>
      </c>
      <c r="K41" s="4">
        <v>1.0999999999999999E-2</v>
      </c>
      <c r="L41" s="4">
        <v>1.7000000000000001E-2</v>
      </c>
      <c r="M41" s="4">
        <v>1.9339999999999999</v>
      </c>
      <c r="N41" s="4" t="s">
        <v>10</v>
      </c>
      <c r="O41" s="4" t="s">
        <v>29</v>
      </c>
      <c r="P41" s="4" t="s">
        <v>637</v>
      </c>
      <c r="Q41" s="4" t="s">
        <v>638</v>
      </c>
      <c r="R41" s="4">
        <v>7</v>
      </c>
      <c r="S41" s="4">
        <v>1.6</v>
      </c>
      <c r="W41" s="4">
        <v>74.489795889999996</v>
      </c>
      <c r="X41" s="4">
        <v>42.480001020000003</v>
      </c>
      <c r="Y41" s="4">
        <v>3213.0169999999998</v>
      </c>
      <c r="Z41" s="4">
        <v>175.292</v>
      </c>
      <c r="AA41" s="4" t="s">
        <v>32</v>
      </c>
    </row>
    <row r="42" spans="1:27" x14ac:dyDescent="0.3">
      <c r="A42" s="4">
        <v>40</v>
      </c>
      <c r="F42" s="4">
        <v>74.490829559999995</v>
      </c>
      <c r="G42" s="4">
        <v>42.481420280000002</v>
      </c>
      <c r="H42" s="4">
        <v>3185.4160000000002</v>
      </c>
      <c r="I42" s="4">
        <v>0.01</v>
      </c>
      <c r="J42" s="4">
        <v>1.0999999999999999E-2</v>
      </c>
      <c r="K42" s="4">
        <v>1.7999999999999999E-2</v>
      </c>
      <c r="L42" s="4">
        <v>1.4999999999999999E-2</v>
      </c>
      <c r="M42" s="4">
        <v>1.9339999999999999</v>
      </c>
      <c r="N42" s="4" t="s">
        <v>10</v>
      </c>
      <c r="O42" s="4" t="s">
        <v>29</v>
      </c>
      <c r="P42" s="4" t="s">
        <v>639</v>
      </c>
      <c r="Q42" s="4" t="s">
        <v>640</v>
      </c>
      <c r="R42" s="4">
        <v>7</v>
      </c>
      <c r="S42" s="4">
        <v>1.7</v>
      </c>
      <c r="W42" s="4">
        <v>74.489795889999996</v>
      </c>
      <c r="X42" s="4">
        <v>42.480001020000003</v>
      </c>
      <c r="Y42" s="4">
        <v>3213.0169999999998</v>
      </c>
      <c r="Z42" s="4">
        <v>181.01900000000001</v>
      </c>
      <c r="AA42" s="4" t="s">
        <v>32</v>
      </c>
    </row>
    <row r="43" spans="1:27" x14ac:dyDescent="0.3">
      <c r="A43" s="4">
        <v>41</v>
      </c>
      <c r="F43" s="4">
        <v>74.490866229999995</v>
      </c>
      <c r="G43" s="4">
        <v>42.481454630000002</v>
      </c>
      <c r="H43" s="4">
        <v>3184.7310000000002</v>
      </c>
      <c r="I43" s="4">
        <v>0.01</v>
      </c>
      <c r="J43" s="4">
        <v>1.0999999999999999E-2</v>
      </c>
      <c r="K43" s="4">
        <v>1.2999999999999999E-2</v>
      </c>
      <c r="L43" s="4">
        <v>1.4999999999999999E-2</v>
      </c>
      <c r="M43" s="4">
        <v>1.9339999999999999</v>
      </c>
      <c r="N43" s="4" t="s">
        <v>10</v>
      </c>
      <c r="O43" s="4" t="s">
        <v>29</v>
      </c>
      <c r="P43" s="4" t="s">
        <v>641</v>
      </c>
      <c r="Q43" s="4" t="s">
        <v>642</v>
      </c>
      <c r="R43" s="4">
        <v>7</v>
      </c>
      <c r="S43" s="4">
        <v>1.6</v>
      </c>
      <c r="W43" s="4">
        <v>74.489795889999996</v>
      </c>
      <c r="X43" s="4">
        <v>42.480001020000003</v>
      </c>
      <c r="Y43" s="4">
        <v>3213.0169999999998</v>
      </c>
      <c r="Z43" s="4">
        <v>185.86699999999999</v>
      </c>
      <c r="AA43" s="4" t="s">
        <v>32</v>
      </c>
    </row>
    <row r="44" spans="1:27" x14ac:dyDescent="0.3">
      <c r="A44" s="4">
        <v>42</v>
      </c>
      <c r="F44" s="4">
        <v>74.490879660000004</v>
      </c>
      <c r="G44" s="4">
        <v>42.481489940000003</v>
      </c>
      <c r="H44" s="4">
        <v>3184.2469999999998</v>
      </c>
      <c r="I44" s="4">
        <v>0.01</v>
      </c>
      <c r="J44" s="4">
        <v>1.0999999999999999E-2</v>
      </c>
      <c r="K44" s="4">
        <v>1.2999999999999999E-2</v>
      </c>
      <c r="L44" s="4">
        <v>1.4999999999999999E-2</v>
      </c>
      <c r="M44" s="4">
        <v>1.9339999999999999</v>
      </c>
      <c r="N44" s="4" t="s">
        <v>10</v>
      </c>
      <c r="O44" s="4" t="s">
        <v>29</v>
      </c>
      <c r="P44" s="4" t="s">
        <v>643</v>
      </c>
      <c r="Q44" s="4" t="s">
        <v>644</v>
      </c>
      <c r="R44" s="4">
        <v>6</v>
      </c>
      <c r="S44" s="4">
        <v>1.7</v>
      </c>
      <c r="W44" s="4">
        <v>74.489795889999996</v>
      </c>
      <c r="X44" s="4">
        <v>42.480001020000003</v>
      </c>
      <c r="Y44" s="4">
        <v>3213.0169999999998</v>
      </c>
      <c r="Z44" s="4">
        <v>189.869</v>
      </c>
      <c r="AA44" s="4" t="s">
        <v>32</v>
      </c>
    </row>
    <row r="45" spans="1:27" x14ac:dyDescent="0.3">
      <c r="A45" s="4">
        <v>43</v>
      </c>
      <c r="F45" s="4">
        <v>74.490930579999997</v>
      </c>
      <c r="G45" s="4">
        <v>42.481526680000002</v>
      </c>
      <c r="H45" s="4">
        <v>3183.65</v>
      </c>
      <c r="I45" s="4">
        <v>1.4999999999999999E-2</v>
      </c>
      <c r="J45" s="4">
        <v>1.0999999999999999E-2</v>
      </c>
      <c r="K45" s="4">
        <v>1.7000000000000001E-2</v>
      </c>
      <c r="L45" s="4">
        <v>1.9E-2</v>
      </c>
      <c r="M45" s="4">
        <v>1.9339999999999999</v>
      </c>
      <c r="N45" s="4" t="s">
        <v>10</v>
      </c>
      <c r="O45" s="4" t="s">
        <v>29</v>
      </c>
      <c r="P45" s="4" t="s">
        <v>645</v>
      </c>
      <c r="Q45" s="4" t="s">
        <v>646</v>
      </c>
      <c r="R45" s="4">
        <v>7</v>
      </c>
      <c r="S45" s="4">
        <v>4.9000000000000004</v>
      </c>
      <c r="W45" s="4">
        <v>74.489795889999996</v>
      </c>
      <c r="X45" s="4">
        <v>42.480001020000003</v>
      </c>
      <c r="Y45" s="4">
        <v>3213.0169999999998</v>
      </c>
      <c r="Z45" s="4">
        <v>195.495</v>
      </c>
      <c r="AA45" s="4" t="s">
        <v>32</v>
      </c>
    </row>
    <row r="46" spans="1:27" x14ac:dyDescent="0.3">
      <c r="A46" s="4">
        <v>44</v>
      </c>
      <c r="F46" s="4">
        <v>74.490957230000006</v>
      </c>
      <c r="G46" s="4">
        <v>42.481561689999999</v>
      </c>
      <c r="H46" s="4">
        <v>3182.962</v>
      </c>
      <c r="I46" s="4">
        <v>0.01</v>
      </c>
      <c r="J46" s="4">
        <v>0.01</v>
      </c>
      <c r="K46" s="4">
        <v>1.4E-2</v>
      </c>
      <c r="L46" s="4">
        <v>1.4999999999999999E-2</v>
      </c>
      <c r="M46" s="4">
        <v>1.9339999999999999</v>
      </c>
      <c r="N46" s="4" t="s">
        <v>10</v>
      </c>
      <c r="O46" s="4" t="s">
        <v>29</v>
      </c>
      <c r="P46" s="4" t="s">
        <v>647</v>
      </c>
      <c r="Q46" s="4" t="s">
        <v>648</v>
      </c>
      <c r="R46" s="4">
        <v>6</v>
      </c>
      <c r="S46" s="4">
        <v>1.7</v>
      </c>
      <c r="W46" s="4">
        <v>74.489795889999996</v>
      </c>
      <c r="X46" s="4">
        <v>42.480001020000003</v>
      </c>
      <c r="Y46" s="4">
        <v>3213.0169999999998</v>
      </c>
      <c r="Z46" s="4">
        <v>200.006</v>
      </c>
      <c r="AA46" s="4" t="s">
        <v>32</v>
      </c>
    </row>
    <row r="47" spans="1:27" x14ac:dyDescent="0.3">
      <c r="A47" s="4">
        <v>45</v>
      </c>
      <c r="F47" s="4">
        <v>74.490990769999996</v>
      </c>
      <c r="G47" s="4">
        <v>42.481618589999997</v>
      </c>
      <c r="H47" s="4">
        <v>3177.252</v>
      </c>
      <c r="I47" s="4">
        <v>0.82099999999999995</v>
      </c>
      <c r="J47" s="4">
        <v>0.38600000000000001</v>
      </c>
      <c r="K47" s="4">
        <v>0.752</v>
      </c>
      <c r="L47" s="4">
        <v>0.90700000000000003</v>
      </c>
      <c r="M47" s="4">
        <v>1.9339999999999999</v>
      </c>
      <c r="N47" s="4" t="s">
        <v>10</v>
      </c>
      <c r="O47" s="4" t="s">
        <v>11</v>
      </c>
      <c r="P47" s="4" t="s">
        <v>649</v>
      </c>
      <c r="Q47" s="4" t="s">
        <v>650</v>
      </c>
      <c r="R47" s="4">
        <v>7</v>
      </c>
      <c r="S47" s="4">
        <v>1.5</v>
      </c>
      <c r="AA47" s="4" t="s">
        <v>32</v>
      </c>
    </row>
    <row r="48" spans="1:27" x14ac:dyDescent="0.3">
      <c r="A48" s="4">
        <v>46</v>
      </c>
      <c r="F48" s="4">
        <v>74.491011299999997</v>
      </c>
      <c r="G48" s="4">
        <v>42.481664330000001</v>
      </c>
      <c r="H48" s="4">
        <v>3174.1210000000001</v>
      </c>
      <c r="I48" s="4">
        <v>0.58599999999999997</v>
      </c>
      <c r="J48" s="4">
        <v>0.3</v>
      </c>
      <c r="K48" s="4">
        <v>0.63700000000000001</v>
      </c>
      <c r="L48" s="4">
        <v>0.65800000000000003</v>
      </c>
      <c r="M48" s="4">
        <v>1.9339999999999999</v>
      </c>
      <c r="N48" s="4" t="s">
        <v>10</v>
      </c>
      <c r="O48" s="4" t="s">
        <v>11</v>
      </c>
      <c r="P48" s="4" t="s">
        <v>651</v>
      </c>
      <c r="Q48" s="4" t="s">
        <v>652</v>
      </c>
      <c r="R48" s="4">
        <v>7</v>
      </c>
      <c r="S48" s="4">
        <v>1.4</v>
      </c>
      <c r="AA48" s="4" t="s">
        <v>32</v>
      </c>
    </row>
    <row r="49" spans="1:27" x14ac:dyDescent="0.3">
      <c r="A49" s="4">
        <v>47</v>
      </c>
      <c r="F49" s="4">
        <v>74.491034159999998</v>
      </c>
      <c r="G49" s="4">
        <v>42.481680519999998</v>
      </c>
      <c r="H49" s="4">
        <v>3173.3589999999999</v>
      </c>
      <c r="I49" s="4">
        <v>0.55000000000000004</v>
      </c>
      <c r="J49" s="4">
        <v>0.3</v>
      </c>
      <c r="K49" s="4">
        <v>0.65600000000000003</v>
      </c>
      <c r="L49" s="4">
        <v>0.627</v>
      </c>
      <c r="M49" s="4">
        <v>1.9339999999999999</v>
      </c>
      <c r="N49" s="4" t="s">
        <v>10</v>
      </c>
      <c r="O49" s="4" t="s">
        <v>11</v>
      </c>
      <c r="P49" s="4" t="s">
        <v>653</v>
      </c>
      <c r="Q49" s="4" t="s">
        <v>654</v>
      </c>
      <c r="R49" s="4">
        <v>7</v>
      </c>
      <c r="S49" s="4">
        <v>1.5</v>
      </c>
      <c r="AA49" s="4" t="s">
        <v>32</v>
      </c>
    </row>
    <row r="50" spans="1:27" x14ac:dyDescent="0.3">
      <c r="A50" s="4">
        <v>48</v>
      </c>
      <c r="F50" s="4">
        <v>74.491084709999996</v>
      </c>
      <c r="G50" s="4">
        <v>42.481716929999997</v>
      </c>
      <c r="H50" s="4">
        <v>3172.348</v>
      </c>
      <c r="I50" s="4">
        <v>0.55100000000000005</v>
      </c>
      <c r="J50" s="4">
        <v>0.30399999999999999</v>
      </c>
      <c r="K50" s="4">
        <v>0.67</v>
      </c>
      <c r="L50" s="4">
        <v>0.629</v>
      </c>
      <c r="M50" s="4">
        <v>1.9339999999999999</v>
      </c>
      <c r="N50" s="4" t="s">
        <v>10</v>
      </c>
      <c r="O50" s="4" t="s">
        <v>11</v>
      </c>
      <c r="P50" s="4" t="s">
        <v>655</v>
      </c>
      <c r="Q50" s="4" t="s">
        <v>656</v>
      </c>
      <c r="R50" s="4">
        <v>6</v>
      </c>
      <c r="S50" s="4">
        <v>1.5</v>
      </c>
      <c r="AA50" s="4" t="s">
        <v>32</v>
      </c>
    </row>
    <row r="51" spans="1:27" x14ac:dyDescent="0.3">
      <c r="A51" s="4">
        <v>49</v>
      </c>
      <c r="F51" s="4">
        <v>74.491125859999997</v>
      </c>
      <c r="G51" s="4">
        <v>42.481754590000001</v>
      </c>
      <c r="H51" s="4">
        <v>3171.6109999999999</v>
      </c>
      <c r="I51" s="4">
        <v>0.56899999999999995</v>
      </c>
      <c r="J51" s="4">
        <v>0.30099999999999999</v>
      </c>
      <c r="K51" s="4">
        <v>0.68799999999999994</v>
      </c>
      <c r="L51" s="4">
        <v>0.64300000000000002</v>
      </c>
      <c r="M51" s="4">
        <v>1.9339999999999999</v>
      </c>
      <c r="N51" s="4" t="s">
        <v>10</v>
      </c>
      <c r="O51" s="4" t="s">
        <v>11</v>
      </c>
      <c r="P51" s="4" t="s">
        <v>657</v>
      </c>
      <c r="Q51" s="4" t="s">
        <v>658</v>
      </c>
      <c r="R51" s="4">
        <v>7</v>
      </c>
      <c r="S51" s="4">
        <v>1.5</v>
      </c>
      <c r="AA51" s="4" t="s">
        <v>32</v>
      </c>
    </row>
    <row r="52" spans="1:27" x14ac:dyDescent="0.3">
      <c r="A52" s="4">
        <v>50</v>
      </c>
      <c r="F52" s="4">
        <v>74.491129529999995</v>
      </c>
      <c r="G52" s="4">
        <v>42.48179167</v>
      </c>
      <c r="H52" s="4">
        <v>3170.5520000000001</v>
      </c>
      <c r="I52" s="4">
        <v>0.56399999999999995</v>
      </c>
      <c r="J52" s="4">
        <v>0.30099999999999999</v>
      </c>
      <c r="K52" s="4">
        <v>0.67700000000000005</v>
      </c>
      <c r="L52" s="4">
        <v>0.63900000000000001</v>
      </c>
      <c r="M52" s="4">
        <v>1.9339999999999999</v>
      </c>
      <c r="N52" s="4" t="s">
        <v>10</v>
      </c>
      <c r="O52" s="4" t="s">
        <v>11</v>
      </c>
      <c r="P52" s="4" t="s">
        <v>659</v>
      </c>
      <c r="Q52" s="4" t="s">
        <v>660</v>
      </c>
      <c r="R52" s="4">
        <v>6</v>
      </c>
      <c r="S52" s="4">
        <v>1.5</v>
      </c>
      <c r="AA52" s="4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21"/>
  <sheetViews>
    <sheetView workbookViewId="0">
      <selection activeCell="H74" sqref="H74:H98"/>
    </sheetView>
  </sheetViews>
  <sheetFormatPr defaultColWidth="10.81640625"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7</v>
      </c>
      <c r="S1" t="s">
        <v>8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9</v>
      </c>
      <c r="AA1" t="s">
        <v>28</v>
      </c>
    </row>
    <row r="2" spans="1:27" x14ac:dyDescent="0.35">
      <c r="A2">
        <v>1</v>
      </c>
      <c r="F2">
        <v>74.499172520000002</v>
      </c>
      <c r="G2">
        <v>42.482185909999998</v>
      </c>
      <c r="H2">
        <v>3192.4050000000002</v>
      </c>
      <c r="I2">
        <v>0.53</v>
      </c>
      <c r="J2">
        <v>0.40699999999999997</v>
      </c>
      <c r="K2">
        <v>1</v>
      </c>
      <c r="L2">
        <v>0.66800000000000004</v>
      </c>
      <c r="M2">
        <v>2.1339999999999999</v>
      </c>
      <c r="N2" t="s">
        <v>10</v>
      </c>
      <c r="O2" t="s">
        <v>11</v>
      </c>
      <c r="P2" t="s">
        <v>223</v>
      </c>
      <c r="Q2" t="s">
        <v>224</v>
      </c>
      <c r="R2">
        <v>6</v>
      </c>
      <c r="S2">
        <v>1.3</v>
      </c>
      <c r="AA2" t="s">
        <v>32</v>
      </c>
    </row>
    <row r="3" spans="1:27" x14ac:dyDescent="0.35">
      <c r="A3">
        <v>2</v>
      </c>
      <c r="F3">
        <v>74.499134240000004</v>
      </c>
      <c r="G3">
        <v>42.482206769999998</v>
      </c>
      <c r="H3">
        <v>3191.74</v>
      </c>
      <c r="I3">
        <v>0.53</v>
      </c>
      <c r="J3">
        <v>0.42299999999999999</v>
      </c>
      <c r="K3">
        <v>1</v>
      </c>
      <c r="L3">
        <v>0.67800000000000005</v>
      </c>
      <c r="M3">
        <v>2.1339999999999999</v>
      </c>
      <c r="N3" t="s">
        <v>10</v>
      </c>
      <c r="O3" t="s">
        <v>11</v>
      </c>
      <c r="P3" t="s">
        <v>225</v>
      </c>
      <c r="Q3" t="s">
        <v>226</v>
      </c>
      <c r="R3">
        <v>7</v>
      </c>
      <c r="S3">
        <v>1.3</v>
      </c>
      <c r="AA3" t="s">
        <v>32</v>
      </c>
    </row>
    <row r="4" spans="1:27" x14ac:dyDescent="0.35">
      <c r="A4">
        <v>3</v>
      </c>
      <c r="F4">
        <v>74.49909203</v>
      </c>
      <c r="G4">
        <v>42.482238670000001</v>
      </c>
      <c r="H4">
        <v>3191.5459999999998</v>
      </c>
      <c r="I4">
        <v>0.52500000000000002</v>
      </c>
      <c r="J4">
        <v>0.42799999999999999</v>
      </c>
      <c r="K4">
        <v>1</v>
      </c>
      <c r="L4">
        <v>0.67700000000000005</v>
      </c>
      <c r="M4">
        <v>2.1339999999999999</v>
      </c>
      <c r="N4" t="s">
        <v>10</v>
      </c>
      <c r="O4" t="s">
        <v>11</v>
      </c>
      <c r="P4" t="s">
        <v>227</v>
      </c>
      <c r="Q4" t="s">
        <v>228</v>
      </c>
      <c r="R4">
        <v>6</v>
      </c>
      <c r="S4">
        <v>1.4</v>
      </c>
      <c r="AA4" t="s">
        <v>32</v>
      </c>
    </row>
    <row r="5" spans="1:27" x14ac:dyDescent="0.35">
      <c r="A5">
        <v>4</v>
      </c>
      <c r="F5">
        <v>74.499040710000003</v>
      </c>
      <c r="G5">
        <v>42.482266279999997</v>
      </c>
      <c r="H5">
        <v>3191.55</v>
      </c>
      <c r="I5">
        <v>0.47</v>
      </c>
      <c r="J5">
        <v>0.41199999999999998</v>
      </c>
      <c r="K5">
        <v>0.98599999999999999</v>
      </c>
      <c r="L5">
        <v>0.626</v>
      </c>
      <c r="M5">
        <v>2.1339999999999999</v>
      </c>
      <c r="N5" t="s">
        <v>10</v>
      </c>
      <c r="O5" t="s">
        <v>11</v>
      </c>
      <c r="P5" t="s">
        <v>229</v>
      </c>
      <c r="Q5" t="s">
        <v>230</v>
      </c>
      <c r="R5">
        <v>6</v>
      </c>
      <c r="S5">
        <v>1.4</v>
      </c>
      <c r="AA5" t="s">
        <v>32</v>
      </c>
    </row>
    <row r="6" spans="1:27" x14ac:dyDescent="0.35">
      <c r="A6">
        <v>5</v>
      </c>
      <c r="F6">
        <v>74.498981349999994</v>
      </c>
      <c r="G6">
        <v>42.482301579999998</v>
      </c>
      <c r="H6">
        <v>3189.8789999999999</v>
      </c>
      <c r="I6">
        <v>0.37</v>
      </c>
      <c r="J6">
        <v>0.36499999999999999</v>
      </c>
      <c r="K6">
        <v>0.83499999999999996</v>
      </c>
      <c r="L6">
        <v>0.51900000000000002</v>
      </c>
      <c r="M6">
        <v>2.1339999999999999</v>
      </c>
      <c r="N6" t="s">
        <v>10</v>
      </c>
      <c r="O6" t="s">
        <v>11</v>
      </c>
      <c r="P6" t="s">
        <v>231</v>
      </c>
      <c r="Q6" t="s">
        <v>232</v>
      </c>
      <c r="R6">
        <v>7</v>
      </c>
      <c r="S6">
        <v>1.4</v>
      </c>
      <c r="AA6" t="s">
        <v>32</v>
      </c>
    </row>
    <row r="7" spans="1:27" x14ac:dyDescent="0.35">
      <c r="A7">
        <v>6</v>
      </c>
      <c r="F7">
        <v>74.498937769999998</v>
      </c>
      <c r="G7">
        <v>42.482321259999999</v>
      </c>
      <c r="H7">
        <v>3190.5360000000001</v>
      </c>
      <c r="I7">
        <v>0.373</v>
      </c>
      <c r="J7">
        <v>0.35099999999999998</v>
      </c>
      <c r="K7">
        <v>0.80300000000000005</v>
      </c>
      <c r="L7">
        <v>0.51200000000000001</v>
      </c>
      <c r="M7">
        <v>2.1339999999999999</v>
      </c>
      <c r="N7" t="s">
        <v>10</v>
      </c>
      <c r="O7" t="s">
        <v>11</v>
      </c>
      <c r="P7" t="s">
        <v>233</v>
      </c>
      <c r="Q7" t="s">
        <v>234</v>
      </c>
      <c r="R7">
        <v>7</v>
      </c>
      <c r="S7">
        <v>1.2</v>
      </c>
      <c r="AA7" t="s">
        <v>32</v>
      </c>
    </row>
    <row r="8" spans="1:27" x14ac:dyDescent="0.35">
      <c r="A8">
        <v>7</v>
      </c>
      <c r="F8">
        <v>74.498891130000004</v>
      </c>
      <c r="G8">
        <v>42.482351749999999</v>
      </c>
      <c r="H8">
        <v>3190.1480000000001</v>
      </c>
      <c r="I8">
        <v>0.46</v>
      </c>
      <c r="J8">
        <v>0.40699999999999997</v>
      </c>
      <c r="K8">
        <v>0.92100000000000004</v>
      </c>
      <c r="L8">
        <v>0.61399999999999999</v>
      </c>
      <c r="M8">
        <v>2.1339999999999999</v>
      </c>
      <c r="N8" t="s">
        <v>10</v>
      </c>
      <c r="O8" t="s">
        <v>11</v>
      </c>
      <c r="P8" t="s">
        <v>235</v>
      </c>
      <c r="Q8" t="s">
        <v>236</v>
      </c>
      <c r="R8">
        <v>6</v>
      </c>
      <c r="S8">
        <v>1.3</v>
      </c>
      <c r="AA8" t="s">
        <v>32</v>
      </c>
    </row>
    <row r="9" spans="1:27" x14ac:dyDescent="0.35">
      <c r="A9">
        <v>8</v>
      </c>
      <c r="F9">
        <v>74.498836069999996</v>
      </c>
      <c r="G9">
        <v>42.48238654</v>
      </c>
      <c r="H9">
        <v>3188.3670000000002</v>
      </c>
      <c r="I9">
        <v>0.502</v>
      </c>
      <c r="J9">
        <v>0.41299999999999998</v>
      </c>
      <c r="K9">
        <v>0.99</v>
      </c>
      <c r="L9">
        <v>0.65</v>
      </c>
      <c r="M9">
        <v>2.1339999999999999</v>
      </c>
      <c r="N9" t="s">
        <v>10</v>
      </c>
      <c r="O9" t="s">
        <v>11</v>
      </c>
      <c r="P9" t="s">
        <v>237</v>
      </c>
      <c r="Q9" t="s">
        <v>238</v>
      </c>
      <c r="R9">
        <v>6</v>
      </c>
      <c r="S9">
        <v>1.2</v>
      </c>
      <c r="AA9" t="s">
        <v>32</v>
      </c>
    </row>
    <row r="10" spans="1:27" x14ac:dyDescent="0.35">
      <c r="A10">
        <v>9</v>
      </c>
      <c r="F10">
        <v>74.498797819999993</v>
      </c>
      <c r="G10">
        <v>42.482414480000003</v>
      </c>
      <c r="H10">
        <v>3188.1080000000002</v>
      </c>
      <c r="I10">
        <v>0.501</v>
      </c>
      <c r="J10">
        <v>0.41899999999999998</v>
      </c>
      <c r="K10">
        <v>0.996</v>
      </c>
      <c r="L10">
        <v>0.65300000000000002</v>
      </c>
      <c r="M10">
        <v>2.1339999999999999</v>
      </c>
      <c r="N10" t="s">
        <v>10</v>
      </c>
      <c r="O10" t="s">
        <v>11</v>
      </c>
      <c r="P10" t="s">
        <v>239</v>
      </c>
      <c r="Q10" t="s">
        <v>240</v>
      </c>
      <c r="R10">
        <v>6</v>
      </c>
      <c r="S10">
        <v>1.2</v>
      </c>
      <c r="AA10" t="s">
        <v>32</v>
      </c>
    </row>
    <row r="11" spans="1:27" x14ac:dyDescent="0.35">
      <c r="A11">
        <v>10</v>
      </c>
      <c r="F11">
        <v>74.498755700000004</v>
      </c>
      <c r="G11">
        <v>42.482447090000001</v>
      </c>
      <c r="H11">
        <v>3187.65</v>
      </c>
      <c r="I11">
        <v>0.47199999999999998</v>
      </c>
      <c r="J11">
        <v>0.39300000000000002</v>
      </c>
      <c r="K11">
        <v>0.93899999999999995</v>
      </c>
      <c r="L11">
        <v>0.61399999999999999</v>
      </c>
      <c r="M11">
        <v>2.1339999999999999</v>
      </c>
      <c r="N11" t="s">
        <v>10</v>
      </c>
      <c r="O11" t="s">
        <v>11</v>
      </c>
      <c r="P11" t="s">
        <v>241</v>
      </c>
      <c r="Q11" t="s">
        <v>242</v>
      </c>
      <c r="R11">
        <v>12</v>
      </c>
      <c r="S11">
        <v>1.2</v>
      </c>
      <c r="AA11" t="s">
        <v>32</v>
      </c>
    </row>
    <row r="12" spans="1:27" x14ac:dyDescent="0.35">
      <c r="A12">
        <v>11</v>
      </c>
      <c r="F12">
        <v>74.498717979999995</v>
      </c>
      <c r="G12">
        <v>42.482477459999998</v>
      </c>
      <c r="H12">
        <v>3187.2330000000002</v>
      </c>
      <c r="I12">
        <v>0.41599999999999998</v>
      </c>
      <c r="J12">
        <v>0.29199999999999998</v>
      </c>
      <c r="K12">
        <v>0.77200000000000002</v>
      </c>
      <c r="L12">
        <v>0.50900000000000001</v>
      </c>
      <c r="M12">
        <v>2.1339999999999999</v>
      </c>
      <c r="N12" t="s">
        <v>10</v>
      </c>
      <c r="O12" t="s">
        <v>11</v>
      </c>
      <c r="P12" t="s">
        <v>243</v>
      </c>
      <c r="Q12" t="s">
        <v>244</v>
      </c>
      <c r="R12">
        <v>12</v>
      </c>
      <c r="S12">
        <v>1.1000000000000001</v>
      </c>
      <c r="AA12" t="s">
        <v>32</v>
      </c>
    </row>
    <row r="13" spans="1:27" x14ac:dyDescent="0.35">
      <c r="A13">
        <v>12</v>
      </c>
      <c r="F13">
        <v>74.498664039999994</v>
      </c>
      <c r="G13">
        <v>42.482499820000001</v>
      </c>
      <c r="H13">
        <v>3187.5059999999999</v>
      </c>
      <c r="I13">
        <v>0.41299999999999998</v>
      </c>
      <c r="J13">
        <v>0.30099999999999999</v>
      </c>
      <c r="K13">
        <v>0.77200000000000002</v>
      </c>
      <c r="L13">
        <v>0.51100000000000001</v>
      </c>
      <c r="M13">
        <v>2.1339999999999999</v>
      </c>
      <c r="N13" t="s">
        <v>10</v>
      </c>
      <c r="O13" t="s">
        <v>11</v>
      </c>
      <c r="P13" t="s">
        <v>245</v>
      </c>
      <c r="Q13" t="s">
        <v>246</v>
      </c>
      <c r="R13">
        <v>11</v>
      </c>
      <c r="S13">
        <v>1.1000000000000001</v>
      </c>
      <c r="AA13" t="s">
        <v>32</v>
      </c>
    </row>
    <row r="14" spans="1:27" x14ac:dyDescent="0.35">
      <c r="A14">
        <v>13</v>
      </c>
      <c r="F14">
        <v>74.498616060000003</v>
      </c>
      <c r="G14">
        <v>42.482528189999996</v>
      </c>
      <c r="H14">
        <v>3187.4929999999999</v>
      </c>
      <c r="I14">
        <v>0.35099999999999998</v>
      </c>
      <c r="J14">
        <v>0.246</v>
      </c>
      <c r="K14">
        <v>0.72099999999999997</v>
      </c>
      <c r="L14">
        <v>0.42799999999999999</v>
      </c>
      <c r="M14">
        <v>2.1339999999999999</v>
      </c>
      <c r="N14" t="s">
        <v>10</v>
      </c>
      <c r="O14" t="s">
        <v>11</v>
      </c>
      <c r="P14" t="s">
        <v>247</v>
      </c>
      <c r="Q14" t="s">
        <v>248</v>
      </c>
      <c r="R14">
        <v>11</v>
      </c>
      <c r="S14">
        <v>1.1000000000000001</v>
      </c>
      <c r="AA14" t="s">
        <v>32</v>
      </c>
    </row>
    <row r="15" spans="1:27" x14ac:dyDescent="0.35">
      <c r="A15">
        <v>14</v>
      </c>
      <c r="F15">
        <v>74.498579300000003</v>
      </c>
      <c r="G15">
        <v>42.482552300000002</v>
      </c>
      <c r="H15">
        <v>3186.431</v>
      </c>
      <c r="I15">
        <v>0.32500000000000001</v>
      </c>
      <c r="J15">
        <v>0.254</v>
      </c>
      <c r="K15">
        <v>0.71399999999999997</v>
      </c>
      <c r="L15">
        <v>0.41299999999999998</v>
      </c>
      <c r="M15">
        <v>2.1339999999999999</v>
      </c>
      <c r="N15" t="s">
        <v>10</v>
      </c>
      <c r="O15" t="s">
        <v>11</v>
      </c>
      <c r="P15" t="s">
        <v>249</v>
      </c>
      <c r="Q15" t="s">
        <v>250</v>
      </c>
      <c r="R15">
        <v>12</v>
      </c>
      <c r="S15">
        <v>1.2</v>
      </c>
      <c r="AA15" t="s">
        <v>32</v>
      </c>
    </row>
    <row r="16" spans="1:27" x14ac:dyDescent="0.35">
      <c r="A16">
        <v>15</v>
      </c>
      <c r="F16">
        <v>74.49853804</v>
      </c>
      <c r="G16">
        <v>42.482581590000002</v>
      </c>
      <c r="H16">
        <v>3185.0169999999998</v>
      </c>
      <c r="I16">
        <v>0.32</v>
      </c>
      <c r="J16">
        <v>0.33600000000000002</v>
      </c>
      <c r="K16">
        <v>0.74299999999999999</v>
      </c>
      <c r="L16">
        <v>0.46400000000000002</v>
      </c>
      <c r="M16">
        <v>2.1339999999999999</v>
      </c>
      <c r="N16" t="s">
        <v>10</v>
      </c>
      <c r="O16" t="s">
        <v>11</v>
      </c>
      <c r="P16" t="s">
        <v>251</v>
      </c>
      <c r="Q16" t="s">
        <v>252</v>
      </c>
      <c r="R16">
        <v>12</v>
      </c>
      <c r="S16">
        <v>1.1000000000000001</v>
      </c>
      <c r="AA16" t="s">
        <v>32</v>
      </c>
    </row>
    <row r="17" spans="1:27" x14ac:dyDescent="0.35">
      <c r="A17">
        <v>16</v>
      </c>
      <c r="F17">
        <v>74.498494300000004</v>
      </c>
      <c r="G17">
        <v>42.482605929999998</v>
      </c>
      <c r="H17">
        <v>3184.0529999999999</v>
      </c>
      <c r="I17">
        <v>0.38600000000000001</v>
      </c>
      <c r="J17">
        <v>0.23</v>
      </c>
      <c r="K17">
        <v>0.70599999999999996</v>
      </c>
      <c r="L17">
        <v>0.45</v>
      </c>
      <c r="M17">
        <v>2.1339999999999999</v>
      </c>
      <c r="N17" t="s">
        <v>10</v>
      </c>
      <c r="O17" t="s">
        <v>11</v>
      </c>
      <c r="P17" t="s">
        <v>253</v>
      </c>
      <c r="Q17" t="s">
        <v>254</v>
      </c>
      <c r="R17">
        <v>11</v>
      </c>
      <c r="S17">
        <v>1.1000000000000001</v>
      </c>
      <c r="AA17" t="s">
        <v>32</v>
      </c>
    </row>
    <row r="18" spans="1:27" x14ac:dyDescent="0.35">
      <c r="A18">
        <v>17</v>
      </c>
      <c r="F18">
        <v>74.498448269999997</v>
      </c>
      <c r="G18">
        <v>42.482630929999999</v>
      </c>
      <c r="H18">
        <v>3182.694</v>
      </c>
      <c r="I18">
        <v>0.34300000000000003</v>
      </c>
      <c r="J18">
        <v>0.313</v>
      </c>
      <c r="K18">
        <v>0.70799999999999996</v>
      </c>
      <c r="L18">
        <v>0.46500000000000002</v>
      </c>
      <c r="M18">
        <v>2.1339999999999999</v>
      </c>
      <c r="N18" t="s">
        <v>10</v>
      </c>
      <c r="O18" t="s">
        <v>11</v>
      </c>
      <c r="P18" t="s">
        <v>255</v>
      </c>
      <c r="Q18" t="s">
        <v>256</v>
      </c>
      <c r="R18">
        <v>11</v>
      </c>
      <c r="S18">
        <v>1.1000000000000001</v>
      </c>
      <c r="AA18" t="s">
        <v>32</v>
      </c>
    </row>
    <row r="19" spans="1:27" x14ac:dyDescent="0.35">
      <c r="A19">
        <v>18</v>
      </c>
      <c r="F19">
        <v>74.498385769999999</v>
      </c>
      <c r="G19">
        <v>42.482663430000002</v>
      </c>
      <c r="H19">
        <v>3182.0810000000001</v>
      </c>
      <c r="I19">
        <v>0.32700000000000001</v>
      </c>
      <c r="J19">
        <v>0.24099999999999999</v>
      </c>
      <c r="K19">
        <v>0.69</v>
      </c>
      <c r="L19">
        <v>0.40699999999999997</v>
      </c>
      <c r="M19">
        <v>2.1339999999999999</v>
      </c>
      <c r="N19" t="s">
        <v>10</v>
      </c>
      <c r="O19" t="s">
        <v>11</v>
      </c>
      <c r="P19" t="s">
        <v>257</v>
      </c>
      <c r="Q19" t="s">
        <v>258</v>
      </c>
      <c r="R19">
        <v>12</v>
      </c>
      <c r="S19">
        <v>1.2</v>
      </c>
      <c r="AA19" t="s">
        <v>32</v>
      </c>
    </row>
    <row r="20" spans="1:27" x14ac:dyDescent="0.35">
      <c r="A20">
        <v>19</v>
      </c>
      <c r="F20">
        <v>74.498345270000002</v>
      </c>
      <c r="G20">
        <v>42.482686180000002</v>
      </c>
      <c r="H20">
        <v>3181.788</v>
      </c>
      <c r="I20">
        <v>0.318</v>
      </c>
      <c r="J20">
        <v>0.29299999999999998</v>
      </c>
      <c r="K20">
        <v>0.69899999999999995</v>
      </c>
      <c r="L20">
        <v>0.432</v>
      </c>
      <c r="M20">
        <v>2.1339999999999999</v>
      </c>
      <c r="N20" t="s">
        <v>10</v>
      </c>
      <c r="O20" t="s">
        <v>11</v>
      </c>
      <c r="P20" t="s">
        <v>259</v>
      </c>
      <c r="Q20" t="s">
        <v>260</v>
      </c>
      <c r="R20">
        <v>11</v>
      </c>
      <c r="S20">
        <v>1.2</v>
      </c>
      <c r="AA20" t="s">
        <v>32</v>
      </c>
    </row>
    <row r="21" spans="1:27" x14ac:dyDescent="0.35">
      <c r="A21">
        <v>20</v>
      </c>
      <c r="F21">
        <v>74.498294430000001</v>
      </c>
      <c r="G21">
        <v>42.482720200000003</v>
      </c>
      <c r="H21">
        <v>3181.7869999999998</v>
      </c>
      <c r="I21">
        <v>0.374</v>
      </c>
      <c r="J21">
        <v>0.31</v>
      </c>
      <c r="K21">
        <v>0.72299999999999998</v>
      </c>
      <c r="L21">
        <v>0.48599999999999999</v>
      </c>
      <c r="M21">
        <v>2.1339999999999999</v>
      </c>
      <c r="N21" t="s">
        <v>10</v>
      </c>
      <c r="O21" t="s">
        <v>11</v>
      </c>
      <c r="P21" t="s">
        <v>261</v>
      </c>
      <c r="Q21" t="s">
        <v>262</v>
      </c>
      <c r="R21">
        <v>12</v>
      </c>
      <c r="S21">
        <v>1.2</v>
      </c>
      <c r="AA21" t="s">
        <v>32</v>
      </c>
    </row>
    <row r="22" spans="1:27" x14ac:dyDescent="0.35">
      <c r="A22">
        <v>21</v>
      </c>
      <c r="F22">
        <v>74.498257580000001</v>
      </c>
      <c r="G22">
        <v>42.48275443</v>
      </c>
      <c r="H22">
        <v>3177.9870000000001</v>
      </c>
      <c r="I22">
        <v>0.32400000000000001</v>
      </c>
      <c r="J22">
        <v>0.27</v>
      </c>
      <c r="K22">
        <v>0.90100000000000002</v>
      </c>
      <c r="L22">
        <v>0.42099999999999999</v>
      </c>
      <c r="M22">
        <v>2.1339999999999999</v>
      </c>
      <c r="N22" t="s">
        <v>10</v>
      </c>
      <c r="O22" t="s">
        <v>11</v>
      </c>
      <c r="P22" t="s">
        <v>263</v>
      </c>
      <c r="Q22" t="s">
        <v>264</v>
      </c>
      <c r="R22">
        <v>12</v>
      </c>
      <c r="S22">
        <v>1.1000000000000001</v>
      </c>
      <c r="AA22" t="s">
        <v>32</v>
      </c>
    </row>
    <row r="23" spans="1:27" x14ac:dyDescent="0.35">
      <c r="A23">
        <v>22</v>
      </c>
      <c r="F23">
        <v>74.498227110000002</v>
      </c>
      <c r="G23">
        <v>42.482779860000001</v>
      </c>
      <c r="H23">
        <v>3178.241</v>
      </c>
      <c r="I23">
        <v>0.32700000000000001</v>
      </c>
      <c r="J23">
        <v>0.25700000000000001</v>
      </c>
      <c r="K23">
        <v>0.84</v>
      </c>
      <c r="L23">
        <v>0.41599999999999998</v>
      </c>
      <c r="M23">
        <v>2.1339999999999999</v>
      </c>
      <c r="N23" t="s">
        <v>10</v>
      </c>
      <c r="O23" t="s">
        <v>11</v>
      </c>
      <c r="P23" t="s">
        <v>265</v>
      </c>
      <c r="Q23" t="s">
        <v>266</v>
      </c>
      <c r="R23">
        <v>11</v>
      </c>
      <c r="S23">
        <v>1.1000000000000001</v>
      </c>
      <c r="AA23" t="s">
        <v>32</v>
      </c>
    </row>
    <row r="24" spans="1:27" x14ac:dyDescent="0.35">
      <c r="A24">
        <v>23</v>
      </c>
      <c r="F24">
        <v>74.498169910000001</v>
      </c>
      <c r="G24">
        <v>42.482820340000004</v>
      </c>
      <c r="H24">
        <v>3177.5610000000001</v>
      </c>
      <c r="I24">
        <v>0.47299999999999998</v>
      </c>
      <c r="J24">
        <v>0.27800000000000002</v>
      </c>
      <c r="K24">
        <v>0.80100000000000005</v>
      </c>
      <c r="L24">
        <v>0.54900000000000004</v>
      </c>
      <c r="M24">
        <v>2.1339999999999999</v>
      </c>
      <c r="N24" t="s">
        <v>10</v>
      </c>
      <c r="O24" t="s">
        <v>11</v>
      </c>
      <c r="P24" t="s">
        <v>267</v>
      </c>
      <c r="Q24" t="s">
        <v>268</v>
      </c>
      <c r="R24">
        <v>12</v>
      </c>
      <c r="S24">
        <v>1.1000000000000001</v>
      </c>
      <c r="AA24" t="s">
        <v>32</v>
      </c>
    </row>
    <row r="25" spans="1:27" x14ac:dyDescent="0.35">
      <c r="A25">
        <v>24</v>
      </c>
      <c r="F25">
        <v>74.49811742</v>
      </c>
      <c r="G25">
        <v>42.482852690000001</v>
      </c>
      <c r="H25">
        <v>3177.2979999999998</v>
      </c>
      <c r="I25">
        <v>0.34599999999999997</v>
      </c>
      <c r="J25">
        <v>0.25600000000000001</v>
      </c>
      <c r="K25">
        <v>0.74</v>
      </c>
      <c r="L25">
        <v>0.43099999999999999</v>
      </c>
      <c r="M25">
        <v>2.1339999999999999</v>
      </c>
      <c r="N25" t="s">
        <v>10</v>
      </c>
      <c r="O25" t="s">
        <v>11</v>
      </c>
      <c r="P25" t="s">
        <v>269</v>
      </c>
      <c r="Q25" t="s">
        <v>270</v>
      </c>
      <c r="R25">
        <v>12</v>
      </c>
      <c r="S25">
        <v>1.1000000000000001</v>
      </c>
      <c r="AA25" t="s">
        <v>32</v>
      </c>
    </row>
    <row r="26" spans="1:27" x14ac:dyDescent="0.35">
      <c r="A26">
        <v>25</v>
      </c>
      <c r="F26">
        <v>74.498055170000001</v>
      </c>
      <c r="G26">
        <v>42.482882930000002</v>
      </c>
      <c r="H26">
        <v>3176.3989999999999</v>
      </c>
      <c r="I26">
        <v>0.34300000000000003</v>
      </c>
      <c r="J26">
        <v>0.26300000000000001</v>
      </c>
      <c r="K26">
        <v>0.73199999999999998</v>
      </c>
      <c r="L26">
        <v>0.432</v>
      </c>
      <c r="M26">
        <v>2.1339999999999999</v>
      </c>
      <c r="N26" t="s">
        <v>10</v>
      </c>
      <c r="O26" t="s">
        <v>11</v>
      </c>
      <c r="P26" t="s">
        <v>271</v>
      </c>
      <c r="Q26" t="s">
        <v>272</v>
      </c>
      <c r="R26">
        <v>11</v>
      </c>
      <c r="S26">
        <v>1.1000000000000001</v>
      </c>
      <c r="AA26" t="s">
        <v>32</v>
      </c>
    </row>
    <row r="27" spans="1:27" x14ac:dyDescent="0.35">
      <c r="A27">
        <v>26</v>
      </c>
      <c r="F27">
        <v>74.498015870000003</v>
      </c>
      <c r="G27">
        <v>42.482908629999997</v>
      </c>
      <c r="H27">
        <v>3176.056</v>
      </c>
      <c r="I27">
        <v>0.34</v>
      </c>
      <c r="J27">
        <v>0.25900000000000001</v>
      </c>
      <c r="K27">
        <v>0.72899999999999998</v>
      </c>
      <c r="L27">
        <v>0.42699999999999999</v>
      </c>
      <c r="M27">
        <v>2.1339999999999999</v>
      </c>
      <c r="N27" t="s">
        <v>10</v>
      </c>
      <c r="O27" t="s">
        <v>11</v>
      </c>
      <c r="P27" t="s">
        <v>273</v>
      </c>
      <c r="Q27" t="s">
        <v>274</v>
      </c>
      <c r="R27">
        <v>11</v>
      </c>
      <c r="S27">
        <v>1.1000000000000001</v>
      </c>
      <c r="AA27" t="s">
        <v>32</v>
      </c>
    </row>
    <row r="28" spans="1:27" x14ac:dyDescent="0.35">
      <c r="A28">
        <v>27</v>
      </c>
      <c r="F28">
        <v>74.497956610000003</v>
      </c>
      <c r="G28">
        <v>42.482941109999999</v>
      </c>
      <c r="H28">
        <v>3175.5819999999999</v>
      </c>
      <c r="I28">
        <v>0.35599999999999998</v>
      </c>
      <c r="J28">
        <v>0.26300000000000001</v>
      </c>
      <c r="K28">
        <v>0.71099999999999997</v>
      </c>
      <c r="L28">
        <v>0.442</v>
      </c>
      <c r="M28">
        <v>2.1339999999999999</v>
      </c>
      <c r="N28" t="s">
        <v>10</v>
      </c>
      <c r="O28" t="s">
        <v>11</v>
      </c>
      <c r="P28" t="s">
        <v>275</v>
      </c>
      <c r="Q28" t="s">
        <v>276</v>
      </c>
      <c r="R28">
        <v>11</v>
      </c>
      <c r="S28">
        <v>1.1000000000000001</v>
      </c>
      <c r="AA28" t="s">
        <v>32</v>
      </c>
    </row>
    <row r="29" spans="1:27" x14ac:dyDescent="0.35">
      <c r="A29">
        <v>28</v>
      </c>
      <c r="F29">
        <v>74.497918709999993</v>
      </c>
      <c r="G29">
        <v>42.48296371</v>
      </c>
      <c r="H29">
        <v>3175.1660000000002</v>
      </c>
      <c r="I29">
        <v>0.35599999999999998</v>
      </c>
      <c r="J29">
        <v>0.26300000000000001</v>
      </c>
      <c r="K29">
        <v>0.71899999999999997</v>
      </c>
      <c r="L29">
        <v>0.443</v>
      </c>
      <c r="M29">
        <v>2.1339999999999999</v>
      </c>
      <c r="N29" t="s">
        <v>10</v>
      </c>
      <c r="O29" t="s">
        <v>11</v>
      </c>
      <c r="P29" t="s">
        <v>277</v>
      </c>
      <c r="Q29" t="s">
        <v>278</v>
      </c>
      <c r="R29">
        <v>12</v>
      </c>
      <c r="S29">
        <v>1.1000000000000001</v>
      </c>
      <c r="AA29" t="s">
        <v>32</v>
      </c>
    </row>
    <row r="30" spans="1:27" x14ac:dyDescent="0.35">
      <c r="A30">
        <v>29</v>
      </c>
      <c r="F30">
        <v>74.497866770000002</v>
      </c>
      <c r="G30">
        <v>42.482996630000002</v>
      </c>
      <c r="H30">
        <v>3172.9690000000001</v>
      </c>
      <c r="I30">
        <v>0.33500000000000002</v>
      </c>
      <c r="J30">
        <v>0.249</v>
      </c>
      <c r="K30">
        <v>0.71399999999999997</v>
      </c>
      <c r="L30">
        <v>0.41799999999999998</v>
      </c>
      <c r="M30">
        <v>2.1339999999999999</v>
      </c>
      <c r="N30" t="s">
        <v>10</v>
      </c>
      <c r="O30" t="s">
        <v>11</v>
      </c>
      <c r="P30" t="s">
        <v>279</v>
      </c>
      <c r="Q30" t="s">
        <v>280</v>
      </c>
      <c r="R30">
        <v>12</v>
      </c>
      <c r="S30">
        <v>1.1000000000000001</v>
      </c>
      <c r="AA30" t="s">
        <v>32</v>
      </c>
    </row>
    <row r="31" spans="1:27" x14ac:dyDescent="0.35">
      <c r="A31">
        <v>30</v>
      </c>
      <c r="F31">
        <v>74.497834220000001</v>
      </c>
      <c r="G31">
        <v>42.483020590000002</v>
      </c>
      <c r="H31">
        <v>3173.1289999999999</v>
      </c>
      <c r="I31">
        <v>0.39</v>
      </c>
      <c r="J31">
        <v>0.27100000000000002</v>
      </c>
      <c r="K31">
        <v>0.71299999999999997</v>
      </c>
      <c r="L31">
        <v>0.47399999999999998</v>
      </c>
      <c r="M31">
        <v>2.1339999999999999</v>
      </c>
      <c r="N31" t="s">
        <v>10</v>
      </c>
      <c r="O31" t="s">
        <v>11</v>
      </c>
      <c r="P31" t="s">
        <v>281</v>
      </c>
      <c r="Q31" t="s">
        <v>282</v>
      </c>
      <c r="R31">
        <v>11</v>
      </c>
      <c r="S31">
        <v>1.1000000000000001</v>
      </c>
      <c r="AA31" t="s">
        <v>32</v>
      </c>
    </row>
    <row r="32" spans="1:27" x14ac:dyDescent="0.35">
      <c r="A32">
        <v>31</v>
      </c>
      <c r="F32">
        <v>74.497774550000003</v>
      </c>
      <c r="G32">
        <v>42.483052630000003</v>
      </c>
      <c r="H32">
        <v>3173.915</v>
      </c>
      <c r="I32">
        <v>0.33700000000000002</v>
      </c>
      <c r="J32">
        <v>0.25</v>
      </c>
      <c r="K32">
        <v>0.73</v>
      </c>
      <c r="L32">
        <v>0.41899999999999998</v>
      </c>
      <c r="M32">
        <v>2.1339999999999999</v>
      </c>
      <c r="N32" t="s">
        <v>10</v>
      </c>
      <c r="O32" t="s">
        <v>11</v>
      </c>
      <c r="P32" t="s">
        <v>283</v>
      </c>
      <c r="Q32" t="s">
        <v>284</v>
      </c>
      <c r="R32">
        <v>11</v>
      </c>
      <c r="S32">
        <v>1.1000000000000001</v>
      </c>
      <c r="AA32" t="s">
        <v>32</v>
      </c>
    </row>
    <row r="33" spans="1:27" x14ac:dyDescent="0.35">
      <c r="A33">
        <v>32</v>
      </c>
      <c r="F33">
        <v>74.497748090000002</v>
      </c>
      <c r="G33">
        <v>42.483082029999998</v>
      </c>
      <c r="H33">
        <v>3173.35</v>
      </c>
      <c r="I33">
        <v>0.318</v>
      </c>
      <c r="J33">
        <v>0.255</v>
      </c>
      <c r="K33">
        <v>0.68</v>
      </c>
      <c r="L33">
        <v>0.40699999999999997</v>
      </c>
      <c r="M33">
        <v>2.1339999999999999</v>
      </c>
      <c r="N33" t="s">
        <v>10</v>
      </c>
      <c r="O33" t="s">
        <v>11</v>
      </c>
      <c r="P33" t="s">
        <v>285</v>
      </c>
      <c r="Q33" t="s">
        <v>286</v>
      </c>
      <c r="R33">
        <v>12</v>
      </c>
      <c r="S33">
        <v>1.1000000000000001</v>
      </c>
      <c r="AA33" t="s">
        <v>32</v>
      </c>
    </row>
    <row r="34" spans="1:27" x14ac:dyDescent="0.35">
      <c r="A34">
        <v>33</v>
      </c>
      <c r="F34">
        <v>74.497696189999999</v>
      </c>
      <c r="G34">
        <v>42.483107189999998</v>
      </c>
      <c r="H34">
        <v>3172.2719999999999</v>
      </c>
      <c r="I34">
        <v>0.31900000000000001</v>
      </c>
      <c r="J34">
        <v>0.23400000000000001</v>
      </c>
      <c r="K34">
        <v>0.66800000000000004</v>
      </c>
      <c r="L34">
        <v>0.39600000000000002</v>
      </c>
      <c r="M34">
        <v>2.1339999999999999</v>
      </c>
      <c r="N34" t="s">
        <v>10</v>
      </c>
      <c r="O34" t="s">
        <v>11</v>
      </c>
      <c r="P34" t="s">
        <v>287</v>
      </c>
      <c r="Q34" t="s">
        <v>288</v>
      </c>
      <c r="R34">
        <v>12</v>
      </c>
      <c r="S34">
        <v>1.1000000000000001</v>
      </c>
      <c r="AA34" t="s">
        <v>32</v>
      </c>
    </row>
    <row r="35" spans="1:27" x14ac:dyDescent="0.35">
      <c r="A35">
        <v>34</v>
      </c>
      <c r="F35">
        <v>74.497636450000002</v>
      </c>
      <c r="G35">
        <v>42.483139039999998</v>
      </c>
      <c r="H35">
        <v>3174.35</v>
      </c>
      <c r="I35">
        <v>0.33100000000000002</v>
      </c>
      <c r="J35">
        <v>0.24</v>
      </c>
      <c r="K35">
        <v>0.68400000000000005</v>
      </c>
      <c r="L35">
        <v>0.40899999999999997</v>
      </c>
      <c r="M35">
        <v>2.1339999999999999</v>
      </c>
      <c r="N35" t="s">
        <v>10</v>
      </c>
      <c r="O35" t="s">
        <v>11</v>
      </c>
      <c r="P35" t="s">
        <v>289</v>
      </c>
      <c r="Q35" t="s">
        <v>290</v>
      </c>
      <c r="R35">
        <v>11</v>
      </c>
      <c r="S35">
        <v>1.2</v>
      </c>
      <c r="AA35" t="s">
        <v>32</v>
      </c>
    </row>
    <row r="36" spans="1:27" x14ac:dyDescent="0.35">
      <c r="A36">
        <v>35</v>
      </c>
      <c r="F36">
        <v>74.497611930000005</v>
      </c>
      <c r="G36">
        <v>42.483167760000001</v>
      </c>
      <c r="H36">
        <v>3173.2689999999998</v>
      </c>
      <c r="I36">
        <v>0.32500000000000001</v>
      </c>
      <c r="J36">
        <v>0.26600000000000001</v>
      </c>
      <c r="K36">
        <v>0.68899999999999995</v>
      </c>
      <c r="L36">
        <v>0.42</v>
      </c>
      <c r="M36">
        <v>2.1339999999999999</v>
      </c>
      <c r="N36" t="s">
        <v>10</v>
      </c>
      <c r="O36" t="s">
        <v>11</v>
      </c>
      <c r="P36" t="s">
        <v>291</v>
      </c>
      <c r="Q36" t="s">
        <v>292</v>
      </c>
      <c r="R36">
        <v>12</v>
      </c>
      <c r="S36">
        <v>1.2</v>
      </c>
      <c r="AA36" t="s">
        <v>32</v>
      </c>
    </row>
    <row r="37" spans="1:27" x14ac:dyDescent="0.35">
      <c r="A37">
        <v>36</v>
      </c>
      <c r="F37">
        <v>74.497550509999996</v>
      </c>
      <c r="G37">
        <v>42.483199630000001</v>
      </c>
      <c r="H37">
        <v>3173.9670000000001</v>
      </c>
      <c r="I37">
        <v>0.33800000000000002</v>
      </c>
      <c r="J37">
        <v>0.24399999999999999</v>
      </c>
      <c r="K37">
        <v>0.70399999999999996</v>
      </c>
      <c r="L37">
        <v>0.41699999999999998</v>
      </c>
      <c r="M37">
        <v>2.1339999999999999</v>
      </c>
      <c r="N37" t="s">
        <v>10</v>
      </c>
      <c r="O37" t="s">
        <v>11</v>
      </c>
      <c r="P37" t="s">
        <v>293</v>
      </c>
      <c r="Q37" t="s">
        <v>294</v>
      </c>
      <c r="R37">
        <v>12</v>
      </c>
      <c r="S37">
        <v>1.1000000000000001</v>
      </c>
      <c r="AA37" t="s">
        <v>32</v>
      </c>
    </row>
    <row r="38" spans="1:27" x14ac:dyDescent="0.35">
      <c r="A38">
        <v>37</v>
      </c>
      <c r="F38">
        <v>74.497499820000002</v>
      </c>
      <c r="G38">
        <v>42.483218919999999</v>
      </c>
      <c r="H38">
        <v>3171.951</v>
      </c>
      <c r="I38">
        <v>0.32500000000000001</v>
      </c>
      <c r="J38">
        <v>0.24299999999999999</v>
      </c>
      <c r="K38">
        <v>0.68600000000000005</v>
      </c>
      <c r="L38">
        <v>0.40600000000000003</v>
      </c>
      <c r="M38">
        <v>2.1339999999999999</v>
      </c>
      <c r="N38" t="s">
        <v>10</v>
      </c>
      <c r="O38" t="s">
        <v>11</v>
      </c>
      <c r="P38" t="s">
        <v>295</v>
      </c>
      <c r="Q38" t="s">
        <v>296</v>
      </c>
      <c r="R38">
        <v>12</v>
      </c>
      <c r="S38">
        <v>1.2</v>
      </c>
      <c r="AA38" t="s">
        <v>32</v>
      </c>
    </row>
    <row r="39" spans="1:27" x14ac:dyDescent="0.35">
      <c r="A39">
        <v>38</v>
      </c>
      <c r="F39">
        <v>74.497444959999996</v>
      </c>
      <c r="G39">
        <v>42.483240600000002</v>
      </c>
      <c r="H39">
        <v>3172.36</v>
      </c>
      <c r="I39">
        <v>0.38700000000000001</v>
      </c>
      <c r="J39">
        <v>0.32700000000000001</v>
      </c>
      <c r="K39">
        <v>0.68799999999999994</v>
      </c>
      <c r="L39">
        <v>0.50700000000000001</v>
      </c>
      <c r="M39">
        <v>2.1339999999999999</v>
      </c>
      <c r="N39" t="s">
        <v>10</v>
      </c>
      <c r="O39" t="s">
        <v>11</v>
      </c>
      <c r="P39" t="s">
        <v>297</v>
      </c>
      <c r="Q39" t="s">
        <v>298</v>
      </c>
      <c r="R39">
        <v>11</v>
      </c>
      <c r="S39">
        <v>1.1000000000000001</v>
      </c>
      <c r="AA39" t="s">
        <v>32</v>
      </c>
    </row>
    <row r="40" spans="1:27" x14ac:dyDescent="0.35">
      <c r="A40">
        <v>39</v>
      </c>
      <c r="F40">
        <v>74.497386410000004</v>
      </c>
      <c r="G40">
        <v>42.483271969999997</v>
      </c>
      <c r="H40">
        <v>3172.259</v>
      </c>
      <c r="I40">
        <v>0.35499999999999998</v>
      </c>
      <c r="J40">
        <v>0.25</v>
      </c>
      <c r="K40">
        <v>0.67500000000000004</v>
      </c>
      <c r="L40">
        <v>0.434</v>
      </c>
      <c r="M40">
        <v>2.1339999999999999</v>
      </c>
      <c r="N40" t="s">
        <v>10</v>
      </c>
      <c r="O40" t="s">
        <v>11</v>
      </c>
      <c r="P40" t="s">
        <v>299</v>
      </c>
      <c r="Q40" t="s">
        <v>300</v>
      </c>
      <c r="R40">
        <v>12</v>
      </c>
      <c r="S40">
        <v>1.1000000000000001</v>
      </c>
      <c r="AA40" t="s">
        <v>32</v>
      </c>
    </row>
    <row r="41" spans="1:27" x14ac:dyDescent="0.35">
      <c r="A41">
        <v>40</v>
      </c>
      <c r="F41">
        <v>74.497350900000001</v>
      </c>
      <c r="G41">
        <v>42.483294960000002</v>
      </c>
      <c r="H41">
        <v>3171.31</v>
      </c>
      <c r="I41">
        <v>0.34399999999999997</v>
      </c>
      <c r="J41">
        <v>0.30399999999999999</v>
      </c>
      <c r="K41">
        <v>0.69</v>
      </c>
      <c r="L41">
        <v>0.45900000000000002</v>
      </c>
      <c r="M41">
        <v>2.1339999999999999</v>
      </c>
      <c r="N41" t="s">
        <v>10</v>
      </c>
      <c r="O41" t="s">
        <v>11</v>
      </c>
      <c r="P41" t="s">
        <v>301</v>
      </c>
      <c r="Q41" t="s">
        <v>302</v>
      </c>
      <c r="R41">
        <v>11</v>
      </c>
      <c r="S41">
        <v>1.2</v>
      </c>
      <c r="AA41" t="s">
        <v>32</v>
      </c>
    </row>
    <row r="42" spans="1:27" x14ac:dyDescent="0.35">
      <c r="A42">
        <v>41</v>
      </c>
      <c r="F42">
        <v>74.497303939999995</v>
      </c>
      <c r="G42">
        <v>42.483316430000002</v>
      </c>
      <c r="H42">
        <v>3173.1619999999998</v>
      </c>
      <c r="I42">
        <v>0.36</v>
      </c>
      <c r="J42">
        <v>0.246</v>
      </c>
      <c r="K42">
        <v>0.79500000000000004</v>
      </c>
      <c r="L42">
        <v>0.436</v>
      </c>
      <c r="M42">
        <v>2.1339999999999999</v>
      </c>
      <c r="N42" t="s">
        <v>10</v>
      </c>
      <c r="O42" t="s">
        <v>11</v>
      </c>
      <c r="P42" t="s">
        <v>303</v>
      </c>
      <c r="Q42" t="s">
        <v>304</v>
      </c>
      <c r="R42">
        <v>12</v>
      </c>
      <c r="S42">
        <v>1.2</v>
      </c>
      <c r="AA42" t="s">
        <v>32</v>
      </c>
    </row>
    <row r="43" spans="1:27" x14ac:dyDescent="0.35">
      <c r="A43">
        <v>42</v>
      </c>
      <c r="F43">
        <v>74.497248619999993</v>
      </c>
      <c r="G43">
        <v>42.483342469999997</v>
      </c>
      <c r="H43">
        <v>3174.806</v>
      </c>
      <c r="I43">
        <v>0.312</v>
      </c>
      <c r="J43">
        <v>0.23599999999999999</v>
      </c>
      <c r="K43">
        <v>0.65</v>
      </c>
      <c r="L43">
        <v>0.39100000000000001</v>
      </c>
      <c r="M43">
        <v>2.1339999999999999</v>
      </c>
      <c r="N43" t="s">
        <v>10</v>
      </c>
      <c r="O43" t="s">
        <v>11</v>
      </c>
      <c r="P43" t="s">
        <v>305</v>
      </c>
      <c r="Q43" t="s">
        <v>306</v>
      </c>
      <c r="R43">
        <v>11</v>
      </c>
      <c r="S43">
        <v>1.1000000000000001</v>
      </c>
      <c r="AA43" t="s">
        <v>32</v>
      </c>
    </row>
    <row r="44" spans="1:27" x14ac:dyDescent="0.35">
      <c r="A44">
        <v>43</v>
      </c>
      <c r="F44">
        <v>74.49719623</v>
      </c>
      <c r="G44">
        <v>42.483366709999999</v>
      </c>
      <c r="H44">
        <v>3174.33</v>
      </c>
      <c r="I44">
        <v>0.372</v>
      </c>
      <c r="J44">
        <v>0.26200000000000001</v>
      </c>
      <c r="K44">
        <v>0.65500000000000003</v>
      </c>
      <c r="L44">
        <v>0.45500000000000002</v>
      </c>
      <c r="M44">
        <v>2.1339999999999999</v>
      </c>
      <c r="N44" t="s">
        <v>10</v>
      </c>
      <c r="O44" t="s">
        <v>11</v>
      </c>
      <c r="P44" t="s">
        <v>307</v>
      </c>
      <c r="Q44" t="s">
        <v>308</v>
      </c>
      <c r="R44">
        <v>12</v>
      </c>
      <c r="S44">
        <v>1.1000000000000001</v>
      </c>
      <c r="AA44" t="s">
        <v>32</v>
      </c>
    </row>
    <row r="45" spans="1:27" x14ac:dyDescent="0.35">
      <c r="A45">
        <v>44</v>
      </c>
      <c r="F45">
        <v>74.497147810000001</v>
      </c>
      <c r="G45">
        <v>42.483389520000003</v>
      </c>
      <c r="H45">
        <v>3173.0450000000001</v>
      </c>
      <c r="I45">
        <v>0.32</v>
      </c>
      <c r="J45">
        <v>0.30399999999999999</v>
      </c>
      <c r="K45">
        <v>0.65300000000000002</v>
      </c>
      <c r="L45">
        <v>0.441</v>
      </c>
      <c r="M45">
        <v>2.1339999999999999</v>
      </c>
      <c r="N45" t="s">
        <v>10</v>
      </c>
      <c r="O45" t="s">
        <v>11</v>
      </c>
      <c r="P45" t="s">
        <v>309</v>
      </c>
      <c r="Q45" t="s">
        <v>310</v>
      </c>
      <c r="R45">
        <v>11</v>
      </c>
      <c r="S45">
        <v>1.1000000000000001</v>
      </c>
      <c r="AA45" t="s">
        <v>32</v>
      </c>
    </row>
    <row r="46" spans="1:27" x14ac:dyDescent="0.35">
      <c r="A46">
        <v>45</v>
      </c>
      <c r="F46">
        <v>74.497103510000002</v>
      </c>
      <c r="G46">
        <v>42.483415149999999</v>
      </c>
      <c r="H46">
        <v>3173.5419999999999</v>
      </c>
      <c r="I46">
        <v>0.33700000000000002</v>
      </c>
      <c r="J46">
        <v>0.26700000000000002</v>
      </c>
      <c r="K46">
        <v>0.66800000000000004</v>
      </c>
      <c r="L46">
        <v>0.43</v>
      </c>
      <c r="M46">
        <v>2.1339999999999999</v>
      </c>
      <c r="N46" t="s">
        <v>10</v>
      </c>
      <c r="O46" t="s">
        <v>11</v>
      </c>
      <c r="P46" t="s">
        <v>311</v>
      </c>
      <c r="Q46" t="s">
        <v>312</v>
      </c>
      <c r="R46">
        <v>11</v>
      </c>
      <c r="S46">
        <v>1.1000000000000001</v>
      </c>
      <c r="AA46" t="s">
        <v>32</v>
      </c>
    </row>
    <row r="47" spans="1:27" x14ac:dyDescent="0.35">
      <c r="A47">
        <v>46</v>
      </c>
      <c r="F47">
        <v>74.497058409999994</v>
      </c>
      <c r="G47">
        <v>42.483433759999997</v>
      </c>
      <c r="H47">
        <v>3173.8670000000002</v>
      </c>
      <c r="I47">
        <v>0.33700000000000002</v>
      </c>
      <c r="J47">
        <v>0.26100000000000001</v>
      </c>
      <c r="K47">
        <v>0.66500000000000004</v>
      </c>
      <c r="L47">
        <v>0.42599999999999999</v>
      </c>
      <c r="M47">
        <v>2.1339999999999999</v>
      </c>
      <c r="N47" t="s">
        <v>10</v>
      </c>
      <c r="O47" t="s">
        <v>11</v>
      </c>
      <c r="P47" t="s">
        <v>313</v>
      </c>
      <c r="Q47" t="s">
        <v>314</v>
      </c>
      <c r="R47">
        <v>12</v>
      </c>
      <c r="S47">
        <v>1.1000000000000001</v>
      </c>
      <c r="AA47" t="s">
        <v>32</v>
      </c>
    </row>
    <row r="48" spans="1:27" x14ac:dyDescent="0.35">
      <c r="A48">
        <v>47</v>
      </c>
      <c r="F48">
        <v>74.497018539999999</v>
      </c>
      <c r="G48">
        <v>42.483460389999998</v>
      </c>
      <c r="H48">
        <v>3173.6419999999998</v>
      </c>
      <c r="I48">
        <v>0.34200000000000003</v>
      </c>
      <c r="J48">
        <v>0.248</v>
      </c>
      <c r="K48">
        <v>0.66100000000000003</v>
      </c>
      <c r="L48">
        <v>0.42199999999999999</v>
      </c>
      <c r="M48">
        <v>2.1339999999999999</v>
      </c>
      <c r="N48" t="s">
        <v>10</v>
      </c>
      <c r="O48" t="s">
        <v>11</v>
      </c>
      <c r="P48" t="s">
        <v>315</v>
      </c>
      <c r="Q48" t="s">
        <v>316</v>
      </c>
      <c r="R48">
        <v>11</v>
      </c>
      <c r="S48">
        <v>1.1000000000000001</v>
      </c>
      <c r="AA48" t="s">
        <v>32</v>
      </c>
    </row>
    <row r="49" spans="1:27" x14ac:dyDescent="0.35">
      <c r="A49">
        <v>48</v>
      </c>
      <c r="F49">
        <v>74.496976849999996</v>
      </c>
      <c r="G49">
        <v>42.483488530000002</v>
      </c>
      <c r="H49">
        <v>3174.9650000000001</v>
      </c>
      <c r="I49">
        <v>0.34100000000000003</v>
      </c>
      <c r="J49">
        <v>0.25700000000000001</v>
      </c>
      <c r="K49">
        <v>0.68100000000000005</v>
      </c>
      <c r="L49">
        <v>0.42699999999999999</v>
      </c>
      <c r="M49">
        <v>2.1339999999999999</v>
      </c>
      <c r="N49" t="s">
        <v>10</v>
      </c>
      <c r="O49" t="s">
        <v>11</v>
      </c>
      <c r="P49" t="s">
        <v>317</v>
      </c>
      <c r="Q49" t="s">
        <v>318</v>
      </c>
      <c r="R49">
        <v>11</v>
      </c>
      <c r="S49">
        <v>1.2</v>
      </c>
      <c r="AA49" t="s">
        <v>32</v>
      </c>
    </row>
    <row r="50" spans="1:27" x14ac:dyDescent="0.35">
      <c r="A50">
        <v>49</v>
      </c>
      <c r="F50">
        <v>74.496929300000005</v>
      </c>
      <c r="G50">
        <v>42.483538979999999</v>
      </c>
      <c r="H50">
        <v>3175.0889999999999</v>
      </c>
      <c r="I50">
        <v>0.56699999999999995</v>
      </c>
      <c r="J50">
        <v>0.27300000000000002</v>
      </c>
      <c r="K50">
        <v>0.625</v>
      </c>
      <c r="L50">
        <v>0.629</v>
      </c>
      <c r="M50">
        <v>2.1339999999999999</v>
      </c>
      <c r="N50" t="s">
        <v>10</v>
      </c>
      <c r="O50" t="s">
        <v>11</v>
      </c>
      <c r="P50" t="s">
        <v>319</v>
      </c>
      <c r="Q50" t="s">
        <v>320</v>
      </c>
      <c r="R50">
        <v>12</v>
      </c>
      <c r="S50">
        <v>1.1000000000000001</v>
      </c>
      <c r="AA50" t="s">
        <v>32</v>
      </c>
    </row>
    <row r="51" spans="1:27" x14ac:dyDescent="0.35">
      <c r="A51">
        <v>50</v>
      </c>
      <c r="F51">
        <v>74.496894710000007</v>
      </c>
      <c r="G51">
        <v>42.483562810000002</v>
      </c>
      <c r="H51">
        <v>3175.1689999999999</v>
      </c>
      <c r="I51">
        <v>0.58399999999999996</v>
      </c>
      <c r="J51">
        <v>0.35199999999999998</v>
      </c>
      <c r="K51">
        <v>0.623</v>
      </c>
      <c r="L51">
        <v>0.68200000000000005</v>
      </c>
      <c r="M51">
        <v>2.1339999999999999</v>
      </c>
      <c r="N51" t="s">
        <v>10</v>
      </c>
      <c r="O51" t="s">
        <v>11</v>
      </c>
      <c r="P51" t="s">
        <v>321</v>
      </c>
      <c r="Q51" t="s">
        <v>322</v>
      </c>
      <c r="R51">
        <v>12</v>
      </c>
      <c r="S51">
        <v>1.1000000000000001</v>
      </c>
      <c r="AA51" t="s">
        <v>32</v>
      </c>
    </row>
    <row r="52" spans="1:27" x14ac:dyDescent="0.35">
      <c r="A52">
        <v>51</v>
      </c>
      <c r="F52">
        <v>74.496855460000006</v>
      </c>
      <c r="G52">
        <v>42.483595119999997</v>
      </c>
      <c r="H52">
        <v>3173.2370000000001</v>
      </c>
      <c r="I52">
        <v>0.59299999999999997</v>
      </c>
      <c r="J52">
        <v>0.35</v>
      </c>
      <c r="K52">
        <v>0.61399999999999999</v>
      </c>
      <c r="L52">
        <v>0.68799999999999994</v>
      </c>
      <c r="M52">
        <v>2.1339999999999999</v>
      </c>
      <c r="N52" t="s">
        <v>10</v>
      </c>
      <c r="O52" t="s">
        <v>11</v>
      </c>
      <c r="P52" t="s">
        <v>323</v>
      </c>
      <c r="Q52" t="s">
        <v>324</v>
      </c>
      <c r="R52">
        <v>12</v>
      </c>
      <c r="S52">
        <v>1.1000000000000001</v>
      </c>
      <c r="AA52" t="s">
        <v>32</v>
      </c>
    </row>
    <row r="53" spans="1:27" x14ac:dyDescent="0.35">
      <c r="A53">
        <v>52</v>
      </c>
      <c r="F53">
        <v>74.496809519999999</v>
      </c>
      <c r="G53">
        <v>42.483631080000002</v>
      </c>
      <c r="H53">
        <v>3172.2779999999998</v>
      </c>
      <c r="I53">
        <v>0.59899999999999998</v>
      </c>
      <c r="J53">
        <v>0.41</v>
      </c>
      <c r="K53">
        <v>0.60699999999999998</v>
      </c>
      <c r="L53">
        <v>0.72499999999999998</v>
      </c>
      <c r="M53">
        <v>2.1339999999999999</v>
      </c>
      <c r="N53" t="s">
        <v>10</v>
      </c>
      <c r="O53" t="s">
        <v>11</v>
      </c>
      <c r="P53" t="s">
        <v>325</v>
      </c>
      <c r="Q53" t="s">
        <v>326</v>
      </c>
      <c r="R53">
        <v>12</v>
      </c>
      <c r="S53">
        <v>1.1000000000000001</v>
      </c>
      <c r="AA53" t="s">
        <v>32</v>
      </c>
    </row>
    <row r="54" spans="1:27" x14ac:dyDescent="0.35">
      <c r="A54">
        <v>53</v>
      </c>
      <c r="F54">
        <v>74.496763229999999</v>
      </c>
      <c r="G54">
        <v>42.483661740000002</v>
      </c>
      <c r="H54">
        <v>3171.4639999999999</v>
      </c>
      <c r="I54">
        <v>0.59399999999999997</v>
      </c>
      <c r="J54">
        <v>0.34</v>
      </c>
      <c r="K54">
        <v>0.63500000000000001</v>
      </c>
      <c r="L54">
        <v>0.68500000000000005</v>
      </c>
      <c r="M54">
        <v>2.1339999999999999</v>
      </c>
      <c r="N54" t="s">
        <v>10</v>
      </c>
      <c r="O54" t="s">
        <v>11</v>
      </c>
      <c r="P54" t="s">
        <v>327</v>
      </c>
      <c r="Q54" t="s">
        <v>328</v>
      </c>
      <c r="R54">
        <v>12</v>
      </c>
      <c r="S54">
        <v>1.1000000000000001</v>
      </c>
      <c r="AA54" t="s">
        <v>32</v>
      </c>
    </row>
    <row r="55" spans="1:27" x14ac:dyDescent="0.35">
      <c r="A55">
        <v>54</v>
      </c>
      <c r="F55">
        <v>74.496728050000002</v>
      </c>
      <c r="G55">
        <v>42.483683259999999</v>
      </c>
      <c r="H55">
        <v>3170.7330000000002</v>
      </c>
      <c r="I55">
        <v>0.59199999999999997</v>
      </c>
      <c r="J55">
        <v>0.307</v>
      </c>
      <c r="K55">
        <v>0.63600000000000001</v>
      </c>
      <c r="L55">
        <v>0.66700000000000004</v>
      </c>
      <c r="M55">
        <v>2.1339999999999999</v>
      </c>
      <c r="N55" t="s">
        <v>10</v>
      </c>
      <c r="O55" t="s">
        <v>11</v>
      </c>
      <c r="P55" t="s">
        <v>329</v>
      </c>
      <c r="Q55" t="s">
        <v>330</v>
      </c>
      <c r="R55">
        <v>12</v>
      </c>
      <c r="S55">
        <v>1.2</v>
      </c>
      <c r="AA55" t="s">
        <v>32</v>
      </c>
    </row>
    <row r="56" spans="1:27" x14ac:dyDescent="0.35">
      <c r="A56">
        <v>55</v>
      </c>
      <c r="F56">
        <v>74.496684049999999</v>
      </c>
      <c r="G56">
        <v>42.483710600000002</v>
      </c>
      <c r="H56">
        <v>3170.9920000000002</v>
      </c>
      <c r="I56">
        <v>0.60399999999999998</v>
      </c>
      <c r="J56">
        <v>0.36099999999999999</v>
      </c>
      <c r="K56">
        <v>0.63</v>
      </c>
      <c r="L56">
        <v>0.70299999999999996</v>
      </c>
      <c r="M56">
        <v>2.1339999999999999</v>
      </c>
      <c r="N56" t="s">
        <v>10</v>
      </c>
      <c r="O56" t="s">
        <v>11</v>
      </c>
      <c r="P56" t="s">
        <v>331</v>
      </c>
      <c r="Q56" t="s">
        <v>332</v>
      </c>
      <c r="R56">
        <v>12</v>
      </c>
      <c r="S56">
        <v>1.1000000000000001</v>
      </c>
      <c r="AA56" t="s">
        <v>32</v>
      </c>
    </row>
    <row r="57" spans="1:27" x14ac:dyDescent="0.35">
      <c r="A57">
        <v>56</v>
      </c>
      <c r="F57">
        <v>74.496635949999998</v>
      </c>
      <c r="G57">
        <v>42.483733479999998</v>
      </c>
      <c r="H57">
        <v>3169.2930000000001</v>
      </c>
      <c r="I57">
        <v>0.59099999999999997</v>
      </c>
      <c r="J57">
        <v>0.33700000000000002</v>
      </c>
      <c r="K57">
        <v>0.65200000000000002</v>
      </c>
      <c r="L57">
        <v>0.68100000000000005</v>
      </c>
      <c r="M57">
        <v>2.1339999999999999</v>
      </c>
      <c r="N57" t="s">
        <v>10</v>
      </c>
      <c r="O57" t="s">
        <v>11</v>
      </c>
      <c r="P57" t="s">
        <v>333</v>
      </c>
      <c r="Q57" t="s">
        <v>334</v>
      </c>
      <c r="R57">
        <v>11</v>
      </c>
      <c r="S57">
        <v>1.2</v>
      </c>
      <c r="AA57" t="s">
        <v>32</v>
      </c>
    </row>
    <row r="58" spans="1:27" x14ac:dyDescent="0.35">
      <c r="A58">
        <v>57</v>
      </c>
      <c r="F58">
        <v>74.496590010000006</v>
      </c>
      <c r="G58">
        <v>42.483757130000001</v>
      </c>
      <c r="H58">
        <v>3166.297</v>
      </c>
      <c r="I58">
        <v>0.59799999999999998</v>
      </c>
      <c r="J58">
        <v>0.35199999999999998</v>
      </c>
      <c r="K58">
        <v>0.66200000000000003</v>
      </c>
      <c r="L58">
        <v>0.69399999999999995</v>
      </c>
      <c r="M58">
        <v>2.1339999999999999</v>
      </c>
      <c r="N58" t="s">
        <v>10</v>
      </c>
      <c r="O58" t="s">
        <v>11</v>
      </c>
      <c r="P58" t="s">
        <v>335</v>
      </c>
      <c r="Q58" t="s">
        <v>336</v>
      </c>
      <c r="R58">
        <v>11</v>
      </c>
      <c r="S58">
        <v>1.1000000000000001</v>
      </c>
      <c r="AA58" t="s">
        <v>32</v>
      </c>
    </row>
    <row r="59" spans="1:27" x14ac:dyDescent="0.35">
      <c r="A59">
        <v>58</v>
      </c>
      <c r="F59">
        <v>74.496539540000001</v>
      </c>
      <c r="G59">
        <v>42.483781720000003</v>
      </c>
      <c r="H59">
        <v>3165.18</v>
      </c>
      <c r="I59">
        <v>0.60499999999999998</v>
      </c>
      <c r="J59">
        <v>0.33100000000000002</v>
      </c>
      <c r="K59">
        <v>0.621</v>
      </c>
      <c r="L59">
        <v>0.69</v>
      </c>
      <c r="M59">
        <v>2.1339999999999999</v>
      </c>
      <c r="N59" t="s">
        <v>10</v>
      </c>
      <c r="O59" t="s">
        <v>11</v>
      </c>
      <c r="P59" t="s">
        <v>337</v>
      </c>
      <c r="Q59" t="s">
        <v>338</v>
      </c>
      <c r="R59">
        <v>12</v>
      </c>
      <c r="S59">
        <v>1.1000000000000001</v>
      </c>
      <c r="AA59" t="s">
        <v>32</v>
      </c>
    </row>
    <row r="60" spans="1:27" x14ac:dyDescent="0.35">
      <c r="A60">
        <v>59</v>
      </c>
      <c r="F60">
        <v>74.496491509999998</v>
      </c>
      <c r="G60">
        <v>42.483809520000001</v>
      </c>
      <c r="H60">
        <v>3163.3919999999998</v>
      </c>
      <c r="I60">
        <v>0.57899999999999996</v>
      </c>
      <c r="J60">
        <v>0.30499999999999999</v>
      </c>
      <c r="K60">
        <v>0.622</v>
      </c>
      <c r="L60">
        <v>0.65400000000000003</v>
      </c>
      <c r="M60">
        <v>2.1339999999999999</v>
      </c>
      <c r="N60" t="s">
        <v>10</v>
      </c>
      <c r="O60" t="s">
        <v>11</v>
      </c>
      <c r="P60" t="s">
        <v>339</v>
      </c>
      <c r="Q60" t="s">
        <v>340</v>
      </c>
      <c r="R60">
        <v>12</v>
      </c>
      <c r="S60">
        <v>1.1000000000000001</v>
      </c>
      <c r="AA60" t="s">
        <v>32</v>
      </c>
    </row>
    <row r="61" spans="1:27" x14ac:dyDescent="0.35">
      <c r="A61">
        <v>60</v>
      </c>
      <c r="F61">
        <v>74.496452250000004</v>
      </c>
      <c r="G61">
        <v>42.483827380000001</v>
      </c>
      <c r="H61">
        <v>3159.6779999999999</v>
      </c>
      <c r="I61">
        <v>0.57299999999999995</v>
      </c>
      <c r="J61">
        <v>0.30299999999999999</v>
      </c>
      <c r="K61">
        <v>0.81499999999999995</v>
      </c>
      <c r="L61">
        <v>0.64800000000000002</v>
      </c>
      <c r="M61">
        <v>2.1339999999999999</v>
      </c>
      <c r="N61" t="s">
        <v>10</v>
      </c>
      <c r="O61" t="s">
        <v>11</v>
      </c>
      <c r="P61" t="s">
        <v>341</v>
      </c>
      <c r="Q61" t="s">
        <v>342</v>
      </c>
      <c r="R61">
        <v>12</v>
      </c>
      <c r="S61">
        <v>1.3</v>
      </c>
      <c r="AA61" t="s">
        <v>32</v>
      </c>
    </row>
    <row r="62" spans="1:27" x14ac:dyDescent="0.35">
      <c r="A62">
        <v>61</v>
      </c>
      <c r="F62">
        <v>74.496418809999994</v>
      </c>
      <c r="G62">
        <v>42.483844599999998</v>
      </c>
      <c r="H62">
        <v>3157.1689999999999</v>
      </c>
      <c r="I62">
        <v>0.56299999999999994</v>
      </c>
      <c r="J62">
        <v>0.308</v>
      </c>
      <c r="K62">
        <v>0.85</v>
      </c>
      <c r="L62">
        <v>0.64200000000000002</v>
      </c>
      <c r="M62">
        <v>2.1339999999999999</v>
      </c>
      <c r="N62" t="s">
        <v>10</v>
      </c>
      <c r="O62" t="s">
        <v>11</v>
      </c>
      <c r="P62" t="s">
        <v>343</v>
      </c>
      <c r="Q62" t="s">
        <v>344</v>
      </c>
      <c r="R62">
        <v>11</v>
      </c>
      <c r="S62">
        <v>1.3</v>
      </c>
      <c r="AA62" t="s">
        <v>32</v>
      </c>
    </row>
    <row r="63" spans="1:27" x14ac:dyDescent="0.35">
      <c r="A63">
        <v>62</v>
      </c>
      <c r="F63">
        <v>74.496371690000004</v>
      </c>
      <c r="G63">
        <v>42.483866769999999</v>
      </c>
      <c r="H63">
        <v>3155.087</v>
      </c>
      <c r="I63">
        <v>0.58599999999999997</v>
      </c>
      <c r="J63">
        <v>0.35399999999999998</v>
      </c>
      <c r="K63">
        <v>0.88800000000000001</v>
      </c>
      <c r="L63">
        <v>0.68500000000000005</v>
      </c>
      <c r="M63">
        <v>2.1339999999999999</v>
      </c>
      <c r="N63" t="s">
        <v>10</v>
      </c>
      <c r="O63" t="s">
        <v>11</v>
      </c>
      <c r="P63" t="s">
        <v>345</v>
      </c>
      <c r="Q63" t="s">
        <v>346</v>
      </c>
      <c r="R63">
        <v>12</v>
      </c>
      <c r="S63">
        <v>1.4</v>
      </c>
      <c r="AA63" t="s">
        <v>32</v>
      </c>
    </row>
    <row r="64" spans="1:27" x14ac:dyDescent="0.35">
      <c r="A64">
        <v>63</v>
      </c>
      <c r="F64">
        <v>74.49632192</v>
      </c>
      <c r="G64">
        <v>42.483894620000001</v>
      </c>
      <c r="H64">
        <v>3153.71</v>
      </c>
      <c r="I64">
        <v>0.60099999999999998</v>
      </c>
      <c r="J64">
        <v>0.29599999999999999</v>
      </c>
      <c r="K64">
        <v>0.88300000000000001</v>
      </c>
      <c r="L64">
        <v>0.67</v>
      </c>
      <c r="M64">
        <v>2.1339999999999999</v>
      </c>
      <c r="N64" t="s">
        <v>10</v>
      </c>
      <c r="O64" t="s">
        <v>11</v>
      </c>
      <c r="P64" t="s">
        <v>347</v>
      </c>
      <c r="Q64" t="s">
        <v>348</v>
      </c>
      <c r="R64">
        <v>11</v>
      </c>
      <c r="S64">
        <v>1.3</v>
      </c>
      <c r="AA64" t="s">
        <v>32</v>
      </c>
    </row>
    <row r="65" spans="1:27" x14ac:dyDescent="0.35">
      <c r="A65">
        <v>64</v>
      </c>
      <c r="F65">
        <v>74.496277590000005</v>
      </c>
      <c r="G65">
        <v>42.483915009999997</v>
      </c>
      <c r="H65">
        <v>3153.424</v>
      </c>
      <c r="I65">
        <v>0.65100000000000002</v>
      </c>
      <c r="J65">
        <v>0.36399999999999999</v>
      </c>
      <c r="K65">
        <v>0.86499999999999999</v>
      </c>
      <c r="L65">
        <v>0.746</v>
      </c>
      <c r="M65">
        <v>2.1339999999999999</v>
      </c>
      <c r="N65" t="s">
        <v>10</v>
      </c>
      <c r="O65" t="s">
        <v>11</v>
      </c>
      <c r="P65" t="s">
        <v>349</v>
      </c>
      <c r="Q65" t="s">
        <v>350</v>
      </c>
      <c r="R65">
        <v>11</v>
      </c>
      <c r="S65">
        <v>1.3</v>
      </c>
      <c r="AA65" t="s">
        <v>32</v>
      </c>
    </row>
    <row r="66" spans="1:27" x14ac:dyDescent="0.35">
      <c r="A66">
        <v>65</v>
      </c>
      <c r="F66">
        <v>74.496219780000004</v>
      </c>
      <c r="G66">
        <v>42.483945550000001</v>
      </c>
      <c r="H66">
        <v>3153.62</v>
      </c>
      <c r="I66">
        <v>0.63100000000000001</v>
      </c>
      <c r="J66">
        <v>0.34699999999999998</v>
      </c>
      <c r="K66">
        <v>0.86</v>
      </c>
      <c r="L66">
        <v>0.72</v>
      </c>
      <c r="M66">
        <v>2.1339999999999999</v>
      </c>
      <c r="N66" t="s">
        <v>10</v>
      </c>
      <c r="O66" t="s">
        <v>11</v>
      </c>
      <c r="P66" t="s">
        <v>351</v>
      </c>
      <c r="Q66" t="s">
        <v>352</v>
      </c>
      <c r="R66">
        <v>12</v>
      </c>
      <c r="S66">
        <v>1.3</v>
      </c>
      <c r="AA66" t="s">
        <v>32</v>
      </c>
    </row>
    <row r="67" spans="1:27" x14ac:dyDescent="0.35">
      <c r="A67">
        <v>66</v>
      </c>
      <c r="F67">
        <v>74.496170169999999</v>
      </c>
      <c r="G67">
        <v>42.48397405</v>
      </c>
      <c r="H67">
        <v>3152.5369999999998</v>
      </c>
      <c r="I67">
        <v>0.61299999999999999</v>
      </c>
      <c r="J67">
        <v>0.35199999999999998</v>
      </c>
      <c r="K67">
        <v>0.83199999999999996</v>
      </c>
      <c r="L67">
        <v>0.70699999999999996</v>
      </c>
      <c r="M67">
        <v>2.1339999999999999</v>
      </c>
      <c r="N67" t="s">
        <v>10</v>
      </c>
      <c r="O67" t="s">
        <v>11</v>
      </c>
      <c r="P67" t="s">
        <v>353</v>
      </c>
      <c r="Q67" t="s">
        <v>354</v>
      </c>
      <c r="R67">
        <v>11</v>
      </c>
      <c r="S67">
        <v>1.3</v>
      </c>
      <c r="AA67" t="s">
        <v>32</v>
      </c>
    </row>
    <row r="68" spans="1:27" x14ac:dyDescent="0.35">
      <c r="A68">
        <v>67</v>
      </c>
      <c r="F68">
        <v>74.496113870000002</v>
      </c>
      <c r="G68">
        <v>42.483997700000003</v>
      </c>
      <c r="H68">
        <v>3151.5970000000002</v>
      </c>
      <c r="I68">
        <v>0.621</v>
      </c>
      <c r="J68">
        <v>0.26800000000000002</v>
      </c>
      <c r="K68">
        <v>0.623</v>
      </c>
      <c r="L68">
        <v>0.67600000000000005</v>
      </c>
      <c r="M68">
        <v>2.1339999999999999</v>
      </c>
      <c r="N68" t="s">
        <v>10</v>
      </c>
      <c r="O68" t="s">
        <v>11</v>
      </c>
      <c r="P68" t="s">
        <v>355</v>
      </c>
      <c r="Q68" t="s">
        <v>356</v>
      </c>
      <c r="R68">
        <v>11</v>
      </c>
      <c r="S68">
        <v>1.1000000000000001</v>
      </c>
      <c r="AA68" t="s">
        <v>32</v>
      </c>
    </row>
    <row r="69" spans="1:27" x14ac:dyDescent="0.35">
      <c r="A69">
        <v>68</v>
      </c>
      <c r="F69">
        <v>74.496077979999995</v>
      </c>
      <c r="G69">
        <v>42.484021009999999</v>
      </c>
      <c r="H69">
        <v>3151.1039999999998</v>
      </c>
      <c r="I69">
        <v>0.60099999999999998</v>
      </c>
      <c r="J69">
        <v>0.32500000000000001</v>
      </c>
      <c r="K69">
        <v>0.61899999999999999</v>
      </c>
      <c r="L69">
        <v>0.68300000000000005</v>
      </c>
      <c r="M69">
        <v>2.1339999999999999</v>
      </c>
      <c r="N69" t="s">
        <v>10</v>
      </c>
      <c r="O69" t="s">
        <v>11</v>
      </c>
      <c r="P69" t="s">
        <v>357</v>
      </c>
      <c r="Q69" t="s">
        <v>358</v>
      </c>
      <c r="R69">
        <v>12</v>
      </c>
      <c r="S69">
        <v>1.1000000000000001</v>
      </c>
      <c r="AA69" t="s">
        <v>32</v>
      </c>
    </row>
    <row r="70" spans="1:27" x14ac:dyDescent="0.35">
      <c r="A70">
        <v>69</v>
      </c>
      <c r="F70">
        <v>74.496021830000004</v>
      </c>
      <c r="G70">
        <v>42.484053369999998</v>
      </c>
      <c r="H70">
        <v>3150.3420000000001</v>
      </c>
      <c r="I70">
        <v>0.63</v>
      </c>
      <c r="J70">
        <v>0.41299999999999998</v>
      </c>
      <c r="K70">
        <v>0.70499999999999996</v>
      </c>
      <c r="L70">
        <v>0.753</v>
      </c>
      <c r="M70">
        <v>2.1339999999999999</v>
      </c>
      <c r="N70" t="s">
        <v>10</v>
      </c>
      <c r="O70" t="s">
        <v>11</v>
      </c>
      <c r="P70" t="s">
        <v>359</v>
      </c>
      <c r="Q70" t="s">
        <v>360</v>
      </c>
      <c r="R70">
        <v>11</v>
      </c>
      <c r="S70">
        <v>1.2</v>
      </c>
      <c r="AA70" t="s">
        <v>32</v>
      </c>
    </row>
    <row r="71" spans="1:27" x14ac:dyDescent="0.35">
      <c r="A71">
        <v>70</v>
      </c>
      <c r="F71">
        <v>74.495977710000005</v>
      </c>
      <c r="G71">
        <v>42.484089429999997</v>
      </c>
      <c r="H71">
        <v>3147.3359999999998</v>
      </c>
      <c r="I71">
        <v>0.60299999999999998</v>
      </c>
      <c r="J71">
        <v>0.46</v>
      </c>
      <c r="K71">
        <v>0.84699999999999998</v>
      </c>
      <c r="L71">
        <v>0.75800000000000001</v>
      </c>
      <c r="M71">
        <v>2.1339999999999999</v>
      </c>
      <c r="N71" t="s">
        <v>10</v>
      </c>
      <c r="O71" t="s">
        <v>11</v>
      </c>
      <c r="P71" t="s">
        <v>361</v>
      </c>
      <c r="Q71" t="s">
        <v>362</v>
      </c>
      <c r="R71">
        <v>12</v>
      </c>
      <c r="S71">
        <v>1.2</v>
      </c>
      <c r="AA71" t="s">
        <v>32</v>
      </c>
    </row>
    <row r="72" spans="1:27" x14ac:dyDescent="0.35">
      <c r="A72">
        <v>71</v>
      </c>
      <c r="F72">
        <v>74.495943589999996</v>
      </c>
      <c r="G72">
        <v>42.484118850000002</v>
      </c>
      <c r="H72">
        <v>3144.556</v>
      </c>
      <c r="I72">
        <v>0.55700000000000005</v>
      </c>
      <c r="J72">
        <v>0.34200000000000003</v>
      </c>
      <c r="K72">
        <v>0.80300000000000005</v>
      </c>
      <c r="L72">
        <v>0.65400000000000003</v>
      </c>
      <c r="M72">
        <v>2.1339999999999999</v>
      </c>
      <c r="N72" t="s">
        <v>10</v>
      </c>
      <c r="O72" t="s">
        <v>11</v>
      </c>
      <c r="P72" t="s">
        <v>363</v>
      </c>
      <c r="Q72" t="s">
        <v>364</v>
      </c>
      <c r="R72">
        <v>11</v>
      </c>
      <c r="S72">
        <v>1.2</v>
      </c>
      <c r="AA72" t="s">
        <v>32</v>
      </c>
    </row>
    <row r="73" spans="1:27" x14ac:dyDescent="0.35">
      <c r="A73">
        <v>72</v>
      </c>
      <c r="F73">
        <v>74.495903839999997</v>
      </c>
      <c r="G73">
        <v>42.484141020000003</v>
      </c>
      <c r="H73">
        <v>3143.625</v>
      </c>
      <c r="I73">
        <v>0.56799999999999995</v>
      </c>
      <c r="J73">
        <v>0.32400000000000001</v>
      </c>
      <c r="K73">
        <v>0.78600000000000003</v>
      </c>
      <c r="L73">
        <v>0.65400000000000003</v>
      </c>
      <c r="M73">
        <v>2.1339999999999999</v>
      </c>
      <c r="N73" t="s">
        <v>10</v>
      </c>
      <c r="O73" t="s">
        <v>11</v>
      </c>
      <c r="P73" t="s">
        <v>365</v>
      </c>
      <c r="Q73" t="s">
        <v>366</v>
      </c>
      <c r="R73">
        <v>12</v>
      </c>
      <c r="S73">
        <v>1.2</v>
      </c>
      <c r="AA73" t="s">
        <v>32</v>
      </c>
    </row>
    <row r="74" spans="1:27" x14ac:dyDescent="0.35">
      <c r="A74">
        <v>73</v>
      </c>
      <c r="F74">
        <v>74.495840270000002</v>
      </c>
      <c r="G74">
        <v>42.484125759999998</v>
      </c>
      <c r="H74">
        <v>3143.3359999999998</v>
      </c>
      <c r="I74">
        <v>0.58699999999999997</v>
      </c>
      <c r="J74">
        <v>0.45</v>
      </c>
      <c r="K74">
        <v>1.3</v>
      </c>
      <c r="L74">
        <v>0.74</v>
      </c>
      <c r="M74">
        <v>2.1339999999999999</v>
      </c>
      <c r="N74" t="s">
        <v>10</v>
      </c>
      <c r="O74" t="s">
        <v>11</v>
      </c>
      <c r="P74" t="s">
        <v>367</v>
      </c>
      <c r="Q74" t="s">
        <v>368</v>
      </c>
      <c r="R74">
        <v>12</v>
      </c>
      <c r="S74">
        <v>1.3</v>
      </c>
      <c r="AA74" t="s">
        <v>32</v>
      </c>
    </row>
    <row r="75" spans="1:27" x14ac:dyDescent="0.35">
      <c r="A75">
        <v>74</v>
      </c>
      <c r="F75">
        <v>74.495798500000006</v>
      </c>
      <c r="G75">
        <v>42.484139229999997</v>
      </c>
      <c r="H75">
        <v>3141.6930000000002</v>
      </c>
      <c r="I75">
        <v>0.48399999999999999</v>
      </c>
      <c r="J75">
        <v>0.33600000000000002</v>
      </c>
      <c r="K75">
        <v>0.84</v>
      </c>
      <c r="L75">
        <v>0.58899999999999997</v>
      </c>
      <c r="M75">
        <v>2.1339999999999999</v>
      </c>
      <c r="N75" t="s">
        <v>10</v>
      </c>
      <c r="O75" t="s">
        <v>11</v>
      </c>
      <c r="P75" t="s">
        <v>369</v>
      </c>
      <c r="Q75" t="s">
        <v>370</v>
      </c>
      <c r="R75">
        <v>12</v>
      </c>
      <c r="S75">
        <v>1.3</v>
      </c>
      <c r="AA75" t="s">
        <v>32</v>
      </c>
    </row>
    <row r="76" spans="1:27" x14ac:dyDescent="0.35">
      <c r="A76">
        <v>75</v>
      </c>
      <c r="F76">
        <v>74.495742309999997</v>
      </c>
      <c r="G76">
        <v>42.48416838</v>
      </c>
      <c r="H76">
        <v>3140.4769999999999</v>
      </c>
      <c r="I76">
        <v>0.38300000000000001</v>
      </c>
      <c r="J76">
        <v>0.25800000000000001</v>
      </c>
      <c r="K76">
        <v>0.625</v>
      </c>
      <c r="L76">
        <v>0.46200000000000002</v>
      </c>
      <c r="M76">
        <v>2.1339999999999999</v>
      </c>
      <c r="N76" t="s">
        <v>10</v>
      </c>
      <c r="O76" t="s">
        <v>11</v>
      </c>
      <c r="P76" t="s">
        <v>371</v>
      </c>
      <c r="Q76" t="s">
        <v>372</v>
      </c>
      <c r="R76">
        <v>11</v>
      </c>
      <c r="S76">
        <v>1.3</v>
      </c>
      <c r="AA76" t="s">
        <v>32</v>
      </c>
    </row>
    <row r="77" spans="1:27" x14ac:dyDescent="0.35">
      <c r="A77">
        <v>76</v>
      </c>
      <c r="F77">
        <v>74.495707179999997</v>
      </c>
      <c r="G77">
        <v>42.48419852</v>
      </c>
      <c r="H77">
        <v>3139.2159999999999</v>
      </c>
      <c r="I77">
        <v>0.42799999999999999</v>
      </c>
      <c r="J77">
        <v>0.29199999999999998</v>
      </c>
      <c r="K77">
        <v>0.76800000000000002</v>
      </c>
      <c r="L77">
        <v>0.51800000000000002</v>
      </c>
      <c r="M77">
        <v>2.1339999999999999</v>
      </c>
      <c r="N77" t="s">
        <v>10</v>
      </c>
      <c r="O77" t="s">
        <v>11</v>
      </c>
      <c r="P77" t="s">
        <v>373</v>
      </c>
      <c r="Q77" t="s">
        <v>374</v>
      </c>
      <c r="R77">
        <v>12</v>
      </c>
      <c r="S77">
        <v>1.3</v>
      </c>
      <c r="AA77" t="s">
        <v>32</v>
      </c>
    </row>
    <row r="78" spans="1:27" x14ac:dyDescent="0.35">
      <c r="A78">
        <v>77</v>
      </c>
      <c r="F78">
        <v>74.495671689999995</v>
      </c>
      <c r="G78">
        <v>42.484219090000003</v>
      </c>
      <c r="H78">
        <v>3141.3589999999999</v>
      </c>
      <c r="I78">
        <v>0.42599999999999999</v>
      </c>
      <c r="J78">
        <v>0.26400000000000001</v>
      </c>
      <c r="K78">
        <v>0.85</v>
      </c>
      <c r="L78">
        <v>0.501</v>
      </c>
      <c r="M78">
        <v>2.1339999999999999</v>
      </c>
      <c r="N78" t="s">
        <v>10</v>
      </c>
      <c r="O78" t="s">
        <v>11</v>
      </c>
      <c r="P78" t="s">
        <v>375</v>
      </c>
      <c r="Q78" t="s">
        <v>376</v>
      </c>
      <c r="R78">
        <v>12</v>
      </c>
      <c r="S78">
        <v>1.3</v>
      </c>
      <c r="AA78" t="s">
        <v>32</v>
      </c>
    </row>
    <row r="79" spans="1:27" x14ac:dyDescent="0.35">
      <c r="A79">
        <v>78</v>
      </c>
      <c r="F79">
        <v>74.495648689999996</v>
      </c>
      <c r="G79">
        <v>42.48425082</v>
      </c>
      <c r="H79">
        <v>3142.444</v>
      </c>
      <c r="I79">
        <v>0.47699999999999998</v>
      </c>
      <c r="J79">
        <v>0.3</v>
      </c>
      <c r="K79">
        <v>0.78900000000000003</v>
      </c>
      <c r="L79">
        <v>0.56299999999999994</v>
      </c>
      <c r="M79">
        <v>2.1339999999999999</v>
      </c>
      <c r="N79" t="s">
        <v>10</v>
      </c>
      <c r="O79" t="s">
        <v>11</v>
      </c>
      <c r="P79" t="s">
        <v>377</v>
      </c>
      <c r="Q79" t="s">
        <v>378</v>
      </c>
      <c r="R79">
        <v>12</v>
      </c>
      <c r="S79">
        <v>1.6</v>
      </c>
      <c r="AA79" t="s">
        <v>32</v>
      </c>
    </row>
    <row r="80" spans="1:27" x14ac:dyDescent="0.35">
      <c r="A80">
        <v>79</v>
      </c>
      <c r="F80">
        <v>74.495570110000003</v>
      </c>
      <c r="G80">
        <v>42.48428088</v>
      </c>
      <c r="H80">
        <v>3142.8809999999999</v>
      </c>
      <c r="I80">
        <v>0.41299999999999998</v>
      </c>
      <c r="J80">
        <v>0.27300000000000002</v>
      </c>
      <c r="K80">
        <v>0.79100000000000004</v>
      </c>
      <c r="L80">
        <v>0.495</v>
      </c>
      <c r="M80">
        <v>2.1339999999999999</v>
      </c>
      <c r="N80" t="s">
        <v>10</v>
      </c>
      <c r="O80" t="s">
        <v>11</v>
      </c>
      <c r="P80" t="s">
        <v>379</v>
      </c>
      <c r="Q80" t="s">
        <v>380</v>
      </c>
      <c r="R80">
        <v>12</v>
      </c>
      <c r="S80">
        <v>1.3</v>
      </c>
      <c r="AA80" t="s">
        <v>32</v>
      </c>
    </row>
    <row r="81" spans="1:27" x14ac:dyDescent="0.35">
      <c r="A81">
        <v>80</v>
      </c>
      <c r="F81">
        <v>74.495523399999996</v>
      </c>
      <c r="G81">
        <v>42.484300009999998</v>
      </c>
      <c r="H81">
        <v>3141.3139999999999</v>
      </c>
      <c r="I81">
        <v>0.38700000000000001</v>
      </c>
      <c r="J81">
        <v>0.25800000000000001</v>
      </c>
      <c r="K81">
        <v>0.65500000000000003</v>
      </c>
      <c r="L81">
        <v>0.46500000000000002</v>
      </c>
      <c r="M81">
        <v>2.1339999999999999</v>
      </c>
      <c r="N81" t="s">
        <v>10</v>
      </c>
      <c r="O81" t="s">
        <v>11</v>
      </c>
      <c r="P81" t="s">
        <v>381</v>
      </c>
      <c r="Q81" t="s">
        <v>382</v>
      </c>
      <c r="R81">
        <v>12</v>
      </c>
      <c r="S81">
        <v>1.3</v>
      </c>
      <c r="AA81" t="s">
        <v>32</v>
      </c>
    </row>
    <row r="82" spans="1:27" x14ac:dyDescent="0.35">
      <c r="A82">
        <v>81</v>
      </c>
      <c r="F82">
        <v>74.495476490000001</v>
      </c>
      <c r="G82">
        <v>42.484323430000003</v>
      </c>
      <c r="H82">
        <v>3140.2849999999999</v>
      </c>
      <c r="I82">
        <v>0.374</v>
      </c>
      <c r="J82">
        <v>0.33900000000000002</v>
      </c>
      <c r="K82">
        <v>0.66300000000000003</v>
      </c>
      <c r="L82">
        <v>0.505</v>
      </c>
      <c r="M82">
        <v>2.1339999999999999</v>
      </c>
      <c r="N82" t="s">
        <v>10</v>
      </c>
      <c r="O82" t="s">
        <v>11</v>
      </c>
      <c r="P82" t="s">
        <v>383</v>
      </c>
      <c r="Q82" t="s">
        <v>384</v>
      </c>
      <c r="R82">
        <v>11</v>
      </c>
      <c r="S82">
        <v>1.3</v>
      </c>
      <c r="AA82" t="s">
        <v>32</v>
      </c>
    </row>
    <row r="83" spans="1:27" x14ac:dyDescent="0.35">
      <c r="A83">
        <v>82</v>
      </c>
      <c r="F83">
        <v>74.495431859999997</v>
      </c>
      <c r="G83">
        <v>42.484357279999998</v>
      </c>
      <c r="H83">
        <v>3141.239</v>
      </c>
      <c r="I83">
        <v>0.40100000000000002</v>
      </c>
      <c r="J83">
        <v>0.311</v>
      </c>
      <c r="K83">
        <v>0.72199999999999998</v>
      </c>
      <c r="L83">
        <v>0.50700000000000001</v>
      </c>
      <c r="M83">
        <v>2.1339999999999999</v>
      </c>
      <c r="N83" t="s">
        <v>10</v>
      </c>
      <c r="O83" t="s">
        <v>11</v>
      </c>
      <c r="P83" t="s">
        <v>385</v>
      </c>
      <c r="Q83" t="s">
        <v>386</v>
      </c>
      <c r="R83">
        <v>12</v>
      </c>
      <c r="S83">
        <v>1.4</v>
      </c>
      <c r="AA83" t="s">
        <v>32</v>
      </c>
    </row>
    <row r="84" spans="1:27" x14ac:dyDescent="0.35">
      <c r="A84">
        <v>83</v>
      </c>
      <c r="F84">
        <v>74.495379380000003</v>
      </c>
      <c r="G84">
        <v>42.484386989999997</v>
      </c>
      <c r="H84">
        <v>3141.2730000000001</v>
      </c>
      <c r="I84">
        <v>0.378</v>
      </c>
      <c r="J84">
        <v>0.26</v>
      </c>
      <c r="K84">
        <v>0.67700000000000005</v>
      </c>
      <c r="L84">
        <v>0.45900000000000002</v>
      </c>
      <c r="M84">
        <v>2.1339999999999999</v>
      </c>
      <c r="N84" t="s">
        <v>10</v>
      </c>
      <c r="O84" t="s">
        <v>11</v>
      </c>
      <c r="P84" t="s">
        <v>387</v>
      </c>
      <c r="Q84" t="s">
        <v>388</v>
      </c>
      <c r="R84">
        <v>12</v>
      </c>
      <c r="S84">
        <v>1.3</v>
      </c>
      <c r="AA84" t="s">
        <v>32</v>
      </c>
    </row>
    <row r="85" spans="1:27" x14ac:dyDescent="0.35">
      <c r="A85">
        <v>84</v>
      </c>
      <c r="F85">
        <v>74.495332129999994</v>
      </c>
      <c r="G85">
        <v>42.484405279999997</v>
      </c>
      <c r="H85">
        <v>3139.5059999999999</v>
      </c>
      <c r="I85">
        <v>0.38</v>
      </c>
      <c r="J85">
        <v>0.28599999999999998</v>
      </c>
      <c r="K85">
        <v>0.64500000000000002</v>
      </c>
      <c r="L85">
        <v>0.47499999999999998</v>
      </c>
      <c r="M85">
        <v>2.1339999999999999</v>
      </c>
      <c r="N85" t="s">
        <v>10</v>
      </c>
      <c r="O85" t="s">
        <v>11</v>
      </c>
      <c r="P85" t="s">
        <v>389</v>
      </c>
      <c r="Q85" t="s">
        <v>390</v>
      </c>
      <c r="R85">
        <v>12</v>
      </c>
      <c r="S85">
        <v>1.2</v>
      </c>
      <c r="AA85" t="s">
        <v>32</v>
      </c>
    </row>
    <row r="86" spans="1:27" x14ac:dyDescent="0.35">
      <c r="A86">
        <v>85</v>
      </c>
      <c r="F86">
        <v>74.49528214</v>
      </c>
      <c r="G86">
        <v>42.484434780000001</v>
      </c>
      <c r="H86">
        <v>3137.5650000000001</v>
      </c>
      <c r="I86">
        <v>0.31900000000000001</v>
      </c>
      <c r="J86">
        <v>0.26</v>
      </c>
      <c r="K86">
        <v>0.65600000000000003</v>
      </c>
      <c r="L86">
        <v>0.41199999999999998</v>
      </c>
      <c r="M86">
        <v>2.1339999999999999</v>
      </c>
      <c r="N86" t="s">
        <v>10</v>
      </c>
      <c r="O86" t="s">
        <v>11</v>
      </c>
      <c r="P86" t="s">
        <v>391</v>
      </c>
      <c r="Q86" t="s">
        <v>392</v>
      </c>
      <c r="R86">
        <v>12</v>
      </c>
      <c r="S86">
        <v>1.2</v>
      </c>
      <c r="AA86" t="s">
        <v>32</v>
      </c>
    </row>
    <row r="87" spans="1:27" x14ac:dyDescent="0.35">
      <c r="A87">
        <v>86</v>
      </c>
      <c r="F87">
        <v>74.4952392</v>
      </c>
      <c r="G87">
        <v>42.48445692</v>
      </c>
      <c r="H87">
        <v>3136.998</v>
      </c>
      <c r="I87">
        <v>0.32500000000000001</v>
      </c>
      <c r="J87">
        <v>0.254</v>
      </c>
      <c r="K87">
        <v>0.67500000000000004</v>
      </c>
      <c r="L87">
        <v>0.41299999999999998</v>
      </c>
      <c r="M87">
        <v>2.1339999999999999</v>
      </c>
      <c r="N87" t="s">
        <v>10</v>
      </c>
      <c r="O87" t="s">
        <v>11</v>
      </c>
      <c r="P87" t="s">
        <v>393</v>
      </c>
      <c r="Q87" t="s">
        <v>394</v>
      </c>
      <c r="R87">
        <v>12</v>
      </c>
      <c r="S87">
        <v>1.3</v>
      </c>
      <c r="AA87" t="s">
        <v>32</v>
      </c>
    </row>
    <row r="88" spans="1:27" x14ac:dyDescent="0.35">
      <c r="A88">
        <v>87</v>
      </c>
      <c r="F88">
        <v>74.495189809999999</v>
      </c>
      <c r="G88">
        <v>42.484480560000002</v>
      </c>
      <c r="H88">
        <v>3135.8150000000001</v>
      </c>
      <c r="I88">
        <v>0.33300000000000002</v>
      </c>
      <c r="J88">
        <v>0.23899999999999999</v>
      </c>
      <c r="K88">
        <v>0.59499999999999997</v>
      </c>
      <c r="L88">
        <v>0.41</v>
      </c>
      <c r="M88">
        <v>2.1339999999999999</v>
      </c>
      <c r="N88" t="s">
        <v>10</v>
      </c>
      <c r="O88" t="s">
        <v>11</v>
      </c>
      <c r="P88" t="s">
        <v>395</v>
      </c>
      <c r="Q88" t="s">
        <v>396</v>
      </c>
      <c r="R88">
        <v>12</v>
      </c>
      <c r="S88">
        <v>1.2</v>
      </c>
      <c r="AA88" t="s">
        <v>32</v>
      </c>
    </row>
    <row r="89" spans="1:27" x14ac:dyDescent="0.35">
      <c r="A89">
        <v>88</v>
      </c>
      <c r="F89">
        <v>74.495141480000001</v>
      </c>
      <c r="G89">
        <v>42.484508769999998</v>
      </c>
      <c r="H89">
        <v>3134.556</v>
      </c>
      <c r="I89">
        <v>0.33600000000000002</v>
      </c>
      <c r="J89">
        <v>0.23899999999999999</v>
      </c>
      <c r="K89">
        <v>0.59</v>
      </c>
      <c r="L89">
        <v>0.41199999999999998</v>
      </c>
      <c r="M89">
        <v>2.1339999999999999</v>
      </c>
      <c r="N89" t="s">
        <v>10</v>
      </c>
      <c r="O89" t="s">
        <v>11</v>
      </c>
      <c r="P89" t="s">
        <v>397</v>
      </c>
      <c r="Q89" t="s">
        <v>398</v>
      </c>
      <c r="R89">
        <v>12</v>
      </c>
      <c r="S89">
        <v>1.2</v>
      </c>
      <c r="AA89" t="s">
        <v>32</v>
      </c>
    </row>
    <row r="90" spans="1:27" x14ac:dyDescent="0.35">
      <c r="A90">
        <v>89</v>
      </c>
      <c r="F90">
        <v>74.495093650000001</v>
      </c>
      <c r="G90">
        <v>42.48453962</v>
      </c>
      <c r="H90">
        <v>3133.721</v>
      </c>
      <c r="I90">
        <v>0.315</v>
      </c>
      <c r="J90">
        <v>0.29099999999999998</v>
      </c>
      <c r="K90">
        <v>0.65300000000000002</v>
      </c>
      <c r="L90">
        <v>0.42899999999999999</v>
      </c>
      <c r="M90">
        <v>2.1339999999999999</v>
      </c>
      <c r="N90" t="s">
        <v>10</v>
      </c>
      <c r="O90" t="s">
        <v>11</v>
      </c>
      <c r="P90" t="s">
        <v>399</v>
      </c>
      <c r="Q90" t="s">
        <v>400</v>
      </c>
      <c r="R90">
        <v>12</v>
      </c>
      <c r="S90">
        <v>1.3</v>
      </c>
      <c r="AA90" t="s">
        <v>32</v>
      </c>
    </row>
    <row r="91" spans="1:27" x14ac:dyDescent="0.35">
      <c r="A91">
        <v>90</v>
      </c>
      <c r="F91">
        <v>74.495047139999997</v>
      </c>
      <c r="G91">
        <v>42.484568230000001</v>
      </c>
      <c r="H91">
        <v>3133.2359999999999</v>
      </c>
      <c r="I91">
        <v>0.33600000000000002</v>
      </c>
      <c r="J91">
        <v>0.23100000000000001</v>
      </c>
      <c r="K91">
        <v>0.62</v>
      </c>
      <c r="L91">
        <v>0.40699999999999997</v>
      </c>
      <c r="M91">
        <v>2.1339999999999999</v>
      </c>
      <c r="N91" t="s">
        <v>10</v>
      </c>
      <c r="O91" t="s">
        <v>11</v>
      </c>
      <c r="P91" t="s">
        <v>401</v>
      </c>
      <c r="Q91" t="s">
        <v>402</v>
      </c>
      <c r="R91">
        <v>12</v>
      </c>
      <c r="S91">
        <v>1.3</v>
      </c>
      <c r="AA91" t="s">
        <v>32</v>
      </c>
    </row>
    <row r="92" spans="1:27" x14ac:dyDescent="0.35">
      <c r="A92">
        <v>91</v>
      </c>
      <c r="F92">
        <v>74.494995770000003</v>
      </c>
      <c r="G92">
        <v>42.48459029</v>
      </c>
      <c r="H92">
        <v>3132.5010000000002</v>
      </c>
      <c r="I92">
        <v>0.30499999999999999</v>
      </c>
      <c r="J92">
        <v>0.23200000000000001</v>
      </c>
      <c r="K92">
        <v>0.60399999999999998</v>
      </c>
      <c r="L92">
        <v>0.38300000000000001</v>
      </c>
      <c r="M92">
        <v>2.1339999999999999</v>
      </c>
      <c r="N92" t="s">
        <v>10</v>
      </c>
      <c r="O92" t="s">
        <v>11</v>
      </c>
      <c r="P92" t="s">
        <v>403</v>
      </c>
      <c r="Q92" t="s">
        <v>404</v>
      </c>
      <c r="R92">
        <v>12</v>
      </c>
      <c r="S92">
        <v>1.3</v>
      </c>
      <c r="AA92" t="s">
        <v>32</v>
      </c>
    </row>
    <row r="93" spans="1:27" x14ac:dyDescent="0.35">
      <c r="A93">
        <v>92</v>
      </c>
      <c r="F93">
        <v>74.49495718</v>
      </c>
      <c r="G93">
        <v>42.484610099999998</v>
      </c>
      <c r="H93">
        <v>3131.6320000000001</v>
      </c>
      <c r="I93">
        <v>0.38200000000000001</v>
      </c>
      <c r="J93">
        <v>0.29499999999999998</v>
      </c>
      <c r="K93">
        <v>0.65</v>
      </c>
      <c r="L93">
        <v>0.48199999999999998</v>
      </c>
      <c r="M93">
        <v>2.1339999999999999</v>
      </c>
      <c r="N93" t="s">
        <v>10</v>
      </c>
      <c r="O93" t="s">
        <v>11</v>
      </c>
      <c r="P93" t="s">
        <v>405</v>
      </c>
      <c r="Q93" t="s">
        <v>406</v>
      </c>
      <c r="R93">
        <v>12</v>
      </c>
      <c r="S93">
        <v>1.4</v>
      </c>
      <c r="AA93" t="s">
        <v>32</v>
      </c>
    </row>
    <row r="94" spans="1:27" x14ac:dyDescent="0.35">
      <c r="A94">
        <v>93</v>
      </c>
      <c r="F94">
        <v>74.494909329999999</v>
      </c>
      <c r="G94">
        <v>42.484643159999997</v>
      </c>
      <c r="H94">
        <v>3132.19</v>
      </c>
      <c r="I94">
        <v>0.44700000000000001</v>
      </c>
      <c r="J94">
        <v>0.28000000000000003</v>
      </c>
      <c r="K94">
        <v>0.79200000000000004</v>
      </c>
      <c r="L94">
        <v>0.52800000000000002</v>
      </c>
      <c r="M94">
        <v>2.1339999999999999</v>
      </c>
      <c r="N94" t="s">
        <v>10</v>
      </c>
      <c r="O94" t="s">
        <v>11</v>
      </c>
      <c r="P94" t="s">
        <v>407</v>
      </c>
      <c r="Q94" t="s">
        <v>408</v>
      </c>
      <c r="R94">
        <v>11</v>
      </c>
      <c r="S94">
        <v>1.3</v>
      </c>
      <c r="AA94" t="s">
        <v>32</v>
      </c>
    </row>
    <row r="95" spans="1:27" x14ac:dyDescent="0.35">
      <c r="A95">
        <v>94</v>
      </c>
      <c r="F95">
        <v>74.494852170000001</v>
      </c>
      <c r="G95">
        <v>42.484665960000001</v>
      </c>
      <c r="H95">
        <v>3130.837</v>
      </c>
      <c r="I95">
        <v>0.38700000000000001</v>
      </c>
      <c r="J95">
        <v>0.30199999999999999</v>
      </c>
      <c r="K95">
        <v>0.71799999999999997</v>
      </c>
      <c r="L95">
        <v>0.49099999999999999</v>
      </c>
      <c r="M95">
        <v>2.1339999999999999</v>
      </c>
      <c r="N95" t="s">
        <v>10</v>
      </c>
      <c r="O95" t="s">
        <v>11</v>
      </c>
      <c r="P95" t="s">
        <v>409</v>
      </c>
      <c r="Q95" t="s">
        <v>410</v>
      </c>
      <c r="R95">
        <v>11</v>
      </c>
      <c r="S95">
        <v>1.4</v>
      </c>
      <c r="AA95" t="s">
        <v>32</v>
      </c>
    </row>
    <row r="96" spans="1:27" x14ac:dyDescent="0.35">
      <c r="A96">
        <v>95</v>
      </c>
      <c r="F96">
        <v>74.494811420000005</v>
      </c>
      <c r="G96">
        <v>42.484696960000001</v>
      </c>
      <c r="H96">
        <v>3129.13</v>
      </c>
      <c r="I96">
        <v>0.40699999999999997</v>
      </c>
      <c r="J96">
        <v>0.27700000000000002</v>
      </c>
      <c r="K96">
        <v>0.68799999999999994</v>
      </c>
      <c r="L96">
        <v>0.49199999999999999</v>
      </c>
      <c r="M96">
        <v>2.1339999999999999</v>
      </c>
      <c r="N96" t="s">
        <v>10</v>
      </c>
      <c r="O96" t="s">
        <v>11</v>
      </c>
      <c r="P96" t="s">
        <v>411</v>
      </c>
      <c r="Q96" t="s">
        <v>412</v>
      </c>
      <c r="R96">
        <v>12</v>
      </c>
      <c r="S96">
        <v>1.4</v>
      </c>
      <c r="AA96" t="s">
        <v>32</v>
      </c>
    </row>
    <row r="97" spans="1:27" x14ac:dyDescent="0.35">
      <c r="A97">
        <v>96</v>
      </c>
      <c r="F97">
        <v>74.494761600000004</v>
      </c>
      <c r="G97">
        <v>42.484727489999997</v>
      </c>
      <c r="H97">
        <v>3129.8589999999999</v>
      </c>
      <c r="I97">
        <v>0.40100000000000002</v>
      </c>
      <c r="J97">
        <v>0.29799999999999999</v>
      </c>
      <c r="K97">
        <v>0.80500000000000005</v>
      </c>
      <c r="L97">
        <v>0.5</v>
      </c>
      <c r="M97">
        <v>2.1339999999999999</v>
      </c>
      <c r="N97" t="s">
        <v>10</v>
      </c>
      <c r="O97" t="s">
        <v>11</v>
      </c>
      <c r="P97" t="s">
        <v>413</v>
      </c>
      <c r="Q97" t="s">
        <v>414</v>
      </c>
      <c r="R97">
        <v>12</v>
      </c>
      <c r="S97">
        <v>1.3</v>
      </c>
      <c r="AA97" t="s">
        <v>32</v>
      </c>
    </row>
    <row r="98" spans="1:27" x14ac:dyDescent="0.35">
      <c r="A98">
        <v>97</v>
      </c>
      <c r="F98">
        <v>74.494724829999996</v>
      </c>
      <c r="G98">
        <v>42.484744139999997</v>
      </c>
      <c r="H98">
        <v>3127.8960000000002</v>
      </c>
      <c r="I98">
        <v>0.41299999999999998</v>
      </c>
      <c r="J98">
        <v>0.4</v>
      </c>
      <c r="K98">
        <v>0.76500000000000001</v>
      </c>
      <c r="L98">
        <v>0.57499999999999996</v>
      </c>
      <c r="M98">
        <v>2.1339999999999999</v>
      </c>
      <c r="N98" t="s">
        <v>10</v>
      </c>
      <c r="O98" t="s">
        <v>11</v>
      </c>
      <c r="P98" t="s">
        <v>415</v>
      </c>
      <c r="Q98" t="s">
        <v>416</v>
      </c>
      <c r="R98">
        <v>11</v>
      </c>
      <c r="S98">
        <v>1.4</v>
      </c>
      <c r="AA98" t="s">
        <v>32</v>
      </c>
    </row>
    <row r="99" spans="1:27" x14ac:dyDescent="0.35">
      <c r="A99">
        <v>98</v>
      </c>
      <c r="F99">
        <v>74.494685290000007</v>
      </c>
      <c r="G99">
        <v>42.484780389999997</v>
      </c>
      <c r="H99">
        <v>3127.799</v>
      </c>
      <c r="I99">
        <v>0.45500000000000002</v>
      </c>
      <c r="J99">
        <v>0.30299999999999999</v>
      </c>
      <c r="K99">
        <v>0.86499999999999999</v>
      </c>
      <c r="L99">
        <v>0.54600000000000004</v>
      </c>
      <c r="M99">
        <v>2.1339999999999999</v>
      </c>
      <c r="N99" t="s">
        <v>10</v>
      </c>
      <c r="O99" t="s">
        <v>11</v>
      </c>
      <c r="P99" t="s">
        <v>417</v>
      </c>
      <c r="Q99" t="s">
        <v>418</v>
      </c>
      <c r="R99">
        <v>11</v>
      </c>
      <c r="S99">
        <v>1.3</v>
      </c>
      <c r="AA99" t="s">
        <v>32</v>
      </c>
    </row>
    <row r="100" spans="1:27" x14ac:dyDescent="0.35">
      <c r="A100">
        <v>99</v>
      </c>
      <c r="F100">
        <v>74.494627460000004</v>
      </c>
      <c r="G100">
        <v>42.484814020000002</v>
      </c>
      <c r="H100">
        <v>3126.4609999999998</v>
      </c>
      <c r="I100">
        <v>0.433</v>
      </c>
      <c r="J100">
        <v>0.27200000000000002</v>
      </c>
      <c r="K100">
        <v>0.73399999999999999</v>
      </c>
      <c r="L100">
        <v>0.51100000000000001</v>
      </c>
      <c r="M100">
        <v>2.1339999999999999</v>
      </c>
      <c r="N100" t="s">
        <v>10</v>
      </c>
      <c r="O100" t="s">
        <v>11</v>
      </c>
      <c r="P100" t="s">
        <v>419</v>
      </c>
      <c r="Q100" t="s">
        <v>420</v>
      </c>
      <c r="R100">
        <v>12</v>
      </c>
      <c r="S100">
        <v>1.4</v>
      </c>
      <c r="AA100" t="s">
        <v>32</v>
      </c>
    </row>
    <row r="101" spans="1:27" x14ac:dyDescent="0.35">
      <c r="A101">
        <v>100</v>
      </c>
      <c r="F101">
        <v>74.494572669999997</v>
      </c>
      <c r="G101">
        <v>42.484837550000002</v>
      </c>
      <c r="H101">
        <v>3125.846</v>
      </c>
      <c r="I101">
        <v>0.39100000000000001</v>
      </c>
      <c r="J101">
        <v>0.26</v>
      </c>
      <c r="K101">
        <v>0.79900000000000004</v>
      </c>
      <c r="L101">
        <v>0.46899999999999997</v>
      </c>
      <c r="M101">
        <v>2.1339999999999999</v>
      </c>
      <c r="N101" t="s">
        <v>10</v>
      </c>
      <c r="O101" t="s">
        <v>11</v>
      </c>
      <c r="P101" t="s">
        <v>421</v>
      </c>
      <c r="Q101" t="s">
        <v>422</v>
      </c>
      <c r="R101">
        <v>11</v>
      </c>
      <c r="S101">
        <v>1.4</v>
      </c>
      <c r="AA101" t="s">
        <v>32</v>
      </c>
    </row>
    <row r="102" spans="1:27" x14ac:dyDescent="0.35">
      <c r="A102">
        <v>101</v>
      </c>
      <c r="F102">
        <v>74.494531190000004</v>
      </c>
      <c r="G102">
        <v>42.484864799999997</v>
      </c>
      <c r="H102">
        <v>3126.2910000000002</v>
      </c>
      <c r="I102">
        <v>0.39300000000000002</v>
      </c>
      <c r="J102">
        <v>0.25800000000000001</v>
      </c>
      <c r="K102">
        <v>0.72799999999999998</v>
      </c>
      <c r="L102">
        <v>0.47</v>
      </c>
      <c r="M102">
        <v>2.1339999999999999</v>
      </c>
      <c r="N102" t="s">
        <v>10</v>
      </c>
      <c r="O102" t="s">
        <v>11</v>
      </c>
      <c r="P102" t="s">
        <v>423</v>
      </c>
      <c r="Q102" t="s">
        <v>424</v>
      </c>
      <c r="R102">
        <v>12</v>
      </c>
      <c r="S102">
        <v>1.3</v>
      </c>
      <c r="AA102" t="s">
        <v>32</v>
      </c>
    </row>
    <row r="103" spans="1:27" x14ac:dyDescent="0.35">
      <c r="A103">
        <v>102</v>
      </c>
      <c r="F103">
        <v>74.494484349999993</v>
      </c>
      <c r="G103">
        <v>42.484884770000001</v>
      </c>
      <c r="H103">
        <v>3126.752</v>
      </c>
      <c r="I103">
        <v>0.4</v>
      </c>
      <c r="J103">
        <v>0.248</v>
      </c>
      <c r="K103">
        <v>0.73499999999999999</v>
      </c>
      <c r="L103">
        <v>0.47</v>
      </c>
      <c r="M103">
        <v>2.1339999999999999</v>
      </c>
      <c r="N103" t="s">
        <v>10</v>
      </c>
      <c r="O103" t="s">
        <v>11</v>
      </c>
      <c r="P103" t="s">
        <v>425</v>
      </c>
      <c r="Q103" t="s">
        <v>426</v>
      </c>
      <c r="R103">
        <v>11</v>
      </c>
      <c r="S103">
        <v>1.4</v>
      </c>
      <c r="AA103" t="s">
        <v>32</v>
      </c>
    </row>
    <row r="104" spans="1:27" x14ac:dyDescent="0.35">
      <c r="A104">
        <v>103</v>
      </c>
      <c r="F104">
        <v>74.494432160000002</v>
      </c>
      <c r="G104">
        <v>42.484911410000002</v>
      </c>
      <c r="H104">
        <v>3126.1869999999999</v>
      </c>
      <c r="I104">
        <v>0.51</v>
      </c>
      <c r="J104">
        <v>0.375</v>
      </c>
      <c r="K104">
        <v>1.006</v>
      </c>
      <c r="L104">
        <v>0.63300000000000001</v>
      </c>
      <c r="M104">
        <v>2.1339999999999999</v>
      </c>
      <c r="N104" t="s">
        <v>10</v>
      </c>
      <c r="O104" t="s">
        <v>11</v>
      </c>
      <c r="P104" t="s">
        <v>427</v>
      </c>
      <c r="Q104" t="s">
        <v>428</v>
      </c>
      <c r="R104">
        <v>11</v>
      </c>
      <c r="S104">
        <v>1.5</v>
      </c>
      <c r="AA104" t="s">
        <v>32</v>
      </c>
    </row>
    <row r="105" spans="1:27" x14ac:dyDescent="0.35">
      <c r="A105">
        <v>104</v>
      </c>
      <c r="F105">
        <v>74.494397849999999</v>
      </c>
      <c r="G105">
        <v>42.48494058</v>
      </c>
      <c r="H105">
        <v>3124.5770000000002</v>
      </c>
      <c r="I105">
        <v>0.69099999999999995</v>
      </c>
      <c r="J105">
        <v>0.441</v>
      </c>
      <c r="K105">
        <v>1.2709999999999999</v>
      </c>
      <c r="L105">
        <v>0.82</v>
      </c>
      <c r="M105">
        <v>2.1339999999999999</v>
      </c>
      <c r="N105" t="s">
        <v>10</v>
      </c>
      <c r="O105" t="s">
        <v>11</v>
      </c>
      <c r="P105" t="s">
        <v>429</v>
      </c>
      <c r="Q105" t="s">
        <v>430</v>
      </c>
      <c r="R105">
        <v>12</v>
      </c>
      <c r="S105">
        <v>1.3</v>
      </c>
      <c r="AA105" t="s">
        <v>32</v>
      </c>
    </row>
    <row r="106" spans="1:27" x14ac:dyDescent="0.35">
      <c r="A106">
        <v>105</v>
      </c>
      <c r="F106">
        <v>74.494339539999999</v>
      </c>
      <c r="G106">
        <v>42.484968979999998</v>
      </c>
      <c r="H106">
        <v>3122.7640000000001</v>
      </c>
      <c r="I106">
        <v>0.42499999999999999</v>
      </c>
      <c r="J106">
        <v>0.35599999999999998</v>
      </c>
      <c r="K106">
        <v>0.85499999999999998</v>
      </c>
      <c r="L106">
        <v>0.55400000000000005</v>
      </c>
      <c r="M106">
        <v>2.1339999999999999</v>
      </c>
      <c r="N106" t="s">
        <v>10</v>
      </c>
      <c r="O106" t="s">
        <v>11</v>
      </c>
      <c r="P106" t="s">
        <v>431</v>
      </c>
      <c r="Q106" t="s">
        <v>432</v>
      </c>
      <c r="R106">
        <v>11</v>
      </c>
      <c r="S106">
        <v>1.4</v>
      </c>
      <c r="AA106" t="s">
        <v>32</v>
      </c>
    </row>
    <row r="107" spans="1:27" x14ac:dyDescent="0.35">
      <c r="A107">
        <v>106</v>
      </c>
      <c r="F107">
        <v>74.494298229999998</v>
      </c>
      <c r="G107">
        <v>42.484998670000003</v>
      </c>
      <c r="H107">
        <v>3120.8420000000001</v>
      </c>
      <c r="I107">
        <v>0.57899999999999996</v>
      </c>
      <c r="J107">
        <v>0.45400000000000001</v>
      </c>
      <c r="K107">
        <v>1.3</v>
      </c>
      <c r="L107">
        <v>0.73599999999999999</v>
      </c>
      <c r="M107">
        <v>2.1339999999999999</v>
      </c>
      <c r="N107" t="s">
        <v>10</v>
      </c>
      <c r="O107" t="s">
        <v>11</v>
      </c>
      <c r="P107" t="s">
        <v>433</v>
      </c>
      <c r="Q107" t="s">
        <v>434</v>
      </c>
      <c r="R107">
        <v>12</v>
      </c>
      <c r="S107">
        <v>1.4</v>
      </c>
      <c r="AA107" t="s">
        <v>32</v>
      </c>
    </row>
    <row r="108" spans="1:27" x14ac:dyDescent="0.35">
      <c r="A108">
        <v>107</v>
      </c>
      <c r="F108">
        <v>74.494252840000001</v>
      </c>
      <c r="G108">
        <v>42.485026959999999</v>
      </c>
      <c r="H108">
        <v>3122.116</v>
      </c>
      <c r="I108">
        <v>0.501</v>
      </c>
      <c r="J108">
        <v>0.28899999999999998</v>
      </c>
      <c r="K108">
        <v>0.94</v>
      </c>
      <c r="L108">
        <v>0.57799999999999996</v>
      </c>
      <c r="M108">
        <v>2.1339999999999999</v>
      </c>
      <c r="N108" t="s">
        <v>10</v>
      </c>
      <c r="O108" t="s">
        <v>11</v>
      </c>
      <c r="P108" t="s">
        <v>435</v>
      </c>
      <c r="Q108" t="s">
        <v>436</v>
      </c>
      <c r="R108">
        <v>11</v>
      </c>
      <c r="S108">
        <v>1.4</v>
      </c>
      <c r="AA108" t="s">
        <v>32</v>
      </c>
    </row>
    <row r="109" spans="1:27" x14ac:dyDescent="0.35">
      <c r="A109">
        <v>108</v>
      </c>
      <c r="F109">
        <v>74.494196779999996</v>
      </c>
      <c r="G109">
        <v>42.485051089999999</v>
      </c>
      <c r="H109">
        <v>3120.3510000000001</v>
      </c>
      <c r="I109">
        <v>0.39500000000000002</v>
      </c>
      <c r="J109">
        <v>0.24199999999999999</v>
      </c>
      <c r="K109">
        <v>0.72399999999999998</v>
      </c>
      <c r="L109">
        <v>0.46300000000000002</v>
      </c>
      <c r="M109">
        <v>2.1339999999999999</v>
      </c>
      <c r="N109" t="s">
        <v>10</v>
      </c>
      <c r="O109" t="s">
        <v>11</v>
      </c>
      <c r="P109" t="s">
        <v>437</v>
      </c>
      <c r="Q109" t="s">
        <v>438</v>
      </c>
      <c r="R109">
        <v>12</v>
      </c>
      <c r="S109">
        <v>1.5</v>
      </c>
      <c r="AA109" t="s">
        <v>32</v>
      </c>
    </row>
    <row r="110" spans="1:27" x14ac:dyDescent="0.35">
      <c r="A110">
        <v>109</v>
      </c>
      <c r="F110">
        <v>74.494146599999993</v>
      </c>
      <c r="G110">
        <v>42.48507978</v>
      </c>
      <c r="H110">
        <v>3118.5369999999998</v>
      </c>
      <c r="I110">
        <v>0.38200000000000001</v>
      </c>
      <c r="J110">
        <v>0.27500000000000002</v>
      </c>
      <c r="K110">
        <v>0.72699999999999998</v>
      </c>
      <c r="L110">
        <v>0.47</v>
      </c>
      <c r="M110">
        <v>2.1339999999999999</v>
      </c>
      <c r="N110" t="s">
        <v>10</v>
      </c>
      <c r="O110" t="s">
        <v>11</v>
      </c>
      <c r="P110" t="s">
        <v>439</v>
      </c>
      <c r="Q110" t="s">
        <v>440</v>
      </c>
      <c r="R110">
        <v>11</v>
      </c>
      <c r="S110">
        <v>1.4</v>
      </c>
      <c r="AA110" t="s">
        <v>32</v>
      </c>
    </row>
    <row r="111" spans="1:27" x14ac:dyDescent="0.35">
      <c r="A111">
        <v>110</v>
      </c>
      <c r="F111">
        <v>74.494105169999997</v>
      </c>
      <c r="G111">
        <v>42.485103899999999</v>
      </c>
      <c r="H111">
        <v>3118.402</v>
      </c>
      <c r="I111">
        <v>0.38400000000000001</v>
      </c>
      <c r="J111">
        <v>0.24199999999999999</v>
      </c>
      <c r="K111">
        <v>0.70599999999999996</v>
      </c>
      <c r="L111">
        <v>0.45400000000000001</v>
      </c>
      <c r="M111">
        <v>2.1339999999999999</v>
      </c>
      <c r="N111" t="s">
        <v>10</v>
      </c>
      <c r="O111" t="s">
        <v>11</v>
      </c>
      <c r="P111" t="s">
        <v>441</v>
      </c>
      <c r="Q111" t="s">
        <v>442</v>
      </c>
      <c r="R111">
        <v>11</v>
      </c>
      <c r="S111">
        <v>1.4</v>
      </c>
      <c r="AA111" t="s">
        <v>32</v>
      </c>
    </row>
    <row r="112" spans="1:27" x14ac:dyDescent="0.35">
      <c r="A112">
        <v>111</v>
      </c>
      <c r="F112">
        <v>74.49406553</v>
      </c>
      <c r="G112">
        <v>42.485129100000002</v>
      </c>
      <c r="H112">
        <v>3116.732</v>
      </c>
      <c r="I112">
        <v>0.39800000000000002</v>
      </c>
      <c r="J112">
        <v>0.29299999999999998</v>
      </c>
      <c r="K112">
        <v>0.752</v>
      </c>
      <c r="L112">
        <v>0.49399999999999999</v>
      </c>
      <c r="M112">
        <v>2.1339999999999999</v>
      </c>
      <c r="N112" t="s">
        <v>10</v>
      </c>
      <c r="O112" t="s">
        <v>11</v>
      </c>
      <c r="P112" t="s">
        <v>443</v>
      </c>
      <c r="Q112" t="s">
        <v>444</v>
      </c>
      <c r="R112">
        <v>12</v>
      </c>
      <c r="S112">
        <v>1.4</v>
      </c>
      <c r="AA112" t="s">
        <v>32</v>
      </c>
    </row>
    <row r="113" spans="1:27" x14ac:dyDescent="0.35">
      <c r="A113">
        <v>112</v>
      </c>
      <c r="F113">
        <v>74.494012080000005</v>
      </c>
      <c r="G113">
        <v>42.485148959999997</v>
      </c>
      <c r="H113">
        <v>3115.2779999999998</v>
      </c>
      <c r="I113">
        <v>0.4</v>
      </c>
      <c r="J113">
        <v>0.26600000000000001</v>
      </c>
      <c r="K113">
        <v>0.80500000000000005</v>
      </c>
      <c r="L113">
        <v>0.48</v>
      </c>
      <c r="M113">
        <v>2.1339999999999999</v>
      </c>
      <c r="N113" t="s">
        <v>10</v>
      </c>
      <c r="O113" t="s">
        <v>11</v>
      </c>
      <c r="P113" t="s">
        <v>445</v>
      </c>
      <c r="Q113" t="s">
        <v>446</v>
      </c>
      <c r="R113">
        <v>11</v>
      </c>
      <c r="S113">
        <v>1.4</v>
      </c>
      <c r="AA113" t="s">
        <v>32</v>
      </c>
    </row>
    <row r="114" spans="1:27" x14ac:dyDescent="0.35">
      <c r="A114">
        <v>113</v>
      </c>
      <c r="F114">
        <v>74.493974980000004</v>
      </c>
      <c r="G114">
        <v>42.485173539999998</v>
      </c>
      <c r="H114">
        <v>3114.0610000000001</v>
      </c>
      <c r="I114">
        <v>0.39600000000000002</v>
      </c>
      <c r="J114">
        <v>0.32600000000000001</v>
      </c>
      <c r="K114">
        <v>0.76</v>
      </c>
      <c r="L114">
        <v>0.51300000000000001</v>
      </c>
      <c r="M114">
        <v>2.1339999999999999</v>
      </c>
      <c r="N114" t="s">
        <v>10</v>
      </c>
      <c r="O114" t="s">
        <v>11</v>
      </c>
      <c r="P114" t="s">
        <v>447</v>
      </c>
      <c r="Q114" t="s">
        <v>448</v>
      </c>
      <c r="R114">
        <v>11</v>
      </c>
      <c r="S114">
        <v>1.4</v>
      </c>
      <c r="AA114" t="s">
        <v>32</v>
      </c>
    </row>
    <row r="115" spans="1:27" x14ac:dyDescent="0.35">
      <c r="A115">
        <v>114</v>
      </c>
      <c r="F115">
        <v>74.493921540000002</v>
      </c>
      <c r="G115">
        <v>42.485202749999999</v>
      </c>
      <c r="H115">
        <v>3114.0189999999998</v>
      </c>
      <c r="I115">
        <v>0.38</v>
      </c>
      <c r="J115">
        <v>0.26100000000000001</v>
      </c>
      <c r="K115">
        <v>0.78100000000000003</v>
      </c>
      <c r="L115">
        <v>0.46100000000000002</v>
      </c>
      <c r="M115">
        <v>2.1339999999999999</v>
      </c>
      <c r="N115" t="s">
        <v>10</v>
      </c>
      <c r="O115" t="s">
        <v>11</v>
      </c>
      <c r="P115" t="s">
        <v>449</v>
      </c>
      <c r="Q115" t="s">
        <v>450</v>
      </c>
      <c r="R115">
        <v>11</v>
      </c>
      <c r="S115">
        <v>1.5</v>
      </c>
      <c r="AA115" t="s">
        <v>32</v>
      </c>
    </row>
    <row r="116" spans="1:27" x14ac:dyDescent="0.35">
      <c r="A116">
        <v>115</v>
      </c>
      <c r="F116">
        <v>74.493880290000007</v>
      </c>
      <c r="G116">
        <v>42.485228929999998</v>
      </c>
      <c r="H116">
        <v>3113.4</v>
      </c>
      <c r="I116">
        <v>0.41899999999999998</v>
      </c>
      <c r="J116">
        <v>0.39700000000000002</v>
      </c>
      <c r="K116">
        <v>0.86699999999999999</v>
      </c>
      <c r="L116">
        <v>0.57699999999999996</v>
      </c>
      <c r="M116">
        <v>2.1339999999999999</v>
      </c>
      <c r="N116" t="s">
        <v>10</v>
      </c>
      <c r="O116" t="s">
        <v>11</v>
      </c>
      <c r="P116" t="s">
        <v>451</v>
      </c>
      <c r="Q116" t="s">
        <v>452</v>
      </c>
      <c r="R116">
        <v>11</v>
      </c>
      <c r="S116">
        <v>1.4</v>
      </c>
      <c r="AA116" t="s">
        <v>32</v>
      </c>
    </row>
    <row r="117" spans="1:27" x14ac:dyDescent="0.35">
      <c r="A117">
        <v>116</v>
      </c>
      <c r="F117">
        <v>74.493830079999995</v>
      </c>
      <c r="G117">
        <v>42.48525901</v>
      </c>
      <c r="H117">
        <v>3112.0549999999998</v>
      </c>
      <c r="I117">
        <v>0.41699999999999998</v>
      </c>
      <c r="J117">
        <v>0.28399999999999997</v>
      </c>
      <c r="K117">
        <v>0.85</v>
      </c>
      <c r="L117">
        <v>0.504</v>
      </c>
      <c r="M117">
        <v>2.1339999999999999</v>
      </c>
      <c r="N117" t="s">
        <v>10</v>
      </c>
      <c r="O117" t="s">
        <v>11</v>
      </c>
      <c r="P117" t="s">
        <v>453</v>
      </c>
      <c r="Q117" t="s">
        <v>454</v>
      </c>
      <c r="R117">
        <v>12</v>
      </c>
      <c r="S117">
        <v>1.3</v>
      </c>
      <c r="AA117" t="s">
        <v>32</v>
      </c>
    </row>
    <row r="118" spans="1:27" x14ac:dyDescent="0.35">
      <c r="A118">
        <v>117</v>
      </c>
      <c r="F118">
        <v>74.493788710000004</v>
      </c>
      <c r="G118">
        <v>42.485282669999997</v>
      </c>
      <c r="H118">
        <v>3110.9290000000001</v>
      </c>
      <c r="I118">
        <v>0.38400000000000001</v>
      </c>
      <c r="J118">
        <v>0.27200000000000002</v>
      </c>
      <c r="K118">
        <v>0.78500000000000003</v>
      </c>
      <c r="L118">
        <v>0.47099999999999997</v>
      </c>
      <c r="M118">
        <v>2.1339999999999999</v>
      </c>
      <c r="N118" t="s">
        <v>10</v>
      </c>
      <c r="O118" t="s">
        <v>11</v>
      </c>
      <c r="P118" t="s">
        <v>455</v>
      </c>
      <c r="Q118" t="s">
        <v>456</v>
      </c>
      <c r="R118">
        <v>12</v>
      </c>
      <c r="S118">
        <v>1.3</v>
      </c>
      <c r="AA118" t="s">
        <v>32</v>
      </c>
    </row>
    <row r="119" spans="1:27" x14ac:dyDescent="0.35">
      <c r="A119">
        <v>118</v>
      </c>
      <c r="F119">
        <v>74.493731389999994</v>
      </c>
      <c r="G119">
        <v>42.485302060000002</v>
      </c>
      <c r="H119">
        <v>3109.9430000000002</v>
      </c>
      <c r="I119">
        <v>0.38900000000000001</v>
      </c>
      <c r="J119">
        <v>0.23499999999999999</v>
      </c>
      <c r="K119">
        <v>0.73199999999999998</v>
      </c>
      <c r="L119">
        <v>0.45500000000000002</v>
      </c>
      <c r="M119">
        <v>2.1339999999999999</v>
      </c>
      <c r="N119" t="s">
        <v>10</v>
      </c>
      <c r="O119" t="s">
        <v>11</v>
      </c>
      <c r="P119" t="s">
        <v>457</v>
      </c>
      <c r="Q119" t="s">
        <v>458</v>
      </c>
      <c r="R119">
        <v>11</v>
      </c>
      <c r="S119">
        <v>1.3</v>
      </c>
      <c r="AA119" t="s">
        <v>32</v>
      </c>
    </row>
    <row r="120" spans="1:27" x14ac:dyDescent="0.35">
      <c r="A120">
        <v>119</v>
      </c>
      <c r="F120">
        <v>74.493693339999993</v>
      </c>
      <c r="G120">
        <v>42.485334600000002</v>
      </c>
      <c r="H120">
        <v>3108.194</v>
      </c>
      <c r="I120">
        <v>0.371</v>
      </c>
      <c r="J120">
        <v>0.318</v>
      </c>
      <c r="K120">
        <v>0.73099999999999998</v>
      </c>
      <c r="L120">
        <v>0.48899999999999999</v>
      </c>
      <c r="M120">
        <v>2.1339999999999999</v>
      </c>
      <c r="N120" t="s">
        <v>10</v>
      </c>
      <c r="O120" t="s">
        <v>11</v>
      </c>
      <c r="P120" t="s">
        <v>459</v>
      </c>
      <c r="Q120" t="s">
        <v>460</v>
      </c>
      <c r="R120">
        <v>11</v>
      </c>
      <c r="S120">
        <v>1.3</v>
      </c>
      <c r="AA120" t="s">
        <v>32</v>
      </c>
    </row>
    <row r="121" spans="1:27" x14ac:dyDescent="0.35">
      <c r="A121">
        <v>120</v>
      </c>
      <c r="F121">
        <v>74.493648699999994</v>
      </c>
      <c r="G121">
        <v>42.485361300000001</v>
      </c>
      <c r="H121">
        <v>3107.404</v>
      </c>
      <c r="I121">
        <v>0.35199999999999998</v>
      </c>
      <c r="J121">
        <v>0.23</v>
      </c>
      <c r="K121">
        <v>0.72799999999999998</v>
      </c>
      <c r="L121">
        <v>0.42099999999999999</v>
      </c>
      <c r="M121">
        <v>2.1339999999999999</v>
      </c>
      <c r="N121" t="s">
        <v>10</v>
      </c>
      <c r="O121" t="s">
        <v>11</v>
      </c>
      <c r="P121" t="s">
        <v>461</v>
      </c>
      <c r="Q121" t="s">
        <v>462</v>
      </c>
      <c r="R121">
        <v>11</v>
      </c>
      <c r="S121">
        <v>1.3</v>
      </c>
      <c r="AA121" t="s">
        <v>32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F72F-3490-414E-991C-2F81D96D2AF1}">
  <dimension ref="A1:K30"/>
  <sheetViews>
    <sheetView workbookViewId="0">
      <selection activeCell="P16" sqref="P16"/>
    </sheetView>
  </sheetViews>
  <sheetFormatPr defaultRowHeight="14.5" x14ac:dyDescent="0.35"/>
  <sheetData>
    <row r="1" spans="1:11" x14ac:dyDescent="0.35">
      <c r="A1" s="9" t="s">
        <v>0</v>
      </c>
      <c r="B1" s="10" t="s">
        <v>989</v>
      </c>
      <c r="C1" s="10" t="s">
        <v>990</v>
      </c>
      <c r="D1" s="45" t="s">
        <v>1040</v>
      </c>
      <c r="E1" s="45"/>
      <c r="F1" s="46" t="s">
        <v>1041</v>
      </c>
      <c r="G1" s="46"/>
      <c r="H1" s="44" t="s">
        <v>1042</v>
      </c>
      <c r="I1" s="44"/>
      <c r="J1" t="s">
        <v>1090</v>
      </c>
    </row>
    <row r="2" spans="1:11" x14ac:dyDescent="0.35">
      <c r="A2" s="9"/>
      <c r="B2" s="10"/>
      <c r="C2" s="10"/>
      <c r="D2" s="11"/>
      <c r="E2" s="11"/>
      <c r="F2" s="12"/>
      <c r="G2" s="12"/>
      <c r="H2" s="9"/>
      <c r="I2" s="9"/>
    </row>
    <row r="3" spans="1:11" x14ac:dyDescent="0.35">
      <c r="A3" s="13" t="s">
        <v>1043</v>
      </c>
      <c r="B3" s="14">
        <v>992.5</v>
      </c>
      <c r="C3" s="1">
        <f>C4</f>
        <v>3143.3359999999998</v>
      </c>
      <c r="D3" s="36">
        <f>B3</f>
        <v>992.5</v>
      </c>
      <c r="E3" s="35">
        <f t="shared" ref="E3:E28" si="0">ABS(C3-MAX(C:C))+0.01</f>
        <v>0.01</v>
      </c>
      <c r="F3" s="9"/>
      <c r="G3" s="9"/>
      <c r="H3" s="17">
        <f>B3-1000</f>
        <v>-7.5</v>
      </c>
      <c r="I3" s="1">
        <f>C3</f>
        <v>3143.3359999999998</v>
      </c>
      <c r="J3">
        <f>H3</f>
        <v>-7.5</v>
      </c>
      <c r="K3">
        <f>I3</f>
        <v>3143.3359999999998</v>
      </c>
    </row>
    <row r="4" spans="1:11" x14ac:dyDescent="0.35">
      <c r="A4" s="17" t="s">
        <v>1044</v>
      </c>
      <c r="B4" s="18">
        <v>1000</v>
      </c>
      <c r="C4">
        <v>3143.3359999999998</v>
      </c>
      <c r="D4" s="19">
        <f>B4</f>
        <v>1000</v>
      </c>
      <c r="E4" s="20">
        <f t="shared" si="0"/>
        <v>0.01</v>
      </c>
      <c r="F4" s="21">
        <f>D4</f>
        <v>1000</v>
      </c>
      <c r="G4" s="22">
        <f>E4</f>
        <v>0.01</v>
      </c>
      <c r="H4" s="17">
        <f t="shared" ref="H4:H27" si="1">B4-1000</f>
        <v>0</v>
      </c>
      <c r="I4" s="17">
        <f>C4</f>
        <v>3143.3359999999998</v>
      </c>
      <c r="J4" s="37">
        <f>D4-1000</f>
        <v>0</v>
      </c>
      <c r="K4">
        <f t="shared" ref="K4:K28" si="2">I4</f>
        <v>3143.3359999999998</v>
      </c>
    </row>
    <row r="5" spans="1:11" x14ac:dyDescent="0.35">
      <c r="A5" s="17" t="s">
        <v>1045</v>
      </c>
      <c r="B5" s="18">
        <f>B4+5</f>
        <v>1005</v>
      </c>
      <c r="C5">
        <v>3141.6930000000002</v>
      </c>
      <c r="D5" s="19">
        <f>D4+(SQRT((B5-B4)^2-(E5-E4)^2))</f>
        <v>1004.7223459212559</v>
      </c>
      <c r="E5" s="20">
        <f t="shared" si="0"/>
        <v>1.6529999999995744</v>
      </c>
      <c r="F5" s="21">
        <f t="shared" ref="F5:G27" si="3">D5</f>
        <v>1004.7223459212559</v>
      </c>
      <c r="G5" s="22">
        <f t="shared" si="3"/>
        <v>1.6529999999995744</v>
      </c>
      <c r="H5" s="17">
        <f t="shared" si="1"/>
        <v>5</v>
      </c>
      <c r="I5" s="17">
        <f t="shared" ref="I5:I27" si="4">C5</f>
        <v>3141.6930000000002</v>
      </c>
      <c r="J5" s="37">
        <f t="shared" ref="J5:J27" si="5">D5-1000</f>
        <v>4.722345921255851</v>
      </c>
      <c r="K5">
        <f t="shared" si="2"/>
        <v>3141.6930000000002</v>
      </c>
    </row>
    <row r="6" spans="1:11" x14ac:dyDescent="0.35">
      <c r="A6" s="17" t="s">
        <v>1046</v>
      </c>
      <c r="B6" s="18">
        <f t="shared" ref="B6:B27" si="6">B5+5</f>
        <v>1010</v>
      </c>
      <c r="C6">
        <v>3140.4769999999999</v>
      </c>
      <c r="D6" s="19">
        <f t="shared" ref="D6:D27" si="7">D5+(SQRT((B6-B5)^2-(E6-E5)^2))</f>
        <v>1009.5722267445339</v>
      </c>
      <c r="E6" s="20">
        <f t="shared" si="0"/>
        <v>2.8689999999999234</v>
      </c>
      <c r="F6" s="21">
        <f t="shared" si="3"/>
        <v>1009.5722267445339</v>
      </c>
      <c r="G6" s="22">
        <f t="shared" si="3"/>
        <v>2.8689999999999234</v>
      </c>
      <c r="H6" s="17">
        <f t="shared" si="1"/>
        <v>10</v>
      </c>
      <c r="I6" s="17">
        <f t="shared" si="4"/>
        <v>3140.4769999999999</v>
      </c>
      <c r="J6" s="37">
        <f t="shared" si="5"/>
        <v>9.5722267445338503</v>
      </c>
      <c r="K6">
        <f t="shared" si="2"/>
        <v>3140.4769999999999</v>
      </c>
    </row>
    <row r="7" spans="1:11" x14ac:dyDescent="0.35">
      <c r="A7" s="17" t="s">
        <v>1047</v>
      </c>
      <c r="B7" s="18">
        <f t="shared" si="6"/>
        <v>1015</v>
      </c>
      <c r="C7">
        <v>3139.2159999999999</v>
      </c>
      <c r="D7" s="19">
        <f t="shared" si="7"/>
        <v>1014.4106024017146</v>
      </c>
      <c r="E7" s="20">
        <f t="shared" si="0"/>
        <v>4.1299999999998906</v>
      </c>
      <c r="F7" s="21">
        <f t="shared" si="3"/>
        <v>1014.4106024017146</v>
      </c>
      <c r="G7" s="22">
        <f t="shared" si="3"/>
        <v>4.1299999999998906</v>
      </c>
      <c r="H7" s="17">
        <f t="shared" si="1"/>
        <v>15</v>
      </c>
      <c r="I7" s="17">
        <f t="shared" si="4"/>
        <v>3139.2159999999999</v>
      </c>
      <c r="J7" s="37">
        <f t="shared" si="5"/>
        <v>14.410602401714641</v>
      </c>
      <c r="K7">
        <f t="shared" si="2"/>
        <v>3139.2159999999999</v>
      </c>
    </row>
    <row r="8" spans="1:11" x14ac:dyDescent="0.35">
      <c r="A8" s="17" t="s">
        <v>1048</v>
      </c>
      <c r="B8" s="18">
        <f t="shared" si="6"/>
        <v>1020</v>
      </c>
      <c r="C8">
        <v>3141.3589999999999</v>
      </c>
      <c r="D8" s="19">
        <f t="shared" si="7"/>
        <v>1018.9280741503811</v>
      </c>
      <c r="E8" s="20">
        <f t="shared" si="0"/>
        <v>1.9869999999998618</v>
      </c>
      <c r="F8" s="21">
        <f t="shared" si="3"/>
        <v>1018.9280741503811</v>
      </c>
      <c r="G8" s="22">
        <f t="shared" si="3"/>
        <v>1.9869999999998618</v>
      </c>
      <c r="H8" s="17">
        <f t="shared" si="1"/>
        <v>20</v>
      </c>
      <c r="I8" s="17">
        <f t="shared" si="4"/>
        <v>3141.3589999999999</v>
      </c>
      <c r="J8" s="37">
        <f t="shared" si="5"/>
        <v>18.928074150381121</v>
      </c>
      <c r="K8">
        <f t="shared" si="2"/>
        <v>3141.3589999999999</v>
      </c>
    </row>
    <row r="9" spans="1:11" x14ac:dyDescent="0.35">
      <c r="A9" s="17" t="s">
        <v>1049</v>
      </c>
      <c r="B9" s="18">
        <f t="shared" si="6"/>
        <v>1025</v>
      </c>
      <c r="C9">
        <v>3142.444</v>
      </c>
      <c r="D9" s="19">
        <f t="shared" si="7"/>
        <v>1023.8089321692134</v>
      </c>
      <c r="E9" s="20">
        <f t="shared" si="0"/>
        <v>0.90199999999982539</v>
      </c>
      <c r="F9" s="21">
        <f t="shared" si="3"/>
        <v>1023.8089321692134</v>
      </c>
      <c r="G9" s="22">
        <f t="shared" si="3"/>
        <v>0.90199999999982539</v>
      </c>
      <c r="H9" s="17">
        <f t="shared" si="1"/>
        <v>25</v>
      </c>
      <c r="I9" s="17">
        <f t="shared" si="4"/>
        <v>3142.444</v>
      </c>
      <c r="J9" s="37">
        <f t="shared" si="5"/>
        <v>23.808932169213449</v>
      </c>
      <c r="K9">
        <f t="shared" si="2"/>
        <v>3142.444</v>
      </c>
    </row>
    <row r="10" spans="1:11" x14ac:dyDescent="0.35">
      <c r="A10" s="17" t="s">
        <v>1050</v>
      </c>
      <c r="B10" s="18">
        <f t="shared" si="6"/>
        <v>1030</v>
      </c>
      <c r="C10">
        <v>3142.8809999999999</v>
      </c>
      <c r="D10" s="19">
        <f t="shared" si="7"/>
        <v>1028.7897986600963</v>
      </c>
      <c r="E10" s="20">
        <f t="shared" si="0"/>
        <v>0.46499999999992725</v>
      </c>
      <c r="F10" s="21">
        <f t="shared" si="3"/>
        <v>1028.7897986600963</v>
      </c>
      <c r="G10" s="22">
        <f t="shared" si="3"/>
        <v>0.46499999999992725</v>
      </c>
      <c r="H10" s="17">
        <f t="shared" si="1"/>
        <v>30</v>
      </c>
      <c r="I10" s="17">
        <f t="shared" si="4"/>
        <v>3142.8809999999999</v>
      </c>
      <c r="J10" s="37">
        <f t="shared" si="5"/>
        <v>28.789798660096267</v>
      </c>
      <c r="K10">
        <f t="shared" si="2"/>
        <v>3142.8809999999999</v>
      </c>
    </row>
    <row r="11" spans="1:11" x14ac:dyDescent="0.35">
      <c r="A11" s="17" t="s">
        <v>1051</v>
      </c>
      <c r="B11" s="18">
        <f t="shared" si="6"/>
        <v>1035</v>
      </c>
      <c r="C11">
        <v>3141.3139999999999</v>
      </c>
      <c r="D11" s="19">
        <f t="shared" si="7"/>
        <v>1033.5379047035624</v>
      </c>
      <c r="E11" s="20">
        <f t="shared" si="0"/>
        <v>2.0319999999999343</v>
      </c>
      <c r="F11" s="21">
        <f t="shared" si="3"/>
        <v>1033.5379047035624</v>
      </c>
      <c r="G11" s="22">
        <f t="shared" si="3"/>
        <v>2.0319999999999343</v>
      </c>
      <c r="H11" s="17">
        <f t="shared" si="1"/>
        <v>35</v>
      </c>
      <c r="I11" s="17">
        <f t="shared" si="4"/>
        <v>3141.3139999999999</v>
      </c>
      <c r="J11" s="37">
        <f t="shared" si="5"/>
        <v>33.53790470356239</v>
      </c>
      <c r="K11">
        <f t="shared" si="2"/>
        <v>3141.3139999999999</v>
      </c>
    </row>
    <row r="12" spans="1:11" x14ac:dyDescent="0.35">
      <c r="A12" s="17" t="s">
        <v>1052</v>
      </c>
      <c r="B12" s="18">
        <f t="shared" si="6"/>
        <v>1040</v>
      </c>
      <c r="C12">
        <v>3140.2849999999999</v>
      </c>
      <c r="D12" s="19">
        <f t="shared" si="7"/>
        <v>1038.4308750693015</v>
      </c>
      <c r="E12" s="20">
        <f t="shared" si="0"/>
        <v>3.0609999999999307</v>
      </c>
      <c r="F12" s="21">
        <f t="shared" si="3"/>
        <v>1038.4308750693015</v>
      </c>
      <c r="G12" s="22">
        <f t="shared" si="3"/>
        <v>3.0609999999999307</v>
      </c>
      <c r="H12" s="17">
        <f t="shared" si="1"/>
        <v>40</v>
      </c>
      <c r="I12" s="17">
        <f t="shared" si="4"/>
        <v>3140.2849999999999</v>
      </c>
      <c r="J12" s="37">
        <f t="shared" si="5"/>
        <v>38.430875069301464</v>
      </c>
      <c r="K12">
        <f t="shared" si="2"/>
        <v>3140.2849999999999</v>
      </c>
    </row>
    <row r="13" spans="1:11" x14ac:dyDescent="0.35">
      <c r="A13" s="17" t="s">
        <v>1053</v>
      </c>
      <c r="B13" s="18">
        <f t="shared" si="6"/>
        <v>1045</v>
      </c>
      <c r="C13">
        <v>3141.239</v>
      </c>
      <c r="D13" s="19">
        <f t="shared" si="7"/>
        <v>1043.3390197289461</v>
      </c>
      <c r="E13" s="20">
        <f t="shared" si="0"/>
        <v>2.1069999999997524</v>
      </c>
      <c r="F13" s="21">
        <f t="shared" si="3"/>
        <v>1043.3390197289461</v>
      </c>
      <c r="G13" s="22">
        <f t="shared" si="3"/>
        <v>2.1069999999997524</v>
      </c>
      <c r="H13" s="17">
        <f t="shared" si="1"/>
        <v>45</v>
      </c>
      <c r="I13" s="17">
        <f t="shared" si="4"/>
        <v>3141.239</v>
      </c>
      <c r="J13" s="37">
        <f t="shared" si="5"/>
        <v>43.339019728946141</v>
      </c>
      <c r="K13">
        <f t="shared" si="2"/>
        <v>3141.239</v>
      </c>
    </row>
    <row r="14" spans="1:11" x14ac:dyDescent="0.35">
      <c r="A14" s="17" t="s">
        <v>1054</v>
      </c>
      <c r="B14" s="18">
        <f t="shared" si="6"/>
        <v>1050</v>
      </c>
      <c r="C14">
        <v>3141.2730000000001</v>
      </c>
      <c r="D14" s="19">
        <f t="shared" si="7"/>
        <v>1048.3389041276098</v>
      </c>
      <c r="E14" s="20">
        <f t="shared" si="0"/>
        <v>2.0729999999996469</v>
      </c>
      <c r="F14" s="21">
        <f t="shared" si="3"/>
        <v>1048.3389041276098</v>
      </c>
      <c r="G14" s="22">
        <f t="shared" si="3"/>
        <v>2.0729999999996469</v>
      </c>
      <c r="H14" s="17">
        <f t="shared" si="1"/>
        <v>50</v>
      </c>
      <c r="I14" s="17">
        <f t="shared" si="4"/>
        <v>3141.2730000000001</v>
      </c>
      <c r="J14" s="37">
        <f t="shared" si="5"/>
        <v>48.338904127609794</v>
      </c>
      <c r="K14">
        <f t="shared" si="2"/>
        <v>3141.2730000000001</v>
      </c>
    </row>
    <row r="15" spans="1:11" x14ac:dyDescent="0.35">
      <c r="A15" s="17" t="s">
        <v>1055</v>
      </c>
      <c r="B15" s="18">
        <f t="shared" si="6"/>
        <v>1055</v>
      </c>
      <c r="C15">
        <v>3139.5059999999999</v>
      </c>
      <c r="D15" s="19">
        <f t="shared" si="7"/>
        <v>1053.0162656701891</v>
      </c>
      <c r="E15" s="20">
        <f t="shared" si="0"/>
        <v>3.839999999999927</v>
      </c>
      <c r="F15" s="21">
        <f t="shared" si="3"/>
        <v>1053.0162656701891</v>
      </c>
      <c r="G15" s="22">
        <f t="shared" si="3"/>
        <v>3.839999999999927</v>
      </c>
      <c r="H15" s="17">
        <f t="shared" si="1"/>
        <v>55</v>
      </c>
      <c r="I15" s="17">
        <f t="shared" si="4"/>
        <v>3139.5059999999999</v>
      </c>
      <c r="J15" s="37">
        <f t="shared" si="5"/>
        <v>53.016265670189114</v>
      </c>
      <c r="K15">
        <f t="shared" si="2"/>
        <v>3139.5059999999999</v>
      </c>
    </row>
    <row r="16" spans="1:11" x14ac:dyDescent="0.35">
      <c r="A16" s="17" t="s">
        <v>1056</v>
      </c>
      <c r="B16" s="18">
        <f t="shared" si="6"/>
        <v>1060</v>
      </c>
      <c r="C16">
        <v>3137.5650000000001</v>
      </c>
      <c r="D16" s="19">
        <f t="shared" si="7"/>
        <v>1057.6241414280628</v>
      </c>
      <c r="E16" s="20">
        <f t="shared" si="0"/>
        <v>5.7809999999997306</v>
      </c>
      <c r="F16" s="21">
        <f t="shared" si="3"/>
        <v>1057.6241414280628</v>
      </c>
      <c r="G16" s="22">
        <f t="shared" si="3"/>
        <v>5.7809999999997306</v>
      </c>
      <c r="H16" s="17">
        <f t="shared" si="1"/>
        <v>60</v>
      </c>
      <c r="I16" s="17">
        <f t="shared" si="4"/>
        <v>3137.5650000000001</v>
      </c>
      <c r="J16" s="37">
        <f t="shared" si="5"/>
        <v>57.624141428062785</v>
      </c>
      <c r="K16">
        <f t="shared" si="2"/>
        <v>3137.5650000000001</v>
      </c>
    </row>
    <row r="17" spans="1:11" x14ac:dyDescent="0.35">
      <c r="A17" s="17" t="s">
        <v>1057</v>
      </c>
      <c r="B17" s="18">
        <f t="shared" si="6"/>
        <v>1065</v>
      </c>
      <c r="C17">
        <v>3136.998</v>
      </c>
      <c r="D17" s="19">
        <f t="shared" si="7"/>
        <v>1062.5918885029448</v>
      </c>
      <c r="E17" s="20">
        <f t="shared" si="0"/>
        <v>6.3479999999997379</v>
      </c>
      <c r="F17" s="21">
        <f t="shared" si="3"/>
        <v>1062.5918885029448</v>
      </c>
      <c r="G17" s="22">
        <f t="shared" si="3"/>
        <v>6.3479999999997379</v>
      </c>
      <c r="H17" s="17">
        <f t="shared" si="1"/>
        <v>65</v>
      </c>
      <c r="I17" s="17">
        <f t="shared" si="4"/>
        <v>3136.998</v>
      </c>
      <c r="J17" s="37">
        <f t="shared" si="5"/>
        <v>62.591888502944812</v>
      </c>
      <c r="K17">
        <f t="shared" si="2"/>
        <v>3136.998</v>
      </c>
    </row>
    <row r="18" spans="1:11" x14ac:dyDescent="0.35">
      <c r="A18" s="17" t="s">
        <v>1058</v>
      </c>
      <c r="B18" s="18">
        <f t="shared" si="6"/>
        <v>1070</v>
      </c>
      <c r="C18">
        <v>3135.8150000000001</v>
      </c>
      <c r="D18" s="19">
        <f t="shared" si="7"/>
        <v>1067.4499242170994</v>
      </c>
      <c r="E18" s="20">
        <f t="shared" si="0"/>
        <v>7.5309999999997306</v>
      </c>
      <c r="F18" s="21">
        <f t="shared" si="3"/>
        <v>1067.4499242170994</v>
      </c>
      <c r="G18" s="22">
        <f t="shared" si="3"/>
        <v>7.5309999999997306</v>
      </c>
      <c r="H18" s="17">
        <f t="shared" si="1"/>
        <v>70</v>
      </c>
      <c r="I18" s="17">
        <f t="shared" si="4"/>
        <v>3135.8150000000001</v>
      </c>
      <c r="J18" s="37">
        <f t="shared" si="5"/>
        <v>67.449924217099351</v>
      </c>
      <c r="K18">
        <f t="shared" si="2"/>
        <v>3135.8150000000001</v>
      </c>
    </row>
    <row r="19" spans="1:11" x14ac:dyDescent="0.35">
      <c r="A19" s="17" t="s">
        <v>1059</v>
      </c>
      <c r="B19" s="18">
        <f t="shared" si="6"/>
        <v>1075</v>
      </c>
      <c r="C19">
        <v>3134.556</v>
      </c>
      <c r="D19" s="19">
        <f t="shared" si="7"/>
        <v>1072.2888206822038</v>
      </c>
      <c r="E19" s="20">
        <f t="shared" si="0"/>
        <v>8.7899999999997451</v>
      </c>
      <c r="F19" s="21">
        <f t="shared" si="3"/>
        <v>1072.2888206822038</v>
      </c>
      <c r="G19" s="22">
        <f t="shared" si="3"/>
        <v>8.7899999999997451</v>
      </c>
      <c r="H19" s="17">
        <f t="shared" si="1"/>
        <v>75</v>
      </c>
      <c r="I19" s="17">
        <f t="shared" si="4"/>
        <v>3134.556</v>
      </c>
      <c r="J19" s="37">
        <f t="shared" si="5"/>
        <v>72.288820682203777</v>
      </c>
      <c r="K19">
        <f t="shared" si="2"/>
        <v>3134.556</v>
      </c>
    </row>
    <row r="20" spans="1:11" x14ac:dyDescent="0.35">
      <c r="A20" s="17" t="s">
        <v>1060</v>
      </c>
      <c r="B20" s="18">
        <f t="shared" si="6"/>
        <v>1080</v>
      </c>
      <c r="C20">
        <v>3133.721</v>
      </c>
      <c r="D20" s="19">
        <f t="shared" si="7"/>
        <v>1077.2186051602514</v>
      </c>
      <c r="E20" s="20">
        <f t="shared" si="0"/>
        <v>9.6249999999997815</v>
      </c>
      <c r="F20" s="21">
        <f t="shared" si="3"/>
        <v>1077.2186051602514</v>
      </c>
      <c r="G20" s="22">
        <f t="shared" si="3"/>
        <v>9.6249999999997815</v>
      </c>
      <c r="H20" s="17">
        <f t="shared" si="1"/>
        <v>80</v>
      </c>
      <c r="I20" s="17">
        <f t="shared" si="4"/>
        <v>3133.721</v>
      </c>
      <c r="J20" s="37">
        <f t="shared" si="5"/>
        <v>77.2186051602514</v>
      </c>
      <c r="K20">
        <f t="shared" si="2"/>
        <v>3133.721</v>
      </c>
    </row>
    <row r="21" spans="1:11" x14ac:dyDescent="0.35">
      <c r="A21" s="17" t="s">
        <v>1061</v>
      </c>
      <c r="B21" s="18">
        <f t="shared" si="6"/>
        <v>1085</v>
      </c>
      <c r="C21">
        <v>3133.2359999999999</v>
      </c>
      <c r="D21" s="19">
        <f t="shared" si="7"/>
        <v>1082.1950270676061</v>
      </c>
      <c r="E21" s="20">
        <f t="shared" si="0"/>
        <v>10.109999999999909</v>
      </c>
      <c r="F21" s="21">
        <f t="shared" si="3"/>
        <v>1082.1950270676061</v>
      </c>
      <c r="G21" s="22">
        <f t="shared" si="3"/>
        <v>10.109999999999909</v>
      </c>
      <c r="H21" s="17">
        <f t="shared" si="1"/>
        <v>85</v>
      </c>
      <c r="I21" s="17">
        <f t="shared" si="4"/>
        <v>3133.2359999999999</v>
      </c>
      <c r="J21" s="37">
        <f t="shared" si="5"/>
        <v>82.195027067606134</v>
      </c>
      <c r="K21">
        <f t="shared" si="2"/>
        <v>3133.2359999999999</v>
      </c>
    </row>
    <row r="22" spans="1:11" x14ac:dyDescent="0.35">
      <c r="A22" s="17" t="s">
        <v>1062</v>
      </c>
      <c r="B22" s="18">
        <f t="shared" si="6"/>
        <v>1090</v>
      </c>
      <c r="C22">
        <v>3132.5010000000002</v>
      </c>
      <c r="D22" s="19">
        <f t="shared" si="7"/>
        <v>1087.1407095280963</v>
      </c>
      <c r="E22" s="20">
        <f t="shared" si="0"/>
        <v>10.844999999999581</v>
      </c>
      <c r="F22" s="21">
        <f t="shared" si="3"/>
        <v>1087.1407095280963</v>
      </c>
      <c r="G22" s="22">
        <f t="shared" si="3"/>
        <v>10.844999999999581</v>
      </c>
      <c r="H22" s="17">
        <f t="shared" si="1"/>
        <v>90</v>
      </c>
      <c r="I22" s="17">
        <f t="shared" si="4"/>
        <v>3132.5010000000002</v>
      </c>
      <c r="J22" s="37">
        <f t="shared" si="5"/>
        <v>87.140709528096295</v>
      </c>
      <c r="K22">
        <f t="shared" si="2"/>
        <v>3132.5010000000002</v>
      </c>
    </row>
    <row r="23" spans="1:11" x14ac:dyDescent="0.35">
      <c r="A23" s="17" t="s">
        <v>1063</v>
      </c>
      <c r="B23" s="18">
        <f t="shared" si="6"/>
        <v>1095</v>
      </c>
      <c r="C23">
        <v>3131.6320000000001</v>
      </c>
      <c r="D23" s="19">
        <f t="shared" si="7"/>
        <v>1092.0646143809545</v>
      </c>
      <c r="E23" s="20">
        <f t="shared" si="0"/>
        <v>11.713999999999723</v>
      </c>
      <c r="F23" s="21">
        <f t="shared" si="3"/>
        <v>1092.0646143809545</v>
      </c>
      <c r="G23" s="22">
        <f t="shared" si="3"/>
        <v>11.713999999999723</v>
      </c>
      <c r="H23" s="17">
        <f t="shared" si="1"/>
        <v>95</v>
      </c>
      <c r="I23" s="17">
        <f t="shared" si="4"/>
        <v>3131.6320000000001</v>
      </c>
      <c r="J23" s="37">
        <f t="shared" si="5"/>
        <v>92.064614380954481</v>
      </c>
      <c r="K23">
        <f t="shared" si="2"/>
        <v>3131.6320000000001</v>
      </c>
    </row>
    <row r="24" spans="1:11" x14ac:dyDescent="0.35">
      <c r="A24" s="17" t="s">
        <v>1064</v>
      </c>
      <c r="B24" s="18">
        <f t="shared" si="6"/>
        <v>1100</v>
      </c>
      <c r="C24">
        <v>3132.19</v>
      </c>
      <c r="D24" s="19">
        <f t="shared" si="7"/>
        <v>1097.0333804249537</v>
      </c>
      <c r="E24" s="20">
        <f t="shared" si="0"/>
        <v>11.155999999999731</v>
      </c>
      <c r="F24" s="21">
        <f t="shared" si="3"/>
        <v>1097.0333804249537</v>
      </c>
      <c r="G24" s="22">
        <f t="shared" si="3"/>
        <v>11.155999999999731</v>
      </c>
      <c r="H24" s="17">
        <f t="shared" si="1"/>
        <v>100</v>
      </c>
      <c r="I24" s="17">
        <f t="shared" si="4"/>
        <v>3132.19</v>
      </c>
      <c r="J24" s="37">
        <f t="shared" si="5"/>
        <v>97.033380424953748</v>
      </c>
      <c r="K24">
        <f t="shared" si="2"/>
        <v>3132.19</v>
      </c>
    </row>
    <row r="25" spans="1:11" x14ac:dyDescent="0.35">
      <c r="A25" s="17" t="s">
        <v>1065</v>
      </c>
      <c r="B25" s="18">
        <f t="shared" si="6"/>
        <v>1105</v>
      </c>
      <c r="C25">
        <v>3130.837</v>
      </c>
      <c r="D25" s="19">
        <f t="shared" si="7"/>
        <v>1101.8468397838765</v>
      </c>
      <c r="E25" s="20">
        <f t="shared" si="0"/>
        <v>12.508999999999796</v>
      </c>
      <c r="F25" s="21">
        <f t="shared" si="3"/>
        <v>1101.8468397838765</v>
      </c>
      <c r="G25" s="22">
        <f t="shared" si="3"/>
        <v>12.508999999999796</v>
      </c>
      <c r="H25" s="17">
        <f t="shared" si="1"/>
        <v>105</v>
      </c>
      <c r="I25" s="17">
        <f t="shared" si="4"/>
        <v>3130.837</v>
      </c>
      <c r="J25" s="37">
        <f t="shared" si="5"/>
        <v>101.84683978387648</v>
      </c>
      <c r="K25">
        <f t="shared" si="2"/>
        <v>3130.837</v>
      </c>
    </row>
    <row r="26" spans="1:11" x14ac:dyDescent="0.35">
      <c r="A26" s="17" t="s">
        <v>1066</v>
      </c>
      <c r="B26" s="18">
        <f t="shared" si="6"/>
        <v>1110</v>
      </c>
      <c r="C26">
        <v>3129.13</v>
      </c>
      <c r="D26" s="19">
        <f t="shared" si="7"/>
        <v>1106.5464302979533</v>
      </c>
      <c r="E26" s="20">
        <f t="shared" si="0"/>
        <v>14.215999999999676</v>
      </c>
      <c r="F26" s="21">
        <f t="shared" si="3"/>
        <v>1106.5464302979533</v>
      </c>
      <c r="G26" s="22">
        <f t="shared" si="3"/>
        <v>14.215999999999676</v>
      </c>
      <c r="H26" s="17">
        <f t="shared" si="1"/>
        <v>110</v>
      </c>
      <c r="I26" s="17">
        <f t="shared" si="4"/>
        <v>3129.13</v>
      </c>
      <c r="J26" s="37">
        <f t="shared" si="5"/>
        <v>106.54643029795329</v>
      </c>
      <c r="K26">
        <f t="shared" si="2"/>
        <v>3129.13</v>
      </c>
    </row>
    <row r="27" spans="1:11" x14ac:dyDescent="0.35">
      <c r="A27" s="17" t="s">
        <v>1067</v>
      </c>
      <c r="B27" s="18">
        <f t="shared" si="6"/>
        <v>1115</v>
      </c>
      <c r="C27">
        <v>3129.8589999999999</v>
      </c>
      <c r="D27" s="19">
        <f t="shared" si="7"/>
        <v>1111.4930007260377</v>
      </c>
      <c r="E27" s="20">
        <f t="shared" si="0"/>
        <v>13.486999999999862</v>
      </c>
      <c r="F27" s="21">
        <f t="shared" si="3"/>
        <v>1111.4930007260377</v>
      </c>
      <c r="G27" s="22">
        <f t="shared" si="3"/>
        <v>13.486999999999862</v>
      </c>
      <c r="H27" s="17">
        <f t="shared" si="1"/>
        <v>115</v>
      </c>
      <c r="I27" s="17">
        <f t="shared" si="4"/>
        <v>3129.8589999999999</v>
      </c>
      <c r="J27" s="37">
        <f t="shared" si="5"/>
        <v>111.49300072603774</v>
      </c>
      <c r="K27">
        <f t="shared" si="2"/>
        <v>3129.8589999999999</v>
      </c>
    </row>
    <row r="28" spans="1:11" x14ac:dyDescent="0.35">
      <c r="A28" s="13" t="s">
        <v>1070</v>
      </c>
      <c r="B28" s="18">
        <v>1122.5</v>
      </c>
      <c r="C28">
        <v>3127.8960000000002</v>
      </c>
      <c r="D28" s="34">
        <f>D27+(SQRT((B28-B27)^2-(E28-E27)^2))</f>
        <v>1118.7315524458227</v>
      </c>
      <c r="E28" s="35">
        <f t="shared" si="0"/>
        <v>15.4499999999996</v>
      </c>
      <c r="F28" s="17"/>
      <c r="G28" s="17"/>
      <c r="H28" s="17">
        <v>122.5</v>
      </c>
      <c r="I28" s="1">
        <f>I27-0.5</f>
        <v>3129.3589999999999</v>
      </c>
      <c r="J28" s="37">
        <f>D28-1000</f>
        <v>118.73155244582267</v>
      </c>
      <c r="K28">
        <f t="shared" si="2"/>
        <v>3129.3589999999999</v>
      </c>
    </row>
    <row r="30" spans="1:11" x14ac:dyDescent="0.35">
      <c r="A30" t="s">
        <v>1069</v>
      </c>
      <c r="B30">
        <v>5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9"/>
  <sheetViews>
    <sheetView workbookViewId="0">
      <selection activeCell="H49" sqref="H2:H49"/>
    </sheetView>
  </sheetViews>
  <sheetFormatPr defaultColWidth="10.81640625" defaultRowHeight="14.5" x14ac:dyDescent="0.35"/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7</v>
      </c>
      <c r="S1" s="1" t="s">
        <v>8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9</v>
      </c>
      <c r="AA1" s="1" t="s">
        <v>28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s="1">
        <v>1</v>
      </c>
      <c r="B2" s="1"/>
      <c r="C2" s="1"/>
      <c r="D2" s="1"/>
      <c r="E2" s="1"/>
      <c r="F2" s="1">
        <v>74.489908240000005</v>
      </c>
      <c r="G2" s="1">
        <v>42.488778449999998</v>
      </c>
      <c r="H2" s="1">
        <v>3021.2080000000001</v>
      </c>
      <c r="I2" s="1">
        <v>0.56299999999999994</v>
      </c>
      <c r="J2" s="1">
        <v>0.42899999999999999</v>
      </c>
      <c r="K2" s="1">
        <v>1.302</v>
      </c>
      <c r="L2" s="2">
        <v>0.70799999999999996</v>
      </c>
      <c r="M2" s="1">
        <v>2.1339999999999999</v>
      </c>
      <c r="N2" s="1" t="s">
        <v>10</v>
      </c>
      <c r="O2" s="2" t="s">
        <v>11</v>
      </c>
      <c r="P2" s="1" t="s">
        <v>463</v>
      </c>
      <c r="Q2" s="1" t="s">
        <v>464</v>
      </c>
      <c r="R2" s="1">
        <v>11</v>
      </c>
      <c r="S2" s="1">
        <v>1.5</v>
      </c>
      <c r="T2" s="1"/>
      <c r="U2" s="1"/>
      <c r="V2" s="1"/>
      <c r="W2" s="1"/>
      <c r="X2" s="1"/>
      <c r="Y2" s="1"/>
      <c r="Z2" s="1"/>
      <c r="AA2" s="1" t="s">
        <v>32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5">
      <c r="A3" s="1">
        <v>2</v>
      </c>
      <c r="B3" s="1"/>
      <c r="C3" s="1"/>
      <c r="D3" s="1"/>
      <c r="E3" s="1"/>
      <c r="F3" s="1">
        <v>74.489962779999999</v>
      </c>
      <c r="G3" s="1">
        <v>42.488774110000001</v>
      </c>
      <c r="H3" s="1">
        <v>3022.489</v>
      </c>
      <c r="I3" s="1">
        <v>0.58199999999999996</v>
      </c>
      <c r="J3" s="1">
        <v>0.43099999999999999</v>
      </c>
      <c r="K3" s="1">
        <v>1.304</v>
      </c>
      <c r="L3" s="2">
        <v>0.72399999999999998</v>
      </c>
      <c r="M3" s="1">
        <v>2.1339999999999999</v>
      </c>
      <c r="N3" s="1" t="s">
        <v>10</v>
      </c>
      <c r="O3" s="2" t="s">
        <v>11</v>
      </c>
      <c r="P3" s="1" t="s">
        <v>465</v>
      </c>
      <c r="Q3" s="1" t="s">
        <v>466</v>
      </c>
      <c r="R3" s="1">
        <v>8</v>
      </c>
      <c r="S3" s="1">
        <v>1.5</v>
      </c>
      <c r="T3" s="1"/>
      <c r="U3" s="1"/>
      <c r="V3" s="1"/>
      <c r="W3" s="1"/>
      <c r="X3" s="1"/>
      <c r="Y3" s="1"/>
      <c r="Z3" s="1"/>
      <c r="AA3" s="1" t="s">
        <v>32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5">
      <c r="A4" s="1">
        <v>3</v>
      </c>
      <c r="B4" s="1"/>
      <c r="C4" s="1"/>
      <c r="D4" s="1"/>
      <c r="E4" s="1"/>
      <c r="F4" s="1">
        <v>74.490024629999994</v>
      </c>
      <c r="G4" s="1">
        <v>42.488761019999998</v>
      </c>
      <c r="H4" s="1">
        <v>3025.1089999999999</v>
      </c>
      <c r="I4" s="1">
        <v>0.51400000000000001</v>
      </c>
      <c r="J4" s="1">
        <v>0.38100000000000001</v>
      </c>
      <c r="K4" s="1">
        <v>1.1619999999999999</v>
      </c>
      <c r="L4" s="2">
        <v>0.64</v>
      </c>
      <c r="M4" s="1">
        <v>2.1339999999999999</v>
      </c>
      <c r="N4" s="1" t="s">
        <v>10</v>
      </c>
      <c r="O4" s="2" t="s">
        <v>11</v>
      </c>
      <c r="P4" s="1" t="s">
        <v>467</v>
      </c>
      <c r="Q4" s="1" t="s">
        <v>468</v>
      </c>
      <c r="R4" s="1">
        <v>9</v>
      </c>
      <c r="S4" s="1">
        <v>1.5</v>
      </c>
      <c r="T4" s="1"/>
      <c r="U4" s="1"/>
      <c r="V4" s="1"/>
      <c r="W4" s="1"/>
      <c r="X4" s="1"/>
      <c r="Y4" s="1"/>
      <c r="Z4" s="1"/>
      <c r="AA4" s="1" t="s">
        <v>32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5">
      <c r="A5" s="1">
        <v>4</v>
      </c>
      <c r="B5" s="1"/>
      <c r="C5" s="1"/>
      <c r="D5" s="1"/>
      <c r="E5" s="1"/>
      <c r="F5" s="1">
        <v>74.490084479999993</v>
      </c>
      <c r="G5" s="1">
        <v>42.48875735</v>
      </c>
      <c r="H5" s="1">
        <v>3027.86</v>
      </c>
      <c r="I5" s="1">
        <v>0.43099999999999999</v>
      </c>
      <c r="J5" s="1">
        <v>0.318</v>
      </c>
      <c r="K5" s="1">
        <v>0.90400000000000003</v>
      </c>
      <c r="L5" s="2">
        <v>0.53500000000000003</v>
      </c>
      <c r="M5" s="1">
        <v>2.1339999999999999</v>
      </c>
      <c r="N5" s="1" t="s">
        <v>10</v>
      </c>
      <c r="O5" s="2" t="s">
        <v>11</v>
      </c>
      <c r="P5" s="1" t="s">
        <v>469</v>
      </c>
      <c r="Q5" s="1" t="s">
        <v>470</v>
      </c>
      <c r="R5" s="1">
        <v>8</v>
      </c>
      <c r="S5" s="1">
        <v>1.5</v>
      </c>
      <c r="T5" s="1"/>
      <c r="U5" s="1"/>
      <c r="V5" s="1"/>
      <c r="W5" s="1"/>
      <c r="X5" s="1"/>
      <c r="Y5" s="1"/>
      <c r="Z5" s="1"/>
      <c r="AA5" s="1" t="s">
        <v>32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5">
      <c r="A6" s="1">
        <v>5</v>
      </c>
      <c r="B6" s="1"/>
      <c r="C6" s="1"/>
      <c r="D6" s="1"/>
      <c r="E6" s="1"/>
      <c r="F6" s="1">
        <v>74.490141390000005</v>
      </c>
      <c r="G6" s="1">
        <v>42.488746489999997</v>
      </c>
      <c r="H6" s="1">
        <v>3029.7660000000001</v>
      </c>
      <c r="I6" s="1">
        <v>0.36499999999999999</v>
      </c>
      <c r="J6" s="1">
        <v>0.28899999999999998</v>
      </c>
      <c r="K6" s="1">
        <v>0.77100000000000002</v>
      </c>
      <c r="L6" s="2">
        <v>0.46600000000000003</v>
      </c>
      <c r="M6" s="1">
        <v>2.1339999999999999</v>
      </c>
      <c r="N6" s="1" t="s">
        <v>10</v>
      </c>
      <c r="O6" s="2" t="s">
        <v>11</v>
      </c>
      <c r="P6" s="1" t="s">
        <v>471</v>
      </c>
      <c r="Q6" s="1" t="s">
        <v>472</v>
      </c>
      <c r="R6" s="1">
        <v>9</v>
      </c>
      <c r="S6" s="1">
        <v>1.5</v>
      </c>
      <c r="T6" s="1"/>
      <c r="U6" s="1"/>
      <c r="V6" s="1"/>
      <c r="W6" s="1"/>
      <c r="X6" s="1"/>
      <c r="Y6" s="1"/>
      <c r="Z6" s="1"/>
      <c r="AA6" s="1" t="s">
        <v>32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5">
      <c r="A7" s="1">
        <v>6</v>
      </c>
      <c r="B7" s="1"/>
      <c r="C7" s="1"/>
      <c r="D7" s="1"/>
      <c r="E7" s="1"/>
      <c r="F7" s="1">
        <v>74.490198359999994</v>
      </c>
      <c r="G7" s="1">
        <v>42.488743030000002</v>
      </c>
      <c r="H7" s="1">
        <v>3031.085</v>
      </c>
      <c r="I7" s="1">
        <v>0.39500000000000002</v>
      </c>
      <c r="J7" s="1">
        <v>0.26</v>
      </c>
      <c r="K7" s="1">
        <v>0.754</v>
      </c>
      <c r="L7" s="2">
        <v>0.47299999999999998</v>
      </c>
      <c r="M7" s="1">
        <v>2.1339999999999999</v>
      </c>
      <c r="N7" s="1" t="s">
        <v>10</v>
      </c>
      <c r="O7" s="2" t="s">
        <v>11</v>
      </c>
      <c r="P7" s="1" t="s">
        <v>473</v>
      </c>
      <c r="Q7" s="1" t="s">
        <v>474</v>
      </c>
      <c r="R7" s="1">
        <v>8</v>
      </c>
      <c r="S7" s="1">
        <v>1.7</v>
      </c>
      <c r="T7" s="1"/>
      <c r="U7" s="1"/>
      <c r="V7" s="1"/>
      <c r="W7" s="1"/>
      <c r="X7" s="1"/>
      <c r="Y7" s="1"/>
      <c r="Z7" s="1"/>
      <c r="AA7" s="1" t="s">
        <v>32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5">
      <c r="A8" s="1">
        <v>7</v>
      </c>
      <c r="B8" s="1"/>
      <c r="C8" s="1"/>
      <c r="D8" s="1"/>
      <c r="E8" s="1"/>
      <c r="F8" s="1">
        <v>74.490254379999996</v>
      </c>
      <c r="G8" s="1">
        <v>42.488730959999998</v>
      </c>
      <c r="H8" s="1">
        <v>3032.5970000000002</v>
      </c>
      <c r="I8" s="1">
        <v>0.36899999999999999</v>
      </c>
      <c r="J8" s="1">
        <v>0.26600000000000001</v>
      </c>
      <c r="K8" s="1">
        <v>0.77</v>
      </c>
      <c r="L8" s="2">
        <v>0.45500000000000002</v>
      </c>
      <c r="M8" s="1">
        <v>2.1339999999999999</v>
      </c>
      <c r="N8" s="1" t="s">
        <v>10</v>
      </c>
      <c r="O8" s="2" t="s">
        <v>11</v>
      </c>
      <c r="P8" s="1" t="s">
        <v>475</v>
      </c>
      <c r="Q8" s="1" t="s">
        <v>476</v>
      </c>
      <c r="R8" s="1">
        <v>9</v>
      </c>
      <c r="S8" s="1">
        <v>1.7</v>
      </c>
      <c r="T8" s="1"/>
      <c r="U8" s="1"/>
      <c r="V8" s="1"/>
      <c r="W8" s="1"/>
      <c r="X8" s="1"/>
      <c r="Y8" s="1"/>
      <c r="Z8" s="1"/>
      <c r="AA8" s="1" t="s">
        <v>32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35">
      <c r="A9" s="1">
        <v>8</v>
      </c>
      <c r="B9" s="1"/>
      <c r="C9" s="1"/>
      <c r="D9" s="1"/>
      <c r="E9" s="1"/>
      <c r="F9" s="1">
        <v>74.4902996</v>
      </c>
      <c r="G9" s="1">
        <v>42.488723200000003</v>
      </c>
      <c r="H9" s="1">
        <v>3033.7840000000001</v>
      </c>
      <c r="I9" s="1">
        <v>0.374</v>
      </c>
      <c r="J9" s="1">
        <v>0.26600000000000001</v>
      </c>
      <c r="K9" s="1">
        <v>0.746</v>
      </c>
      <c r="L9" s="2">
        <v>0.45900000000000002</v>
      </c>
      <c r="M9" s="1">
        <v>2.1339999999999999</v>
      </c>
      <c r="N9" s="1" t="s">
        <v>10</v>
      </c>
      <c r="O9" s="2" t="s">
        <v>11</v>
      </c>
      <c r="P9" s="1" t="s">
        <v>477</v>
      </c>
      <c r="Q9" s="1" t="s">
        <v>478</v>
      </c>
      <c r="R9" s="1">
        <v>9</v>
      </c>
      <c r="S9" s="1">
        <v>1.7</v>
      </c>
      <c r="T9" s="1"/>
      <c r="U9" s="1"/>
      <c r="V9" s="1"/>
      <c r="W9" s="1"/>
      <c r="X9" s="1"/>
      <c r="Y9" s="1"/>
      <c r="Z9" s="1"/>
      <c r="AA9" s="1" t="s">
        <v>32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5">
      <c r="A10" s="1">
        <v>9</v>
      </c>
      <c r="B10" s="1"/>
      <c r="C10" s="1"/>
      <c r="D10" s="1"/>
      <c r="E10" s="1"/>
      <c r="F10" s="1">
        <v>74.490359810000001</v>
      </c>
      <c r="G10" s="1">
        <v>42.488719289999999</v>
      </c>
      <c r="H10" s="1">
        <v>3034.7379999999998</v>
      </c>
      <c r="I10" s="1">
        <v>0.39</v>
      </c>
      <c r="J10" s="1">
        <v>0.311</v>
      </c>
      <c r="K10" s="1">
        <v>0.85599999999999998</v>
      </c>
      <c r="L10" s="2">
        <v>0.499</v>
      </c>
      <c r="M10" s="1">
        <v>2.1339999999999999</v>
      </c>
      <c r="N10" s="1" t="s">
        <v>10</v>
      </c>
      <c r="O10" s="2" t="s">
        <v>11</v>
      </c>
      <c r="P10" s="1" t="s">
        <v>479</v>
      </c>
      <c r="Q10" s="1" t="s">
        <v>480</v>
      </c>
      <c r="R10" s="1">
        <v>8</v>
      </c>
      <c r="S10" s="1">
        <v>1.7</v>
      </c>
      <c r="T10" s="1"/>
      <c r="U10" s="1"/>
      <c r="V10" s="1"/>
      <c r="W10" s="1"/>
      <c r="X10" s="1"/>
      <c r="Y10" s="1"/>
      <c r="Z10" s="1"/>
      <c r="AA10" s="1" t="s">
        <v>32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35">
      <c r="A11" s="1">
        <v>10</v>
      </c>
      <c r="B11" s="1"/>
      <c r="C11" s="1"/>
      <c r="D11" s="1"/>
      <c r="E11" s="1"/>
      <c r="F11" s="1">
        <v>74.490411330000001</v>
      </c>
      <c r="G11" s="1">
        <v>42.488706499999999</v>
      </c>
      <c r="H11" s="1">
        <v>3035.9470000000001</v>
      </c>
      <c r="I11" s="1">
        <v>0.52600000000000002</v>
      </c>
      <c r="J11" s="1">
        <v>0.40600000000000003</v>
      </c>
      <c r="K11" s="1">
        <v>1.202</v>
      </c>
      <c r="L11" s="2">
        <v>0.66400000000000003</v>
      </c>
      <c r="M11" s="1">
        <v>2.1339999999999999</v>
      </c>
      <c r="N11" s="1" t="s">
        <v>10</v>
      </c>
      <c r="O11" s="2" t="s">
        <v>11</v>
      </c>
      <c r="P11" s="1" t="s">
        <v>481</v>
      </c>
      <c r="Q11" s="1" t="s">
        <v>482</v>
      </c>
      <c r="R11" s="1">
        <v>9</v>
      </c>
      <c r="S11" s="1">
        <v>1.7</v>
      </c>
      <c r="T11" s="1"/>
      <c r="U11" s="1"/>
      <c r="V11" s="1"/>
      <c r="W11" s="1"/>
      <c r="X11" s="1"/>
      <c r="Y11" s="1"/>
      <c r="Z11" s="1"/>
      <c r="AA11" s="1" t="s">
        <v>32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35">
      <c r="A12" s="1">
        <v>11</v>
      </c>
      <c r="B12" s="1"/>
      <c r="C12" s="1"/>
      <c r="D12" s="1"/>
      <c r="E12" s="1"/>
      <c r="F12" s="1">
        <v>74.490462870000002</v>
      </c>
      <c r="G12" s="1">
        <v>42.488693140000002</v>
      </c>
      <c r="H12" s="1">
        <v>3036.4969999999998</v>
      </c>
      <c r="I12" s="1">
        <v>0.56100000000000005</v>
      </c>
      <c r="J12" s="1">
        <v>0.433</v>
      </c>
      <c r="K12" s="1">
        <v>1.3009999999999999</v>
      </c>
      <c r="L12" s="2">
        <v>0.70899999999999996</v>
      </c>
      <c r="M12" s="1">
        <v>2.1339999999999999</v>
      </c>
      <c r="N12" s="1" t="s">
        <v>10</v>
      </c>
      <c r="O12" s="2" t="s">
        <v>11</v>
      </c>
      <c r="P12" s="1" t="s">
        <v>483</v>
      </c>
      <c r="Q12" s="1" t="s">
        <v>484</v>
      </c>
      <c r="R12" s="1">
        <v>8</v>
      </c>
      <c r="S12" s="1">
        <v>1.7</v>
      </c>
      <c r="T12" s="1"/>
      <c r="U12" s="1"/>
      <c r="V12" s="1"/>
      <c r="W12" s="1"/>
      <c r="X12" s="1"/>
      <c r="Y12" s="1"/>
      <c r="Z12" s="1"/>
      <c r="AA12" s="1" t="s">
        <v>32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35">
      <c r="A13" s="1">
        <v>12</v>
      </c>
      <c r="B13" s="1"/>
      <c r="C13" s="1"/>
      <c r="D13" s="1"/>
      <c r="E13" s="1"/>
      <c r="F13" s="1">
        <v>74.490521150000006</v>
      </c>
      <c r="G13" s="1">
        <v>42.488684489999997</v>
      </c>
      <c r="H13" s="1">
        <v>3037.1619999999998</v>
      </c>
      <c r="I13" s="1">
        <v>0.57799999999999996</v>
      </c>
      <c r="J13" s="1">
        <v>0.44</v>
      </c>
      <c r="K13" s="1">
        <v>1.302</v>
      </c>
      <c r="L13" s="2">
        <v>0.72699999999999998</v>
      </c>
      <c r="M13" s="1">
        <v>2.1339999999999999</v>
      </c>
      <c r="N13" s="1" t="s">
        <v>10</v>
      </c>
      <c r="O13" s="2" t="s">
        <v>11</v>
      </c>
      <c r="P13" s="1" t="s">
        <v>485</v>
      </c>
      <c r="Q13" s="1" t="s">
        <v>486</v>
      </c>
      <c r="R13" s="1">
        <v>9</v>
      </c>
      <c r="S13" s="1">
        <v>1.7</v>
      </c>
      <c r="T13" s="1"/>
      <c r="U13" s="1"/>
      <c r="V13" s="1"/>
      <c r="W13" s="1"/>
      <c r="X13" s="1"/>
      <c r="Y13" s="1"/>
      <c r="Z13" s="1"/>
      <c r="AA13" s="1" t="s">
        <v>32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35">
      <c r="A14" s="1">
        <v>13</v>
      </c>
      <c r="B14" s="1"/>
      <c r="C14" s="1"/>
      <c r="D14" s="1"/>
      <c r="E14" s="1"/>
      <c r="F14" s="1">
        <v>74.490582439999997</v>
      </c>
      <c r="G14" s="1">
        <v>42.488677629999998</v>
      </c>
      <c r="H14" s="1">
        <v>3038.0810000000001</v>
      </c>
      <c r="I14" s="1">
        <v>0.57499999999999996</v>
      </c>
      <c r="J14" s="1">
        <v>0.442</v>
      </c>
      <c r="K14" s="1">
        <v>1.3009999999999999</v>
      </c>
      <c r="L14" s="2">
        <v>0.72499999999999998</v>
      </c>
      <c r="M14" s="1">
        <v>2.1339999999999999</v>
      </c>
      <c r="N14" s="1" t="s">
        <v>10</v>
      </c>
      <c r="O14" s="2" t="s">
        <v>11</v>
      </c>
      <c r="P14" s="1" t="s">
        <v>487</v>
      </c>
      <c r="Q14" s="1" t="s">
        <v>488</v>
      </c>
      <c r="R14" s="1">
        <v>9</v>
      </c>
      <c r="S14" s="1">
        <v>1.7</v>
      </c>
      <c r="T14" s="1"/>
      <c r="U14" s="1"/>
      <c r="V14" s="1"/>
      <c r="W14" s="1"/>
      <c r="X14" s="1"/>
      <c r="Y14" s="1"/>
      <c r="Z14" s="1"/>
      <c r="AA14" s="1" t="s">
        <v>32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35">
      <c r="A15" s="1">
        <v>14</v>
      </c>
      <c r="B15" s="1"/>
      <c r="C15" s="1"/>
      <c r="D15" s="1"/>
      <c r="E15" s="1"/>
      <c r="F15" s="1">
        <v>74.490633979999998</v>
      </c>
      <c r="G15" s="1">
        <v>42.488669940000001</v>
      </c>
      <c r="H15" s="1">
        <v>3039.5079999999998</v>
      </c>
      <c r="I15" s="1">
        <v>0.57699999999999996</v>
      </c>
      <c r="J15" s="1">
        <v>0.44800000000000001</v>
      </c>
      <c r="K15" s="1">
        <v>1.3129999999999999</v>
      </c>
      <c r="L15" s="2">
        <v>0.73099999999999998</v>
      </c>
      <c r="M15" s="1">
        <v>2.1339999999999999</v>
      </c>
      <c r="N15" s="1" t="s">
        <v>10</v>
      </c>
      <c r="O15" s="2" t="s">
        <v>11</v>
      </c>
      <c r="P15" s="1" t="s">
        <v>489</v>
      </c>
      <c r="Q15" s="1" t="s">
        <v>490</v>
      </c>
      <c r="R15" s="1">
        <v>8</v>
      </c>
      <c r="S15" s="1">
        <v>1.7</v>
      </c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35">
      <c r="A16" s="1">
        <v>15</v>
      </c>
      <c r="B16" s="1"/>
      <c r="C16" s="1"/>
      <c r="D16" s="1"/>
      <c r="E16" s="1"/>
      <c r="F16" s="1">
        <v>74.490690849999993</v>
      </c>
      <c r="G16" s="1">
        <v>42.488666139999999</v>
      </c>
      <c r="H16" s="1">
        <v>3041.6970000000001</v>
      </c>
      <c r="I16" s="1">
        <v>0.57799999999999996</v>
      </c>
      <c r="J16" s="1">
        <v>0.45100000000000001</v>
      </c>
      <c r="K16" s="1">
        <v>1.31</v>
      </c>
      <c r="L16" s="2">
        <v>0.73299999999999998</v>
      </c>
      <c r="M16" s="1">
        <v>2.1339999999999999</v>
      </c>
      <c r="N16" s="1" t="s">
        <v>10</v>
      </c>
      <c r="O16" s="2" t="s">
        <v>11</v>
      </c>
      <c r="P16" s="1" t="s">
        <v>491</v>
      </c>
      <c r="Q16" s="1" t="s">
        <v>492</v>
      </c>
      <c r="R16" s="1">
        <v>9</v>
      </c>
      <c r="S16" s="1">
        <v>1.7</v>
      </c>
      <c r="T16" s="1"/>
      <c r="U16" s="1"/>
      <c r="V16" s="1"/>
      <c r="W16" s="1"/>
      <c r="X16" s="1"/>
      <c r="Y16" s="1"/>
      <c r="Z16" s="1"/>
      <c r="AA16" s="1" t="s">
        <v>32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35">
      <c r="A17" s="1">
        <v>16</v>
      </c>
      <c r="B17" s="1"/>
      <c r="C17" s="1"/>
      <c r="D17" s="1"/>
      <c r="E17" s="1"/>
      <c r="F17" s="1">
        <v>74.490743629999997</v>
      </c>
      <c r="G17" s="1">
        <v>42.488661909999998</v>
      </c>
      <c r="H17" s="1">
        <v>3044.029</v>
      </c>
      <c r="I17" s="1">
        <v>0.58099999999999996</v>
      </c>
      <c r="J17" s="1">
        <v>0.45200000000000001</v>
      </c>
      <c r="K17" s="1">
        <v>1.3029999999999999</v>
      </c>
      <c r="L17" s="2">
        <v>0.73599999999999999</v>
      </c>
      <c r="M17" s="1">
        <v>2.1339999999999999</v>
      </c>
      <c r="N17" s="1" t="s">
        <v>10</v>
      </c>
      <c r="O17" s="2" t="s">
        <v>11</v>
      </c>
      <c r="P17" s="1" t="s">
        <v>493</v>
      </c>
      <c r="Q17" s="1" t="s">
        <v>494</v>
      </c>
      <c r="R17" s="1">
        <v>9</v>
      </c>
      <c r="S17" s="1">
        <v>1.7</v>
      </c>
      <c r="T17" s="1"/>
      <c r="U17" s="1"/>
      <c r="V17" s="1"/>
      <c r="W17" s="1"/>
      <c r="X17" s="1"/>
      <c r="Y17" s="1"/>
      <c r="Z17" s="1"/>
      <c r="AA17" s="1" t="s">
        <v>32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35">
      <c r="A18" s="1">
        <v>17</v>
      </c>
      <c r="B18" s="1"/>
      <c r="C18" s="1"/>
      <c r="D18" s="1"/>
      <c r="E18" s="1"/>
      <c r="F18" s="1">
        <v>74.490791779999995</v>
      </c>
      <c r="G18" s="1">
        <v>42.488657519999997</v>
      </c>
      <c r="H18" s="1">
        <v>3045.569</v>
      </c>
      <c r="I18" s="1">
        <v>0.57599999999999996</v>
      </c>
      <c r="J18" s="1">
        <v>0.44900000000000001</v>
      </c>
      <c r="K18" s="1">
        <v>1.3109999999999999</v>
      </c>
      <c r="L18" s="2">
        <v>0.73099999999999998</v>
      </c>
      <c r="M18" s="1">
        <v>2.1339999999999999</v>
      </c>
      <c r="N18" s="1" t="s">
        <v>10</v>
      </c>
      <c r="O18" s="2" t="s">
        <v>11</v>
      </c>
      <c r="P18" s="1" t="s">
        <v>495</v>
      </c>
      <c r="Q18" s="1" t="s">
        <v>496</v>
      </c>
      <c r="R18" s="1">
        <v>9</v>
      </c>
      <c r="S18" s="1">
        <v>1.7</v>
      </c>
      <c r="T18" s="1"/>
      <c r="U18" s="1"/>
      <c r="V18" s="1"/>
      <c r="W18" s="1"/>
      <c r="X18" s="1"/>
      <c r="Y18" s="1"/>
      <c r="Z18" s="1"/>
      <c r="AA18" s="1" t="s">
        <v>32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35">
      <c r="A19" s="1">
        <v>18</v>
      </c>
      <c r="B19" s="1"/>
      <c r="C19" s="1"/>
      <c r="D19" s="1"/>
      <c r="E19" s="1"/>
      <c r="F19" s="1">
        <v>74.490849179999998</v>
      </c>
      <c r="G19" s="1">
        <v>42.488649879999997</v>
      </c>
      <c r="H19" s="1">
        <v>3047.0279999999998</v>
      </c>
      <c r="I19" s="1">
        <v>0.60499999999999998</v>
      </c>
      <c r="J19" s="1">
        <v>0.45</v>
      </c>
      <c r="K19" s="1">
        <v>1.3759999999999999</v>
      </c>
      <c r="L19" s="2">
        <v>0.754</v>
      </c>
      <c r="M19" s="1">
        <v>2.1339999999999999</v>
      </c>
      <c r="N19" s="1" t="s">
        <v>10</v>
      </c>
      <c r="O19" s="2" t="s">
        <v>11</v>
      </c>
      <c r="P19" s="1" t="s">
        <v>497</v>
      </c>
      <c r="Q19" s="1" t="s">
        <v>498</v>
      </c>
      <c r="R19" s="1">
        <v>9</v>
      </c>
      <c r="S19" s="1">
        <v>1.8</v>
      </c>
      <c r="T19" s="1"/>
      <c r="U19" s="1"/>
      <c r="V19" s="1"/>
      <c r="W19" s="1"/>
      <c r="X19" s="1"/>
      <c r="Y19" s="1"/>
      <c r="Z19" s="1"/>
      <c r="AA19" s="1" t="s">
        <v>32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35">
      <c r="A20" s="1">
        <v>19</v>
      </c>
      <c r="B20" s="1"/>
      <c r="C20" s="1"/>
      <c r="D20" s="1"/>
      <c r="E20" s="1"/>
      <c r="F20" s="1">
        <v>74.490913370000001</v>
      </c>
      <c r="G20" s="1">
        <v>42.488641229999999</v>
      </c>
      <c r="H20" s="1">
        <v>3048.924</v>
      </c>
      <c r="I20" s="1">
        <v>0.64800000000000002</v>
      </c>
      <c r="J20" s="1">
        <v>0.439</v>
      </c>
      <c r="K20" s="1">
        <v>1.3640000000000001</v>
      </c>
      <c r="L20" s="2">
        <v>0.78200000000000003</v>
      </c>
      <c r="M20" s="1">
        <v>2.1339999999999999</v>
      </c>
      <c r="N20" s="1" t="s">
        <v>10</v>
      </c>
      <c r="O20" s="2" t="s">
        <v>11</v>
      </c>
      <c r="P20" s="1" t="s">
        <v>499</v>
      </c>
      <c r="Q20" s="1" t="s">
        <v>500</v>
      </c>
      <c r="R20" s="1">
        <v>9</v>
      </c>
      <c r="S20" s="1">
        <v>1.8</v>
      </c>
      <c r="T20" s="1"/>
      <c r="U20" s="1"/>
      <c r="V20" s="1"/>
      <c r="W20" s="1"/>
      <c r="X20" s="1"/>
      <c r="Y20" s="1"/>
      <c r="Z20" s="1"/>
      <c r="AA20" s="1" t="s">
        <v>32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35">
      <c r="A21" s="1">
        <v>20</v>
      </c>
      <c r="B21" s="1"/>
      <c r="C21" s="1"/>
      <c r="D21" s="1"/>
      <c r="E21" s="1"/>
      <c r="F21" s="1">
        <v>74.49098146</v>
      </c>
      <c r="G21" s="1">
        <v>42.488641899999998</v>
      </c>
      <c r="H21" s="1">
        <v>3051.8270000000002</v>
      </c>
      <c r="I21" s="1">
        <v>0.498</v>
      </c>
      <c r="J21" s="1">
        <v>0.35799999999999998</v>
      </c>
      <c r="K21" s="1">
        <v>1.08</v>
      </c>
      <c r="L21" s="2">
        <v>0.61299999999999999</v>
      </c>
      <c r="M21" s="1">
        <v>2.1339999999999999</v>
      </c>
      <c r="N21" s="1" t="s">
        <v>10</v>
      </c>
      <c r="O21" s="2" t="s">
        <v>11</v>
      </c>
      <c r="P21" s="1" t="s">
        <v>501</v>
      </c>
      <c r="Q21" s="1" t="s">
        <v>502</v>
      </c>
      <c r="R21" s="1">
        <v>9</v>
      </c>
      <c r="S21" s="1">
        <v>1.8</v>
      </c>
      <c r="T21" s="1"/>
      <c r="U21" s="1"/>
      <c r="V21" s="1"/>
      <c r="W21" s="1"/>
      <c r="X21" s="1"/>
      <c r="Y21" s="1"/>
      <c r="Z21" s="1"/>
      <c r="AA21" s="1" t="s">
        <v>32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35">
      <c r="A22" s="1">
        <v>21</v>
      </c>
      <c r="B22" s="1"/>
      <c r="C22" s="1"/>
      <c r="D22" s="1"/>
      <c r="E22" s="1"/>
      <c r="F22" s="1">
        <v>74.491031500000005</v>
      </c>
      <c r="G22" s="1">
        <v>42.488639650000003</v>
      </c>
      <c r="H22" s="1">
        <v>3054.9690000000001</v>
      </c>
      <c r="I22" s="1">
        <v>0.43</v>
      </c>
      <c r="J22" s="1">
        <v>0.312</v>
      </c>
      <c r="K22" s="1">
        <v>0.90700000000000003</v>
      </c>
      <c r="L22" s="2">
        <v>0.53200000000000003</v>
      </c>
      <c r="M22" s="1">
        <v>2.1339999999999999</v>
      </c>
      <c r="N22" s="1" t="s">
        <v>10</v>
      </c>
      <c r="O22" s="2" t="s">
        <v>11</v>
      </c>
      <c r="P22" s="1" t="s">
        <v>503</v>
      </c>
      <c r="Q22" s="1" t="s">
        <v>504</v>
      </c>
      <c r="R22" s="1">
        <v>8</v>
      </c>
      <c r="S22" s="1">
        <v>1.8</v>
      </c>
      <c r="T22" s="1"/>
      <c r="U22" s="1"/>
      <c r="V22" s="1"/>
      <c r="W22" s="1"/>
      <c r="X22" s="1"/>
      <c r="Y22" s="1"/>
      <c r="Z22" s="1"/>
      <c r="AA22" s="1" t="s">
        <v>32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35">
      <c r="A23" s="1">
        <v>22</v>
      </c>
      <c r="B23" s="1"/>
      <c r="C23" s="1"/>
      <c r="D23" s="1"/>
      <c r="E23" s="1"/>
      <c r="F23" s="1">
        <v>74.491082980000002</v>
      </c>
      <c r="G23" s="1">
        <v>42.48863368</v>
      </c>
      <c r="H23" s="1">
        <v>3056.7579999999998</v>
      </c>
      <c r="I23" s="1">
        <v>0.44</v>
      </c>
      <c r="J23" s="1">
        <v>0.318</v>
      </c>
      <c r="K23" s="1">
        <v>0.86299999999999999</v>
      </c>
      <c r="L23" s="2">
        <v>0.54300000000000004</v>
      </c>
      <c r="M23" s="1">
        <v>2.1339999999999999</v>
      </c>
      <c r="N23" s="1" t="s">
        <v>10</v>
      </c>
      <c r="O23" s="2" t="s">
        <v>11</v>
      </c>
      <c r="P23" s="1" t="s">
        <v>505</v>
      </c>
      <c r="Q23" s="1" t="s">
        <v>506</v>
      </c>
      <c r="R23" s="1">
        <v>9</v>
      </c>
      <c r="S23" s="1">
        <v>1.8</v>
      </c>
      <c r="T23" s="1"/>
      <c r="U23" s="1"/>
      <c r="V23" s="1"/>
      <c r="W23" s="1"/>
      <c r="X23" s="1"/>
      <c r="Y23" s="1"/>
      <c r="Z23" s="1"/>
      <c r="AA23" s="1" t="s">
        <v>32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35">
      <c r="A24" s="1">
        <v>23</v>
      </c>
      <c r="B24" s="1"/>
      <c r="C24" s="1"/>
      <c r="D24" s="1"/>
      <c r="E24" s="1"/>
      <c r="F24" s="1">
        <v>74.491139509999996</v>
      </c>
      <c r="G24" s="1">
        <v>42.488637740000001</v>
      </c>
      <c r="H24" s="1">
        <v>3057.7779999999998</v>
      </c>
      <c r="I24" s="1">
        <v>0.43</v>
      </c>
      <c r="J24" s="1">
        <v>0.29199999999999998</v>
      </c>
      <c r="K24" s="1">
        <v>0.81799999999999995</v>
      </c>
      <c r="L24" s="2">
        <v>0.52</v>
      </c>
      <c r="M24" s="1">
        <v>2.1339999999999999</v>
      </c>
      <c r="N24" s="1" t="s">
        <v>10</v>
      </c>
      <c r="O24" s="2" t="s">
        <v>11</v>
      </c>
      <c r="P24" s="1" t="s">
        <v>507</v>
      </c>
      <c r="Q24" s="1" t="s">
        <v>508</v>
      </c>
      <c r="R24" s="1">
        <v>9</v>
      </c>
      <c r="S24" s="1">
        <v>1.8</v>
      </c>
      <c r="T24" s="1"/>
      <c r="U24" s="1"/>
      <c r="V24" s="1"/>
      <c r="W24" s="1"/>
      <c r="X24" s="1"/>
      <c r="Y24" s="1"/>
      <c r="Z24" s="1"/>
      <c r="AA24" s="1" t="s">
        <v>32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35">
      <c r="A25" s="1">
        <v>24</v>
      </c>
      <c r="B25" s="1"/>
      <c r="C25" s="1"/>
      <c r="D25" s="1"/>
      <c r="E25" s="1"/>
      <c r="F25" s="1">
        <v>74.491199870000003</v>
      </c>
      <c r="G25" s="1">
        <v>42.488627819999998</v>
      </c>
      <c r="H25" s="1">
        <v>3059.7170000000001</v>
      </c>
      <c r="I25" s="1">
        <v>0.41899999999999998</v>
      </c>
      <c r="J25" s="1">
        <v>0.28999999999999998</v>
      </c>
      <c r="K25" s="1">
        <v>0.80800000000000005</v>
      </c>
      <c r="L25" s="2">
        <v>0.51</v>
      </c>
      <c r="M25" s="1">
        <v>2.1339999999999999</v>
      </c>
      <c r="N25" s="1" t="s">
        <v>10</v>
      </c>
      <c r="O25" s="2" t="s">
        <v>11</v>
      </c>
      <c r="P25" s="1" t="s">
        <v>509</v>
      </c>
      <c r="Q25" s="1" t="s">
        <v>510</v>
      </c>
      <c r="R25" s="1">
        <v>9</v>
      </c>
      <c r="S25" s="1">
        <v>1.8</v>
      </c>
      <c r="T25" s="1"/>
      <c r="U25" s="1"/>
      <c r="V25" s="1"/>
      <c r="W25" s="1"/>
      <c r="X25" s="1"/>
      <c r="Y25" s="1"/>
      <c r="Z25" s="1"/>
      <c r="AA25" s="1" t="s">
        <v>32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35">
      <c r="A26" s="1">
        <v>25</v>
      </c>
      <c r="B26" s="1"/>
      <c r="C26" s="1"/>
      <c r="D26" s="1"/>
      <c r="E26" s="1"/>
      <c r="F26" s="1">
        <v>74.491252630000005</v>
      </c>
      <c r="G26" s="1">
        <v>42.488621309999999</v>
      </c>
      <c r="H26" s="1">
        <v>3061.9340000000002</v>
      </c>
      <c r="I26" s="1">
        <v>0.36399999999999999</v>
      </c>
      <c r="J26" s="1">
        <v>0.26700000000000002</v>
      </c>
      <c r="K26" s="1">
        <v>0.72499999999999998</v>
      </c>
      <c r="L26" s="2">
        <v>0.45100000000000001</v>
      </c>
      <c r="M26" s="1">
        <v>2.1339999999999999</v>
      </c>
      <c r="N26" s="1" t="s">
        <v>10</v>
      </c>
      <c r="O26" s="2" t="s">
        <v>11</v>
      </c>
      <c r="P26" s="1" t="s">
        <v>511</v>
      </c>
      <c r="Q26" s="1" t="s">
        <v>512</v>
      </c>
      <c r="R26" s="1">
        <v>9</v>
      </c>
      <c r="S26" s="1">
        <v>1.8</v>
      </c>
      <c r="T26" s="1"/>
      <c r="U26" s="1"/>
      <c r="V26" s="1"/>
      <c r="W26" s="1"/>
      <c r="X26" s="1"/>
      <c r="Y26" s="1"/>
      <c r="Z26" s="1"/>
      <c r="AA26" s="1" t="s">
        <v>32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35">
      <c r="A27" s="1">
        <v>26</v>
      </c>
      <c r="B27" s="1"/>
      <c r="C27" s="1"/>
      <c r="D27" s="1"/>
      <c r="E27" s="1"/>
      <c r="F27" s="1">
        <v>74.491293350000007</v>
      </c>
      <c r="G27" s="1">
        <v>42.488617159999997</v>
      </c>
      <c r="H27" s="1">
        <v>3062.99</v>
      </c>
      <c r="I27" s="1">
        <v>0.35099999999999998</v>
      </c>
      <c r="J27" s="1">
        <v>0.26</v>
      </c>
      <c r="K27" s="1">
        <v>0.68799999999999994</v>
      </c>
      <c r="L27" s="2">
        <v>0.437</v>
      </c>
      <c r="M27" s="1">
        <v>2.1339999999999999</v>
      </c>
      <c r="N27" s="1" t="s">
        <v>10</v>
      </c>
      <c r="O27" s="2" t="s">
        <v>11</v>
      </c>
      <c r="P27" s="1" t="s">
        <v>513</v>
      </c>
      <c r="Q27" s="1" t="s">
        <v>514</v>
      </c>
      <c r="R27" s="1">
        <v>8</v>
      </c>
      <c r="S27" s="1">
        <v>1.4</v>
      </c>
      <c r="T27" s="1"/>
      <c r="U27" s="1"/>
      <c r="V27" s="1"/>
      <c r="W27" s="1"/>
      <c r="X27" s="1"/>
      <c r="Y27" s="1"/>
      <c r="Z27" s="1"/>
      <c r="AA27" s="1" t="s">
        <v>32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35">
      <c r="A28" s="1">
        <v>27</v>
      </c>
      <c r="B28" s="1"/>
      <c r="C28" s="1"/>
      <c r="D28" s="1"/>
      <c r="E28" s="1"/>
      <c r="F28" s="1">
        <v>74.491345559999999</v>
      </c>
      <c r="G28" s="1">
        <v>42.488624710000003</v>
      </c>
      <c r="H28" s="1">
        <v>3064.52</v>
      </c>
      <c r="I28" s="1">
        <v>0.36</v>
      </c>
      <c r="J28" s="1">
        <v>0.26400000000000001</v>
      </c>
      <c r="K28" s="1">
        <v>0.63800000000000001</v>
      </c>
      <c r="L28" s="2">
        <v>0.44700000000000001</v>
      </c>
      <c r="M28" s="1">
        <v>2.1339999999999999</v>
      </c>
      <c r="N28" s="1" t="s">
        <v>10</v>
      </c>
      <c r="O28" s="2" t="s">
        <v>11</v>
      </c>
      <c r="P28" s="1" t="s">
        <v>515</v>
      </c>
      <c r="Q28" s="1" t="s">
        <v>516</v>
      </c>
      <c r="R28" s="1">
        <v>8</v>
      </c>
      <c r="S28" s="1">
        <v>1.4</v>
      </c>
      <c r="T28" s="1"/>
      <c r="U28" s="1"/>
      <c r="V28" s="1"/>
      <c r="W28" s="1"/>
      <c r="X28" s="1"/>
      <c r="Y28" s="1"/>
      <c r="Z28" s="1"/>
      <c r="AA28" s="1" t="s">
        <v>32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5">
      <c r="A29" s="1">
        <v>28</v>
      </c>
      <c r="B29" s="1"/>
      <c r="C29" s="1"/>
      <c r="D29" s="1"/>
      <c r="E29" s="1"/>
      <c r="F29" s="1">
        <v>74.491410680000001</v>
      </c>
      <c r="G29" s="1">
        <v>42.488638080000001</v>
      </c>
      <c r="H29" s="1">
        <v>3067.1860000000001</v>
      </c>
      <c r="I29" s="1">
        <v>0.41199999999999998</v>
      </c>
      <c r="J29" s="1">
        <v>0.26400000000000001</v>
      </c>
      <c r="K29" s="1">
        <v>0.70499999999999996</v>
      </c>
      <c r="L29" s="2">
        <v>0.49</v>
      </c>
      <c r="M29" s="1">
        <v>2.1339999999999999</v>
      </c>
      <c r="N29" s="1" t="s">
        <v>10</v>
      </c>
      <c r="O29" s="2" t="s">
        <v>11</v>
      </c>
      <c r="P29" s="1" t="s">
        <v>517</v>
      </c>
      <c r="Q29" s="1" t="s">
        <v>518</v>
      </c>
      <c r="R29" s="1">
        <v>8</v>
      </c>
      <c r="S29" s="1">
        <v>1.4</v>
      </c>
      <c r="T29" s="1"/>
      <c r="U29" s="1"/>
      <c r="V29" s="1"/>
      <c r="W29" s="1"/>
      <c r="X29" s="1"/>
      <c r="Y29" s="1"/>
      <c r="Z29" s="1"/>
      <c r="AA29" s="1" t="s">
        <v>32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35">
      <c r="A30" s="1">
        <v>29</v>
      </c>
      <c r="B30" s="1"/>
      <c r="C30" s="1"/>
      <c r="D30" s="1"/>
      <c r="E30" s="1"/>
      <c r="F30" s="1">
        <v>74.491474109999999</v>
      </c>
      <c r="G30" s="1">
        <v>42.488638819999998</v>
      </c>
      <c r="H30" s="1">
        <v>3068.549</v>
      </c>
      <c r="I30" s="1">
        <v>0.38400000000000001</v>
      </c>
      <c r="J30" s="1">
        <v>0.23699999999999999</v>
      </c>
      <c r="K30" s="1">
        <v>0.64600000000000002</v>
      </c>
      <c r="L30" s="2">
        <v>0.45200000000000001</v>
      </c>
      <c r="M30" s="1">
        <v>2.1339999999999999</v>
      </c>
      <c r="N30" s="1" t="s">
        <v>10</v>
      </c>
      <c r="O30" s="2" t="s">
        <v>11</v>
      </c>
      <c r="P30" s="1" t="s">
        <v>519</v>
      </c>
      <c r="Q30" s="1" t="s">
        <v>520</v>
      </c>
      <c r="R30" s="1">
        <v>9</v>
      </c>
      <c r="S30" s="1">
        <v>1.4</v>
      </c>
      <c r="T30" s="1"/>
      <c r="U30" s="1"/>
      <c r="V30" s="1"/>
      <c r="W30" s="1"/>
      <c r="X30" s="1"/>
      <c r="Y30" s="1"/>
      <c r="Z30" s="1"/>
      <c r="AA30" s="1" t="s">
        <v>32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35">
      <c r="A31" s="1">
        <v>30</v>
      </c>
      <c r="B31" s="1"/>
      <c r="C31" s="1"/>
      <c r="D31" s="1"/>
      <c r="E31" s="1"/>
      <c r="F31" s="1">
        <v>74.491525600000003</v>
      </c>
      <c r="G31" s="1">
        <v>42.488650939999999</v>
      </c>
      <c r="H31" s="1">
        <v>3069.962</v>
      </c>
      <c r="I31" s="1">
        <v>0.4</v>
      </c>
      <c r="J31" s="1">
        <v>0.33500000000000002</v>
      </c>
      <c r="K31" s="1">
        <v>0.65400000000000003</v>
      </c>
      <c r="L31" s="2">
        <v>0.52100000000000002</v>
      </c>
      <c r="M31" s="1">
        <v>2.1339999999999999</v>
      </c>
      <c r="N31" s="1" t="s">
        <v>10</v>
      </c>
      <c r="O31" s="2" t="s">
        <v>11</v>
      </c>
      <c r="P31" s="1" t="s">
        <v>521</v>
      </c>
      <c r="Q31" s="1" t="s">
        <v>522</v>
      </c>
      <c r="R31" s="1">
        <v>9</v>
      </c>
      <c r="S31" s="1">
        <v>1.4</v>
      </c>
      <c r="T31" s="1"/>
      <c r="U31" s="1"/>
      <c r="V31" s="1"/>
      <c r="W31" s="1"/>
      <c r="X31" s="1"/>
      <c r="Y31" s="1"/>
      <c r="Z31" s="1"/>
      <c r="AA31" s="1" t="s">
        <v>32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35">
      <c r="A32" s="1">
        <v>31</v>
      </c>
      <c r="B32" s="1"/>
      <c r="C32" s="1"/>
      <c r="D32" s="1"/>
      <c r="E32" s="1"/>
      <c r="F32" s="1">
        <v>74.49157572</v>
      </c>
      <c r="G32" s="1">
        <v>42.4886622</v>
      </c>
      <c r="H32" s="1">
        <v>3071.8470000000002</v>
      </c>
      <c r="I32" s="1">
        <v>0.438</v>
      </c>
      <c r="J32" s="1">
        <v>0.30399999999999999</v>
      </c>
      <c r="K32" s="1">
        <v>0.66200000000000003</v>
      </c>
      <c r="L32" s="2">
        <v>0.53300000000000003</v>
      </c>
      <c r="M32" s="1">
        <v>2.1339999999999999</v>
      </c>
      <c r="N32" s="1" t="s">
        <v>10</v>
      </c>
      <c r="O32" s="2" t="s">
        <v>11</v>
      </c>
      <c r="P32" s="1" t="s">
        <v>523</v>
      </c>
      <c r="Q32" s="1" t="s">
        <v>524</v>
      </c>
      <c r="R32" s="1">
        <v>9</v>
      </c>
      <c r="S32" s="1">
        <v>1.4</v>
      </c>
      <c r="T32" s="1"/>
      <c r="U32" s="1"/>
      <c r="V32" s="1"/>
      <c r="W32" s="1"/>
      <c r="X32" s="1"/>
      <c r="Y32" s="1"/>
      <c r="Z32" s="1"/>
      <c r="AA32" s="1" t="s">
        <v>32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35">
      <c r="A33" s="1">
        <v>32</v>
      </c>
      <c r="B33" s="1"/>
      <c r="C33" s="1"/>
      <c r="D33" s="1"/>
      <c r="E33" s="1"/>
      <c r="F33" s="1">
        <v>74.491618059999993</v>
      </c>
      <c r="G33" s="1">
        <v>42.48868813</v>
      </c>
      <c r="H33" s="1">
        <v>3073.7269999999999</v>
      </c>
      <c r="I33" s="1">
        <v>0.36799999999999999</v>
      </c>
      <c r="J33" s="1">
        <v>0.29199999999999998</v>
      </c>
      <c r="K33" s="1">
        <v>0.67800000000000005</v>
      </c>
      <c r="L33" s="2">
        <v>0.47</v>
      </c>
      <c r="M33" s="1">
        <v>2.1339999999999999</v>
      </c>
      <c r="N33" s="1" t="s">
        <v>10</v>
      </c>
      <c r="O33" s="2" t="s">
        <v>11</v>
      </c>
      <c r="P33" s="1" t="s">
        <v>525</v>
      </c>
      <c r="Q33" s="1" t="s">
        <v>526</v>
      </c>
      <c r="R33" s="1">
        <v>8</v>
      </c>
      <c r="S33" s="1">
        <v>1.4</v>
      </c>
      <c r="T33" s="1"/>
      <c r="U33" s="1"/>
      <c r="V33" s="1"/>
      <c r="W33" s="1"/>
      <c r="X33" s="1"/>
      <c r="Y33" s="1"/>
      <c r="Z33" s="1"/>
      <c r="AA33" s="1" t="s">
        <v>32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35">
      <c r="A34" s="1">
        <v>33</v>
      </c>
      <c r="B34" s="1"/>
      <c r="C34" s="1"/>
      <c r="D34" s="1"/>
      <c r="E34" s="1"/>
      <c r="F34" s="1">
        <v>74.491676720000001</v>
      </c>
      <c r="G34" s="1">
        <v>42.488693490000003</v>
      </c>
      <c r="H34" s="1">
        <v>3075.1190000000001</v>
      </c>
      <c r="I34" s="1">
        <v>0.35499999999999998</v>
      </c>
      <c r="J34" s="1">
        <v>0.25700000000000001</v>
      </c>
      <c r="K34" s="1">
        <v>0.68</v>
      </c>
      <c r="L34" s="2">
        <v>0.438</v>
      </c>
      <c r="M34" s="1">
        <v>2.1339999999999999</v>
      </c>
      <c r="N34" s="1" t="s">
        <v>10</v>
      </c>
      <c r="O34" s="2" t="s">
        <v>11</v>
      </c>
      <c r="P34" s="1" t="s">
        <v>527</v>
      </c>
      <c r="Q34" s="1" t="s">
        <v>528</v>
      </c>
      <c r="R34" s="1">
        <v>8</v>
      </c>
      <c r="S34" s="1">
        <v>1.4</v>
      </c>
      <c r="T34" s="1"/>
      <c r="U34" s="1"/>
      <c r="V34" s="1"/>
      <c r="W34" s="1"/>
      <c r="X34" s="1"/>
      <c r="Y34" s="1"/>
      <c r="Z34" s="1"/>
      <c r="AA34" s="1" t="s">
        <v>32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35">
      <c r="A35" s="1">
        <v>34</v>
      </c>
      <c r="B35" s="1"/>
      <c r="C35" s="1"/>
      <c r="D35" s="1"/>
      <c r="E35" s="1"/>
      <c r="F35" s="1">
        <v>74.491742489999993</v>
      </c>
      <c r="G35" s="1">
        <v>42.48869818</v>
      </c>
      <c r="H35" s="1">
        <v>3076.4690000000001</v>
      </c>
      <c r="I35" s="1">
        <v>0.33300000000000002</v>
      </c>
      <c r="J35" s="1">
        <v>0.23899999999999999</v>
      </c>
      <c r="K35" s="1">
        <v>0.63800000000000001</v>
      </c>
      <c r="L35" s="2">
        <v>0.41</v>
      </c>
      <c r="M35" s="1">
        <v>2.1339999999999999</v>
      </c>
      <c r="N35" s="1" t="s">
        <v>10</v>
      </c>
      <c r="O35" s="2" t="s">
        <v>11</v>
      </c>
      <c r="P35" s="1" t="s">
        <v>529</v>
      </c>
      <c r="Q35" s="1" t="s">
        <v>530</v>
      </c>
      <c r="R35" s="1">
        <v>9</v>
      </c>
      <c r="S35" s="1">
        <v>1.4</v>
      </c>
      <c r="T35" s="1"/>
      <c r="U35" s="1"/>
      <c r="V35" s="1"/>
      <c r="W35" s="1"/>
      <c r="X35" s="1"/>
      <c r="Y35" s="1"/>
      <c r="Z35" s="1"/>
      <c r="AA35" s="1" t="s">
        <v>32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35">
      <c r="A36" s="1">
        <v>35</v>
      </c>
      <c r="B36" s="1"/>
      <c r="C36" s="1"/>
      <c r="D36" s="1"/>
      <c r="E36" s="1"/>
      <c r="F36" s="1">
        <v>74.491786860000005</v>
      </c>
      <c r="G36" s="1">
        <v>42.488702930000002</v>
      </c>
      <c r="H36" s="1">
        <v>3077.5189999999998</v>
      </c>
      <c r="I36" s="1">
        <v>0.4</v>
      </c>
      <c r="J36" s="1">
        <v>0.26</v>
      </c>
      <c r="K36" s="1">
        <v>0.64200000000000002</v>
      </c>
      <c r="L36" s="2">
        <v>0.47699999999999998</v>
      </c>
      <c r="M36" s="1">
        <v>2.1339999999999999</v>
      </c>
      <c r="N36" s="1" t="s">
        <v>10</v>
      </c>
      <c r="O36" s="2" t="s">
        <v>11</v>
      </c>
      <c r="P36" s="1" t="s">
        <v>531</v>
      </c>
      <c r="Q36" s="1" t="s">
        <v>532</v>
      </c>
      <c r="R36" s="1">
        <v>9</v>
      </c>
      <c r="S36" s="1">
        <v>1.4</v>
      </c>
      <c r="T36" s="1"/>
      <c r="U36" s="1"/>
      <c r="V36" s="1"/>
      <c r="W36" s="1"/>
      <c r="X36" s="1"/>
      <c r="Y36" s="1"/>
      <c r="Z36" s="1"/>
      <c r="AA36" s="1" t="s">
        <v>32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35">
      <c r="A37" s="1">
        <v>36</v>
      </c>
      <c r="B37" s="1"/>
      <c r="C37" s="1"/>
      <c r="D37" s="1"/>
      <c r="E37" s="1"/>
      <c r="F37" s="1">
        <v>74.491836410000005</v>
      </c>
      <c r="G37" s="1">
        <v>42.488714119999997</v>
      </c>
      <c r="H37" s="1">
        <v>3078.5740000000001</v>
      </c>
      <c r="I37" s="1">
        <v>0.437</v>
      </c>
      <c r="J37" s="1">
        <v>0.3</v>
      </c>
      <c r="K37" s="1">
        <v>0.66100000000000003</v>
      </c>
      <c r="L37" s="2">
        <v>0.53</v>
      </c>
      <c r="M37" s="1">
        <v>2.1339999999999999</v>
      </c>
      <c r="N37" s="1" t="s">
        <v>10</v>
      </c>
      <c r="O37" s="2" t="s">
        <v>11</v>
      </c>
      <c r="P37" s="1" t="s">
        <v>533</v>
      </c>
      <c r="Q37" s="1" t="s">
        <v>534</v>
      </c>
      <c r="R37" s="1">
        <v>9</v>
      </c>
      <c r="S37" s="1">
        <v>1.5</v>
      </c>
      <c r="T37" s="1"/>
      <c r="U37" s="1"/>
      <c r="V37" s="1"/>
      <c r="W37" s="1"/>
      <c r="X37" s="1"/>
      <c r="Y37" s="1"/>
      <c r="Z37" s="1"/>
      <c r="AA37" s="1" t="s">
        <v>32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35">
      <c r="A38" s="1">
        <v>37</v>
      </c>
      <c r="B38" s="1"/>
      <c r="C38" s="1"/>
      <c r="D38" s="1"/>
      <c r="E38" s="1"/>
      <c r="F38" s="1">
        <v>74.491894009999996</v>
      </c>
      <c r="G38" s="1">
        <v>42.488731719999997</v>
      </c>
      <c r="H38" s="1">
        <v>3078.66</v>
      </c>
      <c r="I38" s="1">
        <v>0.437</v>
      </c>
      <c r="J38" s="1">
        <v>0.25600000000000001</v>
      </c>
      <c r="K38" s="1">
        <v>0.67600000000000005</v>
      </c>
      <c r="L38" s="2">
        <v>0.50700000000000001</v>
      </c>
      <c r="M38" s="1">
        <v>2.1339999999999999</v>
      </c>
      <c r="N38" s="1" t="s">
        <v>10</v>
      </c>
      <c r="O38" s="2" t="s">
        <v>11</v>
      </c>
      <c r="P38" s="1" t="s">
        <v>535</v>
      </c>
      <c r="Q38" s="1" t="s">
        <v>536</v>
      </c>
      <c r="R38" s="1">
        <v>9</v>
      </c>
      <c r="S38" s="1">
        <v>1.5</v>
      </c>
      <c r="T38" s="1"/>
      <c r="U38" s="1"/>
      <c r="V38" s="1"/>
      <c r="W38" s="1"/>
      <c r="X38" s="1"/>
      <c r="Y38" s="1"/>
      <c r="Z38" s="1"/>
      <c r="AA38" s="1" t="s">
        <v>32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35">
      <c r="A39" s="1">
        <v>38</v>
      </c>
      <c r="B39" s="1"/>
      <c r="C39" s="1"/>
      <c r="D39" s="1"/>
      <c r="E39" s="1"/>
      <c r="F39" s="1">
        <v>74.491957670000005</v>
      </c>
      <c r="G39" s="1">
        <v>42.488742420000001</v>
      </c>
      <c r="H39" s="1">
        <v>3080.8119999999999</v>
      </c>
      <c r="I39" s="1">
        <v>0.40799999999999997</v>
      </c>
      <c r="J39" s="1">
        <v>0.28000000000000003</v>
      </c>
      <c r="K39" s="1">
        <v>0.77100000000000002</v>
      </c>
      <c r="L39" s="2">
        <v>0.495</v>
      </c>
      <c r="M39" s="1">
        <v>2.1339999999999999</v>
      </c>
      <c r="N39" s="1" t="s">
        <v>10</v>
      </c>
      <c r="O39" s="2" t="s">
        <v>11</v>
      </c>
      <c r="P39" s="1" t="s">
        <v>537</v>
      </c>
      <c r="Q39" s="1" t="s">
        <v>538</v>
      </c>
      <c r="R39" s="1">
        <v>9</v>
      </c>
      <c r="S39" s="1">
        <v>1.7</v>
      </c>
      <c r="T39" s="1"/>
      <c r="U39" s="1"/>
      <c r="V39" s="1"/>
      <c r="W39" s="1"/>
      <c r="X39" s="1"/>
      <c r="Y39" s="1"/>
      <c r="Z39" s="1"/>
      <c r="AA39" s="1" t="s">
        <v>32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35">
      <c r="A40" s="1">
        <v>39</v>
      </c>
      <c r="B40" s="1"/>
      <c r="C40" s="1"/>
      <c r="D40" s="1"/>
      <c r="E40" s="1"/>
      <c r="F40" s="1">
        <v>74.492001920000007</v>
      </c>
      <c r="G40" s="1">
        <v>42.488755769999997</v>
      </c>
      <c r="H40" s="1">
        <v>3082.0430000000001</v>
      </c>
      <c r="I40" s="1">
        <v>0.41399999999999998</v>
      </c>
      <c r="J40" s="1">
        <v>0.28199999999999997</v>
      </c>
      <c r="K40" s="1">
        <v>0.78400000000000003</v>
      </c>
      <c r="L40" s="2">
        <v>0.501</v>
      </c>
      <c r="M40" s="1">
        <v>2.1339999999999999</v>
      </c>
      <c r="N40" s="1" t="s">
        <v>10</v>
      </c>
      <c r="O40" s="2" t="s">
        <v>11</v>
      </c>
      <c r="P40" s="1" t="s">
        <v>539</v>
      </c>
      <c r="Q40" s="1" t="s">
        <v>540</v>
      </c>
      <c r="R40" s="1">
        <v>8</v>
      </c>
      <c r="S40" s="1">
        <v>1.7</v>
      </c>
      <c r="T40" s="1"/>
      <c r="U40" s="1"/>
      <c r="V40" s="1"/>
      <c r="W40" s="1"/>
      <c r="X40" s="1"/>
      <c r="Y40" s="1"/>
      <c r="Z40" s="1"/>
      <c r="AA40" s="1" t="s">
        <v>32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35">
      <c r="A41" s="1">
        <v>40</v>
      </c>
      <c r="B41" s="1"/>
      <c r="C41" s="1"/>
      <c r="D41" s="1"/>
      <c r="E41" s="1"/>
      <c r="F41" s="1">
        <v>74.492045989999994</v>
      </c>
      <c r="G41" s="1">
        <v>42.488763200000001</v>
      </c>
      <c r="H41" s="1">
        <v>3083.1860000000001</v>
      </c>
      <c r="I41" s="1">
        <v>0.42599999999999999</v>
      </c>
      <c r="J41" s="1">
        <v>0.28599999999999998</v>
      </c>
      <c r="K41" s="1">
        <v>0.78900000000000003</v>
      </c>
      <c r="L41" s="2">
        <v>0.51300000000000001</v>
      </c>
      <c r="M41" s="1">
        <v>2.1339999999999999</v>
      </c>
      <c r="N41" s="1" t="s">
        <v>10</v>
      </c>
      <c r="O41" s="2" t="s">
        <v>11</v>
      </c>
      <c r="P41" s="1" t="s">
        <v>541</v>
      </c>
      <c r="Q41" s="1" t="s">
        <v>542</v>
      </c>
      <c r="R41" s="1">
        <v>9</v>
      </c>
      <c r="S41" s="1">
        <v>1.7</v>
      </c>
      <c r="T41" s="1"/>
      <c r="U41" s="1"/>
      <c r="V41" s="1"/>
      <c r="W41" s="1"/>
      <c r="X41" s="1"/>
      <c r="Y41" s="1"/>
      <c r="Z41" s="1"/>
      <c r="AA41" s="1" t="s">
        <v>32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35">
      <c r="A42" s="1">
        <v>41</v>
      </c>
      <c r="B42" s="1"/>
      <c r="C42" s="1"/>
      <c r="D42" s="1"/>
      <c r="E42" s="1"/>
      <c r="F42" s="1">
        <v>74.492102549999998</v>
      </c>
      <c r="G42" s="1">
        <v>42.488785249999999</v>
      </c>
      <c r="H42" s="1">
        <v>3084.6280000000002</v>
      </c>
      <c r="I42" s="1">
        <v>0.46500000000000002</v>
      </c>
      <c r="J42" s="1">
        <v>0.312</v>
      </c>
      <c r="K42" s="1">
        <v>0.79100000000000004</v>
      </c>
      <c r="L42" s="2">
        <v>0.56000000000000005</v>
      </c>
      <c r="M42" s="1">
        <v>2.1339999999999999</v>
      </c>
      <c r="N42" s="1" t="s">
        <v>10</v>
      </c>
      <c r="O42" s="2" t="s">
        <v>11</v>
      </c>
      <c r="P42" s="1" t="s">
        <v>543</v>
      </c>
      <c r="Q42" s="1" t="s">
        <v>544</v>
      </c>
      <c r="R42" s="1">
        <v>9</v>
      </c>
      <c r="S42" s="1">
        <v>1.7</v>
      </c>
      <c r="T42" s="1"/>
      <c r="U42" s="1"/>
      <c r="V42" s="1"/>
      <c r="W42" s="1"/>
      <c r="X42" s="1"/>
      <c r="Y42" s="1"/>
      <c r="Z42" s="1"/>
      <c r="AA42" s="1" t="s">
        <v>32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35">
      <c r="A43" s="1">
        <v>42</v>
      </c>
      <c r="B43" s="1"/>
      <c r="C43" s="1"/>
      <c r="D43" s="1"/>
      <c r="E43" s="1"/>
      <c r="F43" s="1">
        <v>74.492168399999997</v>
      </c>
      <c r="G43" s="1">
        <v>42.48878406</v>
      </c>
      <c r="H43" s="1">
        <v>3086.0160000000001</v>
      </c>
      <c r="I43" s="1">
        <v>0.41199999999999998</v>
      </c>
      <c r="J43" s="1">
        <v>0.29099999999999998</v>
      </c>
      <c r="K43" s="1">
        <v>0.79700000000000004</v>
      </c>
      <c r="L43" s="2">
        <v>0.504</v>
      </c>
      <c r="M43" s="1">
        <v>2.1339999999999999</v>
      </c>
      <c r="N43" s="1" t="s">
        <v>10</v>
      </c>
      <c r="O43" s="2" t="s">
        <v>11</v>
      </c>
      <c r="P43" s="1" t="s">
        <v>545</v>
      </c>
      <c r="Q43" s="1" t="s">
        <v>546</v>
      </c>
      <c r="R43" s="1">
        <v>8</v>
      </c>
      <c r="S43" s="1">
        <v>1.7</v>
      </c>
      <c r="T43" s="1"/>
      <c r="U43" s="1"/>
      <c r="V43" s="1"/>
      <c r="W43" s="1"/>
      <c r="X43" s="1"/>
      <c r="Y43" s="1"/>
      <c r="Z43" s="1"/>
      <c r="AA43" s="1" t="s">
        <v>32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35">
      <c r="A44" s="1">
        <v>43</v>
      </c>
      <c r="B44" s="1"/>
      <c r="C44" s="1"/>
      <c r="D44" s="1"/>
      <c r="E44" s="1"/>
      <c r="F44" s="1">
        <v>74.492215630000004</v>
      </c>
      <c r="G44" s="1">
        <v>42.488795580000001</v>
      </c>
      <c r="H44" s="1">
        <v>3085.5770000000002</v>
      </c>
      <c r="I44" s="1">
        <v>0.41599999999999998</v>
      </c>
      <c r="J44" s="1">
        <v>0.32200000000000001</v>
      </c>
      <c r="K44" s="1">
        <v>0.80900000000000005</v>
      </c>
      <c r="L44" s="2">
        <v>0.52600000000000002</v>
      </c>
      <c r="M44" s="1">
        <v>2.1339999999999999</v>
      </c>
      <c r="N44" s="1" t="s">
        <v>10</v>
      </c>
      <c r="O44" s="2" t="s">
        <v>11</v>
      </c>
      <c r="P44" s="1" t="s">
        <v>547</v>
      </c>
      <c r="Q44" s="1" t="s">
        <v>548</v>
      </c>
      <c r="R44" s="1">
        <v>9</v>
      </c>
      <c r="S44" s="1">
        <v>1.8</v>
      </c>
      <c r="T44" s="1"/>
      <c r="U44" s="1"/>
      <c r="V44" s="1"/>
      <c r="W44" s="1"/>
      <c r="X44" s="1"/>
      <c r="Y44" s="1"/>
      <c r="Z44" s="1"/>
      <c r="AA44" s="1" t="s">
        <v>32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35">
      <c r="A45" s="1">
        <v>44</v>
      </c>
      <c r="B45" s="1"/>
      <c r="C45" s="1"/>
      <c r="D45" s="1"/>
      <c r="E45" s="1"/>
      <c r="F45" s="1">
        <v>74.492261450000001</v>
      </c>
      <c r="G45" s="1">
        <v>42.488795459999999</v>
      </c>
      <c r="H45" s="1">
        <v>3087.2649999999999</v>
      </c>
      <c r="I45" s="1">
        <v>0.42</v>
      </c>
      <c r="J45" s="1">
        <v>0.32</v>
      </c>
      <c r="K45" s="1">
        <v>0.81100000000000005</v>
      </c>
      <c r="L45" s="2">
        <v>0.52800000000000002</v>
      </c>
      <c r="M45" s="1">
        <v>2.1339999999999999</v>
      </c>
      <c r="N45" s="1" t="s">
        <v>10</v>
      </c>
      <c r="O45" s="2" t="s">
        <v>11</v>
      </c>
      <c r="P45" s="1" t="s">
        <v>549</v>
      </c>
      <c r="Q45" s="1" t="s">
        <v>550</v>
      </c>
      <c r="R45" s="1">
        <v>8</v>
      </c>
      <c r="S45" s="1">
        <v>1.8</v>
      </c>
      <c r="T45" s="1"/>
      <c r="U45" s="1"/>
      <c r="V45" s="1"/>
      <c r="W45" s="1"/>
      <c r="X45" s="1"/>
      <c r="Y45" s="1"/>
      <c r="Z45" s="1"/>
      <c r="AA45" s="1" t="s">
        <v>32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35">
      <c r="A46" s="1">
        <v>45</v>
      </c>
      <c r="B46" s="1"/>
      <c r="C46" s="1"/>
      <c r="D46" s="1"/>
      <c r="E46" s="1"/>
      <c r="F46" s="1">
        <v>74.492298419999997</v>
      </c>
      <c r="G46" s="1">
        <v>42.488798629999998</v>
      </c>
      <c r="H46" s="1">
        <v>3088.1689999999999</v>
      </c>
      <c r="I46" s="1">
        <v>0.53200000000000003</v>
      </c>
      <c r="J46" s="1">
        <v>0.42</v>
      </c>
      <c r="K46" s="1">
        <v>1.03</v>
      </c>
      <c r="L46" s="2">
        <v>0.67800000000000005</v>
      </c>
      <c r="M46" s="1">
        <v>2.1339999999999999</v>
      </c>
      <c r="N46" s="1" t="s">
        <v>10</v>
      </c>
      <c r="O46" s="2" t="s">
        <v>11</v>
      </c>
      <c r="P46" s="1" t="s">
        <v>551</v>
      </c>
      <c r="Q46" s="1" t="s">
        <v>552</v>
      </c>
      <c r="R46" s="1">
        <v>9</v>
      </c>
      <c r="S46" s="1">
        <v>1.9</v>
      </c>
      <c r="T46" s="1"/>
      <c r="U46" s="1"/>
      <c r="V46" s="1"/>
      <c r="W46" s="1"/>
      <c r="X46" s="1"/>
      <c r="Y46" s="1"/>
      <c r="Z46" s="1"/>
      <c r="AA46" s="1" t="s">
        <v>32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35">
      <c r="A47" s="1">
        <v>46</v>
      </c>
      <c r="B47" s="1"/>
      <c r="C47" s="1"/>
      <c r="D47" s="1"/>
      <c r="E47" s="1"/>
      <c r="F47" s="1">
        <v>74.492353120000004</v>
      </c>
      <c r="G47" s="1">
        <v>42.48880166</v>
      </c>
      <c r="H47" s="1">
        <v>3089.5120000000002</v>
      </c>
      <c r="I47" s="1">
        <v>0.753</v>
      </c>
      <c r="J47" s="1">
        <v>0.69499999999999995</v>
      </c>
      <c r="K47" s="1">
        <v>1.6140000000000001</v>
      </c>
      <c r="L47" s="2">
        <v>1.0249999999999999</v>
      </c>
      <c r="M47" s="1">
        <v>2.1339999999999999</v>
      </c>
      <c r="N47" s="1" t="s">
        <v>10</v>
      </c>
      <c r="O47" s="2" t="s">
        <v>11</v>
      </c>
      <c r="P47" s="1" t="s">
        <v>553</v>
      </c>
      <c r="Q47" s="1" t="s">
        <v>554</v>
      </c>
      <c r="R47" s="1">
        <v>8</v>
      </c>
      <c r="S47" s="1">
        <v>1.9</v>
      </c>
      <c r="T47" s="1"/>
      <c r="U47" s="1"/>
      <c r="V47" s="1"/>
      <c r="W47" s="1"/>
      <c r="X47" s="1"/>
      <c r="Y47" s="1"/>
      <c r="Z47" s="1"/>
      <c r="AA47" s="1" t="s">
        <v>32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35">
      <c r="A48" s="1">
        <v>47</v>
      </c>
      <c r="B48" s="1"/>
      <c r="C48" s="1"/>
      <c r="D48" s="1"/>
      <c r="E48" s="1"/>
      <c r="F48" s="1">
        <v>74.492407380000003</v>
      </c>
      <c r="G48" s="1">
        <v>42.488818420000001</v>
      </c>
      <c r="H48" s="1">
        <v>3090.5729999999999</v>
      </c>
      <c r="I48" s="1">
        <v>0.82599999999999996</v>
      </c>
      <c r="J48" s="1">
        <v>0.86599999999999999</v>
      </c>
      <c r="K48" s="1">
        <v>1.996</v>
      </c>
      <c r="L48" s="2">
        <v>1.1970000000000001</v>
      </c>
      <c r="M48" s="1">
        <v>2.1339999999999999</v>
      </c>
      <c r="N48" s="1" t="s">
        <v>10</v>
      </c>
      <c r="O48" s="2" t="s">
        <v>11</v>
      </c>
      <c r="P48" s="1" t="s">
        <v>555</v>
      </c>
      <c r="Q48" s="1" t="s">
        <v>556</v>
      </c>
      <c r="R48" s="1">
        <v>9</v>
      </c>
      <c r="S48" s="1">
        <v>2</v>
      </c>
      <c r="T48" s="1"/>
      <c r="U48" s="1"/>
      <c r="V48" s="1"/>
      <c r="W48" s="1"/>
      <c r="X48" s="1"/>
      <c r="Y48" s="1"/>
      <c r="Z48" s="1"/>
      <c r="AA48" s="1" t="s">
        <v>32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35">
      <c r="A49" s="1">
        <v>48</v>
      </c>
      <c r="B49" s="1"/>
      <c r="C49" s="1"/>
      <c r="D49" s="1"/>
      <c r="E49" s="1"/>
      <c r="F49" s="1">
        <v>74.492478550000001</v>
      </c>
      <c r="G49" s="1">
        <v>42.488839059999997</v>
      </c>
      <c r="H49" s="1">
        <v>3088.3310000000001</v>
      </c>
      <c r="I49" s="1">
        <v>0.90200000000000002</v>
      </c>
      <c r="J49" s="1">
        <v>0.97099999999999997</v>
      </c>
      <c r="K49" s="1">
        <v>2.2530000000000001</v>
      </c>
      <c r="L49" s="2">
        <v>1.325</v>
      </c>
      <c r="M49" s="1">
        <v>2.1339999999999999</v>
      </c>
      <c r="N49" s="1" t="s">
        <v>10</v>
      </c>
      <c r="O49" s="2" t="s">
        <v>11</v>
      </c>
      <c r="P49" s="1" t="s">
        <v>557</v>
      </c>
      <c r="Q49" s="1" t="s">
        <v>558</v>
      </c>
      <c r="R49" s="1">
        <v>23</v>
      </c>
      <c r="S49" s="1">
        <v>2.1</v>
      </c>
      <c r="T49" s="1"/>
      <c r="U49" s="1"/>
      <c r="V49" s="1"/>
      <c r="W49" s="1"/>
      <c r="X49" s="1"/>
      <c r="Y49" s="1"/>
      <c r="Z49" s="1"/>
      <c r="AA49" s="1" t="s">
        <v>32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2"/>
  <sheetViews>
    <sheetView zoomScale="90" zoomScaleNormal="90" workbookViewId="0">
      <selection activeCell="C3" sqref="C3"/>
    </sheetView>
  </sheetViews>
  <sheetFormatPr defaultColWidth="11.54296875" defaultRowHeight="14.5" x14ac:dyDescent="0.35"/>
  <cols>
    <col min="1" max="16384" width="11.54296875" style="8"/>
  </cols>
  <sheetData>
    <row r="1" spans="1:14" s="5" customFormat="1" x14ac:dyDescent="0.35">
      <c r="A1" s="5" t="s">
        <v>709</v>
      </c>
      <c r="D1" s="5" t="s">
        <v>758</v>
      </c>
      <c r="G1" s="5" t="s">
        <v>762</v>
      </c>
      <c r="J1" s="5" t="s">
        <v>991</v>
      </c>
      <c r="M1" s="5" t="s">
        <v>988</v>
      </c>
    </row>
    <row r="2" spans="1:14" s="5" customFormat="1" x14ac:dyDescent="0.35">
      <c r="A2" s="5" t="s">
        <v>989</v>
      </c>
      <c r="B2" s="5" t="s">
        <v>990</v>
      </c>
      <c r="D2" s="5" t="s">
        <v>989</v>
      </c>
      <c r="E2" s="5" t="s">
        <v>990</v>
      </c>
      <c r="G2" s="5" t="s">
        <v>989</v>
      </c>
      <c r="H2" s="5" t="s">
        <v>990</v>
      </c>
      <c r="J2" s="5" t="s">
        <v>989</v>
      </c>
      <c r="K2" s="5" t="s">
        <v>990</v>
      </c>
      <c r="M2" s="5" t="s">
        <v>989</v>
      </c>
      <c r="N2" s="5" t="s">
        <v>990</v>
      </c>
    </row>
    <row r="3" spans="1:14" x14ac:dyDescent="0.35">
      <c r="A3" s="8">
        <v>0</v>
      </c>
      <c r="B3" s="8">
        <v>3220.8310000000001</v>
      </c>
      <c r="D3" s="8">
        <v>0</v>
      </c>
      <c r="E3" s="1">
        <v>3399.2919999999999</v>
      </c>
      <c r="G3" s="8">
        <v>0</v>
      </c>
      <c r="H3" s="1">
        <v>3211.8040000000001</v>
      </c>
      <c r="J3" s="8">
        <v>0</v>
      </c>
      <c r="K3">
        <v>3192.4050000000002</v>
      </c>
      <c r="M3" s="8">
        <v>0</v>
      </c>
      <c r="N3" s="1">
        <v>3021.2080000000001</v>
      </c>
    </row>
    <row r="4" spans="1:14" x14ac:dyDescent="0.35">
      <c r="A4" s="8">
        <v>5</v>
      </c>
      <c r="B4" s="8">
        <v>3220.64</v>
      </c>
      <c r="D4" s="8">
        <v>5</v>
      </c>
      <c r="E4" s="1">
        <v>3398.924</v>
      </c>
      <c r="G4" s="8">
        <v>5</v>
      </c>
      <c r="H4" s="1">
        <v>3210.0549999999998</v>
      </c>
      <c r="J4" s="8">
        <v>5</v>
      </c>
      <c r="K4">
        <v>3191.74</v>
      </c>
      <c r="M4" s="8">
        <v>5</v>
      </c>
      <c r="N4" s="1">
        <v>3022.489</v>
      </c>
    </row>
    <row r="5" spans="1:14" x14ac:dyDescent="0.35">
      <c r="A5" s="8">
        <v>10</v>
      </c>
      <c r="B5" s="8">
        <v>3220.57</v>
      </c>
      <c r="D5" s="8">
        <v>10</v>
      </c>
      <c r="E5" s="1">
        <v>3398.107</v>
      </c>
      <c r="G5" s="8">
        <v>10</v>
      </c>
      <c r="H5" s="1">
        <v>3208.605</v>
      </c>
      <c r="J5" s="8">
        <v>10</v>
      </c>
      <c r="K5">
        <v>3191.5459999999998</v>
      </c>
      <c r="M5" s="8">
        <v>10</v>
      </c>
      <c r="N5" s="1">
        <v>3025.1089999999999</v>
      </c>
    </row>
    <row r="6" spans="1:14" x14ac:dyDescent="0.35">
      <c r="A6" s="8">
        <v>15</v>
      </c>
      <c r="B6" s="8">
        <v>3221.4549999999999</v>
      </c>
      <c r="D6" s="8">
        <v>15</v>
      </c>
      <c r="E6" s="1">
        <v>3396.931</v>
      </c>
      <c r="G6" s="8">
        <v>15</v>
      </c>
      <c r="H6" s="1">
        <v>3207.2220000000002</v>
      </c>
      <c r="J6" s="8">
        <v>15</v>
      </c>
      <c r="K6">
        <v>3191.55</v>
      </c>
      <c r="M6" s="8">
        <v>15</v>
      </c>
      <c r="N6" s="1">
        <v>3027.86</v>
      </c>
    </row>
    <row r="7" spans="1:14" x14ac:dyDescent="0.35">
      <c r="A7" s="8">
        <v>20</v>
      </c>
      <c r="B7" s="8">
        <v>3221.27</v>
      </c>
      <c r="D7" s="8">
        <v>20</v>
      </c>
      <c r="E7" s="1">
        <v>3396.4160000000002</v>
      </c>
      <c r="G7" s="8">
        <v>20</v>
      </c>
      <c r="H7" s="1">
        <v>3205.5540000000001</v>
      </c>
      <c r="J7" s="8">
        <v>20</v>
      </c>
      <c r="K7">
        <v>3189.8789999999999</v>
      </c>
      <c r="M7" s="8">
        <v>20</v>
      </c>
      <c r="N7" s="1">
        <v>3029.7660000000001</v>
      </c>
    </row>
    <row r="8" spans="1:14" x14ac:dyDescent="0.35">
      <c r="A8" s="8">
        <v>25</v>
      </c>
      <c r="B8" s="8">
        <v>3221.5349999999999</v>
      </c>
      <c r="D8" s="8">
        <v>25</v>
      </c>
      <c r="E8" s="1">
        <v>3396.5540000000001</v>
      </c>
      <c r="G8" s="8">
        <v>25</v>
      </c>
      <c r="H8" s="1">
        <v>3204.3009999999999</v>
      </c>
      <c r="J8" s="8">
        <v>25</v>
      </c>
      <c r="K8">
        <v>3190.5360000000001</v>
      </c>
      <c r="M8" s="8">
        <v>25</v>
      </c>
      <c r="N8" s="1">
        <v>3031.085</v>
      </c>
    </row>
    <row r="9" spans="1:14" x14ac:dyDescent="0.35">
      <c r="A9" s="8">
        <v>30</v>
      </c>
      <c r="B9" s="8">
        <v>3222.1109999999999</v>
      </c>
      <c r="D9" s="8">
        <v>30</v>
      </c>
      <c r="E9" s="1">
        <v>3397.0819999999999</v>
      </c>
      <c r="G9" s="8">
        <v>30</v>
      </c>
      <c r="H9" s="1">
        <v>3202.6289999999999</v>
      </c>
      <c r="J9" s="8">
        <v>30</v>
      </c>
      <c r="K9">
        <v>3190.1480000000001</v>
      </c>
      <c r="M9" s="8">
        <v>30</v>
      </c>
      <c r="N9" s="1">
        <v>3032.5970000000002</v>
      </c>
    </row>
    <row r="10" spans="1:14" x14ac:dyDescent="0.35">
      <c r="A10" s="8">
        <v>35</v>
      </c>
      <c r="B10" s="8">
        <v>3223.0039999999999</v>
      </c>
      <c r="D10" s="8">
        <v>35</v>
      </c>
      <c r="E10" s="1">
        <v>3397.9180000000001</v>
      </c>
      <c r="G10" s="8">
        <v>35</v>
      </c>
      <c r="H10" s="1">
        <v>3201.6239999999998</v>
      </c>
      <c r="J10" s="8">
        <v>35</v>
      </c>
      <c r="K10">
        <v>3188.3670000000002</v>
      </c>
      <c r="M10" s="8">
        <v>35</v>
      </c>
      <c r="N10" s="1">
        <v>3033.7840000000001</v>
      </c>
    </row>
    <row r="11" spans="1:14" x14ac:dyDescent="0.35">
      <c r="A11" s="8">
        <v>40</v>
      </c>
      <c r="B11" s="8">
        <v>3224.328</v>
      </c>
      <c r="D11" s="8">
        <v>40</v>
      </c>
      <c r="E11" s="1">
        <v>3398.55</v>
      </c>
      <c r="G11" s="8">
        <v>40</v>
      </c>
      <c r="H11" s="1">
        <v>3200.39</v>
      </c>
      <c r="J11" s="8">
        <v>40</v>
      </c>
      <c r="K11">
        <v>3188.1080000000002</v>
      </c>
      <c r="M11" s="8">
        <v>40</v>
      </c>
      <c r="N11" s="1">
        <v>3034.7379999999998</v>
      </c>
    </row>
    <row r="12" spans="1:14" x14ac:dyDescent="0.35">
      <c r="A12" s="8">
        <v>45</v>
      </c>
      <c r="B12" s="8">
        <v>3225.6759999999999</v>
      </c>
      <c r="D12" s="8">
        <v>45</v>
      </c>
      <c r="E12" s="1">
        <v>3399.1379999999999</v>
      </c>
      <c r="G12" s="8">
        <v>45</v>
      </c>
      <c r="H12" s="1">
        <v>3199.252</v>
      </c>
      <c r="J12" s="8">
        <v>45</v>
      </c>
      <c r="K12">
        <v>3187.65</v>
      </c>
      <c r="M12" s="8">
        <v>45</v>
      </c>
      <c r="N12" s="1">
        <v>3035.9470000000001</v>
      </c>
    </row>
    <row r="13" spans="1:14" x14ac:dyDescent="0.35">
      <c r="A13" s="8">
        <v>50</v>
      </c>
      <c r="B13" s="8">
        <v>3225.607</v>
      </c>
      <c r="D13" s="8">
        <v>50</v>
      </c>
      <c r="E13" s="1">
        <v>3399.95</v>
      </c>
      <c r="G13" s="8">
        <v>50</v>
      </c>
      <c r="H13" s="1">
        <v>3199.04</v>
      </c>
      <c r="J13" s="8">
        <v>50</v>
      </c>
      <c r="K13">
        <v>3187.2330000000002</v>
      </c>
      <c r="M13" s="8">
        <v>50</v>
      </c>
      <c r="N13" s="1">
        <v>3036.4969999999998</v>
      </c>
    </row>
    <row r="14" spans="1:14" x14ac:dyDescent="0.35">
      <c r="A14" s="8">
        <v>55</v>
      </c>
      <c r="B14" s="8">
        <v>3225.7069999999999</v>
      </c>
      <c r="D14" s="8">
        <v>55</v>
      </c>
      <c r="E14" s="1">
        <v>3400.837</v>
      </c>
      <c r="G14" s="8">
        <v>55</v>
      </c>
      <c r="H14" s="1">
        <v>3199.3980000000001</v>
      </c>
      <c r="J14" s="8">
        <v>55</v>
      </c>
      <c r="K14">
        <v>3187.5059999999999</v>
      </c>
      <c r="M14" s="8">
        <v>55</v>
      </c>
      <c r="N14" s="1">
        <v>3037.1619999999998</v>
      </c>
    </row>
    <row r="15" spans="1:14" x14ac:dyDescent="0.35">
      <c r="A15" s="8">
        <v>60</v>
      </c>
      <c r="B15" s="8">
        <v>3224.4349999999999</v>
      </c>
      <c r="D15" s="8">
        <v>60</v>
      </c>
      <c r="E15" s="1">
        <v>3401.5340000000001</v>
      </c>
      <c r="G15" s="8">
        <v>60</v>
      </c>
      <c r="H15" s="1">
        <v>3200.1039999999998</v>
      </c>
      <c r="J15" s="8">
        <v>60</v>
      </c>
      <c r="K15">
        <v>3187.4929999999999</v>
      </c>
      <c r="M15" s="8">
        <v>60</v>
      </c>
      <c r="N15" s="1">
        <v>3038.0810000000001</v>
      </c>
    </row>
    <row r="16" spans="1:14" x14ac:dyDescent="0.35">
      <c r="A16" s="8">
        <v>65</v>
      </c>
      <c r="B16" s="8">
        <v>3226.01</v>
      </c>
      <c r="D16" s="8">
        <v>65</v>
      </c>
      <c r="E16" s="1">
        <v>3402.5369999999998</v>
      </c>
      <c r="G16" s="8">
        <v>65</v>
      </c>
      <c r="H16" s="1">
        <v>3200.1990000000001</v>
      </c>
      <c r="J16" s="8">
        <v>65</v>
      </c>
      <c r="K16">
        <v>3186.431</v>
      </c>
      <c r="M16" s="8">
        <v>65</v>
      </c>
      <c r="N16" s="1">
        <v>3039.5079999999998</v>
      </c>
    </row>
    <row r="17" spans="1:14" x14ac:dyDescent="0.35">
      <c r="A17" s="8">
        <v>70</v>
      </c>
      <c r="B17" s="8">
        <v>3228.2220000000002</v>
      </c>
      <c r="D17" s="8">
        <v>70</v>
      </c>
      <c r="E17" s="1">
        <v>3404.067</v>
      </c>
      <c r="G17" s="8">
        <v>70</v>
      </c>
      <c r="H17" s="1">
        <v>3200.3420000000001</v>
      </c>
      <c r="J17" s="8">
        <v>70</v>
      </c>
      <c r="K17">
        <v>3185.0169999999998</v>
      </c>
      <c r="M17" s="8">
        <v>70</v>
      </c>
      <c r="N17" s="1">
        <v>3041.6970000000001</v>
      </c>
    </row>
    <row r="18" spans="1:14" x14ac:dyDescent="0.35">
      <c r="A18" s="8">
        <v>75</v>
      </c>
      <c r="B18" s="8">
        <v>3227.3690000000001</v>
      </c>
      <c r="D18" s="8">
        <v>75</v>
      </c>
      <c r="E18" s="1">
        <v>3404.83</v>
      </c>
      <c r="G18" s="8">
        <v>75</v>
      </c>
      <c r="H18" s="1">
        <v>3199.2640000000001</v>
      </c>
      <c r="J18" s="8">
        <v>75</v>
      </c>
      <c r="K18">
        <v>3184.0529999999999</v>
      </c>
      <c r="M18" s="8">
        <v>75</v>
      </c>
      <c r="N18" s="1">
        <v>3044.029</v>
      </c>
    </row>
    <row r="19" spans="1:14" x14ac:dyDescent="0.35">
      <c r="A19" s="8">
        <v>80</v>
      </c>
      <c r="B19" s="8">
        <v>3226.6759999999999</v>
      </c>
      <c r="D19" s="8">
        <v>80</v>
      </c>
      <c r="E19" s="1">
        <v>3405.9009999999998</v>
      </c>
      <c r="G19" s="8">
        <v>80</v>
      </c>
      <c r="H19" s="1">
        <v>3198.5219999999999</v>
      </c>
      <c r="J19" s="8">
        <v>80</v>
      </c>
      <c r="K19">
        <v>3182.694</v>
      </c>
      <c r="M19" s="8">
        <v>80</v>
      </c>
      <c r="N19" s="1">
        <v>3045.569</v>
      </c>
    </row>
    <row r="20" spans="1:14" x14ac:dyDescent="0.35">
      <c r="A20" s="8">
        <v>85</v>
      </c>
      <c r="B20" s="8">
        <v>3226.3890000000001</v>
      </c>
      <c r="D20" s="8">
        <v>85</v>
      </c>
      <c r="E20" s="1">
        <v>3406.9009999999998</v>
      </c>
      <c r="G20" s="8">
        <v>85</v>
      </c>
      <c r="H20" s="1">
        <v>3197.73</v>
      </c>
      <c r="J20" s="8">
        <v>85</v>
      </c>
      <c r="K20">
        <v>3182.0810000000001</v>
      </c>
      <c r="M20" s="8">
        <v>85</v>
      </c>
      <c r="N20" s="1">
        <v>3047.0279999999998</v>
      </c>
    </row>
    <row r="21" spans="1:14" x14ac:dyDescent="0.35">
      <c r="A21" s="8">
        <v>90</v>
      </c>
      <c r="B21" s="8">
        <v>3226.42</v>
      </c>
      <c r="D21" s="8">
        <v>90</v>
      </c>
      <c r="E21" s="1">
        <v>3407.8589999999999</v>
      </c>
      <c r="G21" s="8">
        <v>90</v>
      </c>
      <c r="H21" s="1">
        <v>3196.2820000000002</v>
      </c>
      <c r="J21" s="8">
        <v>90</v>
      </c>
      <c r="K21">
        <v>3181.788</v>
      </c>
      <c r="M21" s="8">
        <v>90</v>
      </c>
      <c r="N21" s="1">
        <v>3048.924</v>
      </c>
    </row>
    <row r="22" spans="1:14" x14ac:dyDescent="0.35">
      <c r="A22" s="8">
        <v>95</v>
      </c>
      <c r="B22" s="8">
        <v>3227.0549999999998</v>
      </c>
      <c r="D22" s="8">
        <v>95</v>
      </c>
      <c r="E22" s="1">
        <v>3408.5569999999998</v>
      </c>
      <c r="G22" s="8">
        <v>95</v>
      </c>
      <c r="H22" s="1">
        <v>3195.1060000000002</v>
      </c>
      <c r="J22" s="8">
        <v>95</v>
      </c>
      <c r="K22">
        <v>3181.7869999999998</v>
      </c>
      <c r="M22" s="8">
        <v>95</v>
      </c>
      <c r="N22" s="1">
        <v>3051.8270000000002</v>
      </c>
    </row>
    <row r="23" spans="1:14" x14ac:dyDescent="0.35">
      <c r="A23" s="8">
        <v>100</v>
      </c>
      <c r="B23" s="8">
        <v>3226.393</v>
      </c>
      <c r="D23" s="8">
        <v>100</v>
      </c>
      <c r="E23" s="1">
        <v>3409.884</v>
      </c>
      <c r="G23" s="8">
        <v>100</v>
      </c>
      <c r="H23" s="1">
        <v>3194.009</v>
      </c>
      <c r="J23" s="8">
        <v>100</v>
      </c>
      <c r="K23">
        <v>3177.9870000000001</v>
      </c>
      <c r="M23" s="8">
        <v>100</v>
      </c>
      <c r="N23" s="1">
        <v>3054.9690000000001</v>
      </c>
    </row>
    <row r="24" spans="1:14" x14ac:dyDescent="0.35">
      <c r="A24" s="8">
        <v>105</v>
      </c>
      <c r="B24" s="8">
        <v>3226.33</v>
      </c>
      <c r="D24" s="8">
        <v>105</v>
      </c>
      <c r="E24" s="1">
        <v>3410.5819999999999</v>
      </c>
      <c r="G24" s="8">
        <v>105</v>
      </c>
      <c r="H24" s="1">
        <v>3194.2649999999999</v>
      </c>
      <c r="J24" s="8">
        <v>105</v>
      </c>
      <c r="K24">
        <v>3178.241</v>
      </c>
      <c r="M24" s="8">
        <v>105</v>
      </c>
      <c r="N24" s="1">
        <v>3056.7579999999998</v>
      </c>
    </row>
    <row r="25" spans="1:14" x14ac:dyDescent="0.35">
      <c r="A25" s="8">
        <v>110</v>
      </c>
      <c r="B25" s="8">
        <v>3227.3290000000002</v>
      </c>
      <c r="D25" s="8">
        <v>110</v>
      </c>
      <c r="E25" s="1">
        <v>3411.46</v>
      </c>
      <c r="G25" s="8">
        <v>110</v>
      </c>
      <c r="H25" s="1">
        <v>3194.2449999999999</v>
      </c>
      <c r="J25" s="8">
        <v>110</v>
      </c>
      <c r="K25">
        <v>3177.5610000000001</v>
      </c>
      <c r="M25" s="8">
        <v>110</v>
      </c>
      <c r="N25" s="1">
        <v>3057.7779999999998</v>
      </c>
    </row>
    <row r="26" spans="1:14" x14ac:dyDescent="0.35">
      <c r="A26" s="8">
        <v>115</v>
      </c>
      <c r="B26" s="8">
        <v>3228.3890000000001</v>
      </c>
      <c r="D26" s="8">
        <v>115</v>
      </c>
      <c r="E26" s="1">
        <v>3411.9479999999999</v>
      </c>
      <c r="G26" s="8">
        <v>115</v>
      </c>
      <c r="H26" s="1">
        <v>3193.2359999999999</v>
      </c>
      <c r="J26" s="8">
        <v>115</v>
      </c>
      <c r="K26">
        <v>3177.2979999999998</v>
      </c>
      <c r="M26" s="8">
        <v>115</v>
      </c>
      <c r="N26" s="1">
        <v>3059.7170000000001</v>
      </c>
    </row>
    <row r="27" spans="1:14" x14ac:dyDescent="0.35">
      <c r="A27" s="8">
        <v>120</v>
      </c>
      <c r="B27" s="8">
        <v>3228.625</v>
      </c>
      <c r="D27" s="8">
        <v>120</v>
      </c>
      <c r="E27" s="1">
        <v>3412.433</v>
      </c>
      <c r="G27" s="8">
        <v>120</v>
      </c>
      <c r="H27" s="1">
        <v>3192.7440000000001</v>
      </c>
      <c r="J27" s="8">
        <v>120</v>
      </c>
      <c r="K27">
        <v>3176.3989999999999</v>
      </c>
      <c r="M27" s="8">
        <v>120</v>
      </c>
      <c r="N27" s="1">
        <v>3061.9340000000002</v>
      </c>
    </row>
    <row r="28" spans="1:14" x14ac:dyDescent="0.35">
      <c r="A28" s="8">
        <v>125</v>
      </c>
      <c r="B28" s="8">
        <v>3229.7979999999998</v>
      </c>
      <c r="D28" s="8">
        <v>125</v>
      </c>
      <c r="E28" s="1">
        <v>3412.7820000000002</v>
      </c>
      <c r="G28" s="8">
        <v>125</v>
      </c>
      <c r="H28" s="1">
        <v>3191.683</v>
      </c>
      <c r="J28" s="8">
        <v>125</v>
      </c>
      <c r="K28">
        <v>3176.056</v>
      </c>
      <c r="M28" s="8">
        <v>125</v>
      </c>
      <c r="N28" s="1">
        <v>3062.99</v>
      </c>
    </row>
    <row r="29" spans="1:14" x14ac:dyDescent="0.35">
      <c r="A29" s="8">
        <v>130</v>
      </c>
      <c r="B29" s="8">
        <v>3230.2669999999998</v>
      </c>
      <c r="D29" s="8">
        <v>130</v>
      </c>
      <c r="E29" s="1">
        <v>3413.2289999999998</v>
      </c>
      <c r="G29" s="8">
        <v>130</v>
      </c>
      <c r="H29" s="1">
        <v>3191.9340000000002</v>
      </c>
      <c r="J29" s="8">
        <v>130</v>
      </c>
      <c r="K29">
        <v>3175.5819999999999</v>
      </c>
      <c r="M29" s="8">
        <v>130</v>
      </c>
      <c r="N29" s="1">
        <v>3064.52</v>
      </c>
    </row>
    <row r="30" spans="1:14" x14ac:dyDescent="0.35">
      <c r="A30" s="8">
        <v>135</v>
      </c>
      <c r="B30" s="8">
        <v>3231.0880000000002</v>
      </c>
      <c r="D30" s="8">
        <v>135</v>
      </c>
      <c r="E30" s="1">
        <v>3414.002</v>
      </c>
      <c r="G30" s="8">
        <v>135</v>
      </c>
      <c r="H30" s="1">
        <v>3191.9470000000001</v>
      </c>
      <c r="J30" s="8">
        <v>135</v>
      </c>
      <c r="K30">
        <v>3175.1660000000002</v>
      </c>
      <c r="M30" s="8">
        <v>135</v>
      </c>
      <c r="N30" s="1">
        <v>3067.1860000000001</v>
      </c>
    </row>
    <row r="31" spans="1:14" x14ac:dyDescent="0.35">
      <c r="A31" s="8">
        <v>140</v>
      </c>
      <c r="B31" s="8">
        <v>3229.83</v>
      </c>
      <c r="D31" s="8">
        <v>140</v>
      </c>
      <c r="E31" s="1">
        <v>3414.415</v>
      </c>
      <c r="G31" s="8">
        <v>140</v>
      </c>
      <c r="H31" s="1">
        <v>3191.7220000000002</v>
      </c>
      <c r="J31" s="8">
        <v>140</v>
      </c>
      <c r="K31">
        <v>3172.9690000000001</v>
      </c>
      <c r="M31" s="8">
        <v>140</v>
      </c>
      <c r="N31" s="1">
        <v>3068.549</v>
      </c>
    </row>
    <row r="32" spans="1:14" x14ac:dyDescent="0.35">
      <c r="A32" s="8">
        <v>145</v>
      </c>
      <c r="B32" s="8">
        <v>3230.4169999999999</v>
      </c>
      <c r="D32" s="8">
        <v>145</v>
      </c>
      <c r="E32" s="1">
        <v>3415.0830000000001</v>
      </c>
      <c r="G32" s="8">
        <v>145</v>
      </c>
      <c r="H32" s="1">
        <v>3190.6219999999998</v>
      </c>
      <c r="J32" s="8">
        <v>145</v>
      </c>
      <c r="K32">
        <v>3173.1289999999999</v>
      </c>
      <c r="M32" s="8">
        <v>145</v>
      </c>
      <c r="N32" s="1">
        <v>3069.962</v>
      </c>
    </row>
    <row r="33" spans="1:14" x14ac:dyDescent="0.35">
      <c r="A33" s="8">
        <v>150</v>
      </c>
      <c r="B33" s="8">
        <v>3232.585</v>
      </c>
      <c r="D33" s="8">
        <v>150</v>
      </c>
      <c r="E33" s="1">
        <v>3415.8829999999998</v>
      </c>
      <c r="G33" s="8">
        <v>150</v>
      </c>
      <c r="H33" s="1">
        <v>3188.9250000000002</v>
      </c>
      <c r="J33" s="8">
        <v>150</v>
      </c>
      <c r="K33">
        <v>3173.915</v>
      </c>
      <c r="M33" s="8">
        <v>150</v>
      </c>
      <c r="N33" s="1">
        <v>3071.8470000000002</v>
      </c>
    </row>
    <row r="34" spans="1:14" x14ac:dyDescent="0.35">
      <c r="A34" s="8">
        <v>155</v>
      </c>
      <c r="B34" s="8">
        <v>3232.5079999999998</v>
      </c>
      <c r="D34" s="8">
        <v>155</v>
      </c>
      <c r="E34" s="1">
        <v>3416.261</v>
      </c>
      <c r="G34" s="8">
        <v>155</v>
      </c>
      <c r="H34" s="1">
        <v>3187.8209999999999</v>
      </c>
      <c r="J34" s="8">
        <v>155</v>
      </c>
      <c r="K34">
        <v>3173.35</v>
      </c>
      <c r="M34" s="8">
        <v>155</v>
      </c>
      <c r="N34" s="1">
        <v>3073.7269999999999</v>
      </c>
    </row>
    <row r="35" spans="1:14" x14ac:dyDescent="0.35">
      <c r="A35" s="8">
        <v>160</v>
      </c>
      <c r="B35" s="8">
        <v>3233.3530000000001</v>
      </c>
      <c r="D35" s="8">
        <v>160</v>
      </c>
      <c r="E35" s="1">
        <v>3416.616</v>
      </c>
      <c r="G35" s="8">
        <v>160</v>
      </c>
      <c r="H35" s="1">
        <v>3187.0120000000002</v>
      </c>
      <c r="J35" s="8">
        <v>160</v>
      </c>
      <c r="K35">
        <v>3172.2719999999999</v>
      </c>
      <c r="M35" s="8">
        <v>160</v>
      </c>
      <c r="N35" s="1">
        <v>3075.1190000000001</v>
      </c>
    </row>
    <row r="36" spans="1:14" x14ac:dyDescent="0.35">
      <c r="A36" s="8">
        <v>165</v>
      </c>
      <c r="B36" s="8">
        <v>3234.3449999999998</v>
      </c>
      <c r="D36" s="8">
        <v>165</v>
      </c>
      <c r="E36" s="1">
        <v>3417.1550000000002</v>
      </c>
      <c r="G36" s="8">
        <v>165</v>
      </c>
      <c r="H36" s="1">
        <v>3186.971</v>
      </c>
      <c r="J36" s="8">
        <v>165</v>
      </c>
      <c r="K36">
        <v>3174.35</v>
      </c>
      <c r="M36" s="8">
        <v>165</v>
      </c>
      <c r="N36" s="1">
        <v>3076.4690000000001</v>
      </c>
    </row>
    <row r="37" spans="1:14" x14ac:dyDescent="0.35">
      <c r="A37" s="8">
        <v>170</v>
      </c>
      <c r="B37" s="8">
        <v>3234.74</v>
      </c>
      <c r="D37" s="8">
        <v>170</v>
      </c>
      <c r="E37" s="1">
        <v>3417.9290000000001</v>
      </c>
      <c r="G37" s="8">
        <v>170</v>
      </c>
      <c r="H37" s="1">
        <v>3186.895</v>
      </c>
      <c r="J37" s="8">
        <v>170</v>
      </c>
      <c r="K37">
        <v>3173.2689999999998</v>
      </c>
      <c r="M37" s="8">
        <v>170</v>
      </c>
      <c r="N37" s="1">
        <v>3077.5189999999998</v>
      </c>
    </row>
    <row r="38" spans="1:14" x14ac:dyDescent="0.35">
      <c r="A38" s="8">
        <v>175</v>
      </c>
      <c r="B38" s="8">
        <v>3236.0059999999999</v>
      </c>
      <c r="D38" s="8">
        <v>175</v>
      </c>
      <c r="E38" s="1">
        <v>3418.1030000000001</v>
      </c>
      <c r="G38" s="8">
        <v>175</v>
      </c>
      <c r="H38" s="1">
        <v>3186.2330000000002</v>
      </c>
      <c r="J38" s="8">
        <v>175</v>
      </c>
      <c r="K38">
        <v>3173.9670000000001</v>
      </c>
      <c r="M38" s="8">
        <v>175</v>
      </c>
      <c r="N38" s="1">
        <v>3078.5740000000001</v>
      </c>
    </row>
    <row r="39" spans="1:14" x14ac:dyDescent="0.35">
      <c r="A39" s="8">
        <v>180</v>
      </c>
      <c r="B39" s="8">
        <v>3236.1289999999999</v>
      </c>
      <c r="D39" s="8">
        <v>180</v>
      </c>
      <c r="E39" s="1">
        <v>3418.23</v>
      </c>
      <c r="G39" s="8">
        <v>180</v>
      </c>
      <c r="H39" s="1">
        <v>3185.9369999999999</v>
      </c>
      <c r="J39" s="8">
        <v>180</v>
      </c>
      <c r="K39">
        <v>3171.951</v>
      </c>
      <c r="M39" s="8">
        <v>180</v>
      </c>
      <c r="N39" s="1">
        <v>3078.66</v>
      </c>
    </row>
    <row r="40" spans="1:14" x14ac:dyDescent="0.35">
      <c r="A40" s="8">
        <v>185</v>
      </c>
      <c r="B40" s="8">
        <v>3237.223</v>
      </c>
      <c r="D40" s="8">
        <v>185</v>
      </c>
      <c r="E40" s="1">
        <v>3419.3240000000001</v>
      </c>
      <c r="G40" s="8">
        <v>185</v>
      </c>
      <c r="H40" s="1">
        <v>3185.4160000000002</v>
      </c>
      <c r="J40" s="8">
        <v>185</v>
      </c>
      <c r="K40">
        <v>3172.36</v>
      </c>
      <c r="M40" s="8">
        <v>185</v>
      </c>
      <c r="N40" s="1">
        <v>3080.8119999999999</v>
      </c>
    </row>
    <row r="41" spans="1:14" x14ac:dyDescent="0.35">
      <c r="A41" s="8">
        <v>190</v>
      </c>
      <c r="B41" s="8">
        <v>3237.5329999999999</v>
      </c>
      <c r="D41" s="8">
        <v>190</v>
      </c>
      <c r="E41" s="1">
        <v>3419.904</v>
      </c>
      <c r="G41" s="8">
        <v>190</v>
      </c>
      <c r="H41" s="1">
        <v>3184.7310000000002</v>
      </c>
      <c r="J41" s="8">
        <v>190</v>
      </c>
      <c r="K41">
        <v>3172.259</v>
      </c>
      <c r="M41" s="8">
        <v>190</v>
      </c>
      <c r="N41" s="1">
        <v>3082.0430000000001</v>
      </c>
    </row>
    <row r="42" spans="1:14" x14ac:dyDescent="0.35">
      <c r="A42" s="8">
        <v>195</v>
      </c>
      <c r="B42" s="8">
        <v>3237.58</v>
      </c>
      <c r="D42" s="8">
        <v>195</v>
      </c>
      <c r="E42" s="1">
        <v>3420.6</v>
      </c>
      <c r="G42" s="8">
        <v>195</v>
      </c>
      <c r="H42" s="1">
        <v>3184.2469999999998</v>
      </c>
      <c r="J42" s="8">
        <v>195</v>
      </c>
      <c r="K42">
        <v>3171.31</v>
      </c>
      <c r="M42" s="8">
        <v>195</v>
      </c>
      <c r="N42" s="1">
        <v>3083.1860000000001</v>
      </c>
    </row>
    <row r="43" spans="1:14" x14ac:dyDescent="0.35">
      <c r="A43" s="8">
        <v>200</v>
      </c>
      <c r="B43" s="8">
        <v>3237.75</v>
      </c>
      <c r="D43" s="8">
        <v>200</v>
      </c>
      <c r="E43" s="1">
        <v>3421.0410000000002</v>
      </c>
      <c r="G43" s="8">
        <v>200</v>
      </c>
      <c r="H43" s="1">
        <v>3183.65</v>
      </c>
      <c r="J43" s="8">
        <v>200</v>
      </c>
      <c r="K43">
        <v>3173.1619999999998</v>
      </c>
      <c r="M43" s="8">
        <v>200</v>
      </c>
      <c r="N43" s="1">
        <v>3084.6280000000002</v>
      </c>
    </row>
    <row r="44" spans="1:14" x14ac:dyDescent="0.35">
      <c r="A44" s="8">
        <v>205</v>
      </c>
      <c r="B44" s="8">
        <v>3238.8589999999999</v>
      </c>
      <c r="D44" s="8">
        <v>205</v>
      </c>
      <c r="E44" s="1">
        <v>3421.0880000000002</v>
      </c>
      <c r="G44" s="8">
        <v>205</v>
      </c>
      <c r="H44" s="1">
        <v>3180</v>
      </c>
      <c r="J44" s="8">
        <v>205</v>
      </c>
      <c r="K44">
        <v>3174.806</v>
      </c>
      <c r="M44" s="8">
        <v>205</v>
      </c>
      <c r="N44" s="1">
        <v>3086.0160000000001</v>
      </c>
    </row>
    <row r="45" spans="1:14" x14ac:dyDescent="0.35">
      <c r="A45" s="8">
        <v>210</v>
      </c>
      <c r="B45" s="8">
        <v>3239.1</v>
      </c>
      <c r="D45" s="8">
        <v>210</v>
      </c>
      <c r="E45" s="1">
        <v>3421.009</v>
      </c>
      <c r="G45" s="8">
        <v>210</v>
      </c>
      <c r="H45" s="1">
        <v>3177.252</v>
      </c>
      <c r="J45" s="8">
        <v>210</v>
      </c>
      <c r="K45">
        <v>3174.33</v>
      </c>
      <c r="M45" s="8">
        <v>210</v>
      </c>
      <c r="N45" s="1">
        <v>3085.5770000000002</v>
      </c>
    </row>
    <row r="46" spans="1:14" x14ac:dyDescent="0.35">
      <c r="A46" s="8">
        <v>215</v>
      </c>
      <c r="B46" s="8">
        <v>3239.6660000000002</v>
      </c>
      <c r="D46" s="8">
        <v>215</v>
      </c>
      <c r="E46" s="1">
        <v>3420.8879999999999</v>
      </c>
      <c r="G46" s="8">
        <v>215</v>
      </c>
      <c r="H46" s="1">
        <v>3174.1210000000001</v>
      </c>
      <c r="J46" s="8">
        <v>215</v>
      </c>
      <c r="K46">
        <v>3173.0450000000001</v>
      </c>
      <c r="M46" s="8">
        <v>215</v>
      </c>
      <c r="N46" s="1">
        <v>3087.2649999999999</v>
      </c>
    </row>
    <row r="47" spans="1:14" x14ac:dyDescent="0.35">
      <c r="A47" s="8">
        <v>220</v>
      </c>
      <c r="B47" s="8">
        <v>3239.598</v>
      </c>
      <c r="D47" s="8">
        <v>220</v>
      </c>
      <c r="E47" s="1">
        <v>3420.415</v>
      </c>
      <c r="G47" s="8">
        <v>220</v>
      </c>
      <c r="H47" s="1">
        <v>3173.3589999999999</v>
      </c>
      <c r="J47" s="8">
        <v>220</v>
      </c>
      <c r="K47">
        <v>3173.5419999999999</v>
      </c>
      <c r="M47" s="8">
        <v>220</v>
      </c>
      <c r="N47" s="1">
        <v>3088.1689999999999</v>
      </c>
    </row>
    <row r="48" spans="1:14" x14ac:dyDescent="0.35">
      <c r="A48" s="8">
        <v>225</v>
      </c>
      <c r="B48" s="8">
        <v>3241.326</v>
      </c>
      <c r="D48" s="8">
        <v>225</v>
      </c>
      <c r="E48" s="1">
        <v>3420.288</v>
      </c>
      <c r="G48" s="8">
        <v>225</v>
      </c>
      <c r="H48" s="1">
        <v>3172.348</v>
      </c>
      <c r="J48" s="8">
        <v>225</v>
      </c>
      <c r="K48">
        <v>3173.8670000000002</v>
      </c>
      <c r="M48" s="8">
        <v>225</v>
      </c>
      <c r="N48" s="1">
        <v>3089.5120000000002</v>
      </c>
    </row>
    <row r="49" spans="1:14" x14ac:dyDescent="0.35">
      <c r="A49" s="8">
        <v>230</v>
      </c>
      <c r="B49" s="8">
        <v>3243.0120000000002</v>
      </c>
      <c r="D49" s="8">
        <v>230</v>
      </c>
      <c r="E49" s="1">
        <v>3420.491</v>
      </c>
      <c r="G49" s="8">
        <v>230</v>
      </c>
      <c r="H49" s="1">
        <v>3171.6109999999999</v>
      </c>
      <c r="J49" s="8">
        <v>230</v>
      </c>
      <c r="K49">
        <v>3173.6419999999998</v>
      </c>
      <c r="M49" s="8">
        <v>230</v>
      </c>
      <c r="N49" s="1">
        <v>3090.5729999999999</v>
      </c>
    </row>
    <row r="50" spans="1:14" x14ac:dyDescent="0.35">
      <c r="A50" s="8">
        <v>235</v>
      </c>
      <c r="B50" s="8">
        <v>3244.3809999999999</v>
      </c>
      <c r="D50" s="8">
        <v>235</v>
      </c>
      <c r="E50" s="1">
        <v>3420.6210000000001</v>
      </c>
      <c r="G50" s="8">
        <v>235</v>
      </c>
      <c r="H50" s="1">
        <v>3170.5520000000001</v>
      </c>
      <c r="J50" s="8">
        <v>235</v>
      </c>
      <c r="K50">
        <v>3174.9650000000001</v>
      </c>
      <c r="M50" s="8">
        <v>235</v>
      </c>
      <c r="N50" s="1">
        <v>3088.3310000000001</v>
      </c>
    </row>
    <row r="51" spans="1:14" x14ac:dyDescent="0.35">
      <c r="J51" s="8">
        <v>240</v>
      </c>
      <c r="K51">
        <v>3175.0889999999999</v>
      </c>
    </row>
    <row r="52" spans="1:14" x14ac:dyDescent="0.35">
      <c r="J52" s="8">
        <v>245</v>
      </c>
      <c r="K52">
        <v>3175.1689999999999</v>
      </c>
    </row>
    <row r="53" spans="1:14" x14ac:dyDescent="0.35">
      <c r="J53" s="8">
        <v>250</v>
      </c>
      <c r="K53">
        <v>3173.2370000000001</v>
      </c>
    </row>
    <row r="54" spans="1:14" x14ac:dyDescent="0.35">
      <c r="J54" s="8">
        <v>255</v>
      </c>
      <c r="K54">
        <v>3172.2779999999998</v>
      </c>
    </row>
    <row r="55" spans="1:14" x14ac:dyDescent="0.35">
      <c r="J55" s="8">
        <v>260</v>
      </c>
      <c r="K55">
        <v>3171.4639999999999</v>
      </c>
    </row>
    <row r="56" spans="1:14" x14ac:dyDescent="0.35">
      <c r="J56" s="8">
        <v>265</v>
      </c>
      <c r="K56">
        <v>3170.7330000000002</v>
      </c>
    </row>
    <row r="57" spans="1:14" x14ac:dyDescent="0.35">
      <c r="J57" s="8">
        <v>270</v>
      </c>
      <c r="K57">
        <v>3170.9920000000002</v>
      </c>
    </row>
    <row r="58" spans="1:14" x14ac:dyDescent="0.35">
      <c r="J58" s="8">
        <v>275</v>
      </c>
      <c r="K58">
        <v>3169.2930000000001</v>
      </c>
    </row>
    <row r="59" spans="1:14" x14ac:dyDescent="0.35">
      <c r="J59" s="8">
        <v>280</v>
      </c>
      <c r="K59">
        <v>3166.297</v>
      </c>
    </row>
    <row r="60" spans="1:14" x14ac:dyDescent="0.35">
      <c r="J60" s="8">
        <v>285</v>
      </c>
      <c r="K60">
        <v>3165.18</v>
      </c>
    </row>
    <row r="61" spans="1:14" x14ac:dyDescent="0.35">
      <c r="J61" s="8">
        <v>290</v>
      </c>
      <c r="K61">
        <v>3163.3919999999998</v>
      </c>
    </row>
    <row r="62" spans="1:14" x14ac:dyDescent="0.35">
      <c r="J62" s="8">
        <v>295</v>
      </c>
      <c r="K62">
        <v>3159.6779999999999</v>
      </c>
    </row>
    <row r="63" spans="1:14" x14ac:dyDescent="0.35">
      <c r="J63" s="8">
        <v>300</v>
      </c>
      <c r="K63">
        <v>3157.1689999999999</v>
      </c>
    </row>
    <row r="64" spans="1:14" x14ac:dyDescent="0.35">
      <c r="J64" s="8">
        <v>305</v>
      </c>
      <c r="K64">
        <v>3155.087</v>
      </c>
    </row>
    <row r="65" spans="10:11" x14ac:dyDescent="0.35">
      <c r="J65" s="8">
        <v>310</v>
      </c>
      <c r="K65">
        <v>3153.71</v>
      </c>
    </row>
    <row r="66" spans="10:11" x14ac:dyDescent="0.35">
      <c r="J66" s="8">
        <v>315</v>
      </c>
      <c r="K66">
        <v>3153.424</v>
      </c>
    </row>
    <row r="67" spans="10:11" x14ac:dyDescent="0.35">
      <c r="J67" s="8">
        <v>320</v>
      </c>
      <c r="K67">
        <v>3153.62</v>
      </c>
    </row>
    <row r="68" spans="10:11" x14ac:dyDescent="0.35">
      <c r="J68" s="8">
        <v>325</v>
      </c>
      <c r="K68">
        <v>3152.5369999999998</v>
      </c>
    </row>
    <row r="69" spans="10:11" x14ac:dyDescent="0.35">
      <c r="J69" s="8">
        <v>330</v>
      </c>
      <c r="K69">
        <v>3151.5970000000002</v>
      </c>
    </row>
    <row r="70" spans="10:11" x14ac:dyDescent="0.35">
      <c r="J70" s="8">
        <v>335</v>
      </c>
      <c r="K70">
        <v>3151.1039999999998</v>
      </c>
    </row>
    <row r="71" spans="10:11" x14ac:dyDescent="0.35">
      <c r="J71" s="8">
        <v>340</v>
      </c>
      <c r="K71">
        <v>3150.3420000000001</v>
      </c>
    </row>
    <row r="72" spans="10:11" x14ac:dyDescent="0.35">
      <c r="J72" s="8">
        <v>345</v>
      </c>
      <c r="K72">
        <v>3147.3359999999998</v>
      </c>
    </row>
    <row r="73" spans="10:11" x14ac:dyDescent="0.35">
      <c r="J73" s="8">
        <v>350</v>
      </c>
      <c r="K73">
        <v>3144.556</v>
      </c>
    </row>
    <row r="74" spans="10:11" x14ac:dyDescent="0.35">
      <c r="J74" s="8">
        <v>355</v>
      </c>
      <c r="K74">
        <v>3143.625</v>
      </c>
    </row>
    <row r="75" spans="10:11" x14ac:dyDescent="0.35">
      <c r="J75" s="8">
        <v>360</v>
      </c>
      <c r="K75">
        <v>3143.3359999999998</v>
      </c>
    </row>
    <row r="76" spans="10:11" x14ac:dyDescent="0.35">
      <c r="J76" s="8">
        <v>365</v>
      </c>
      <c r="K76">
        <v>3141.6930000000002</v>
      </c>
    </row>
    <row r="77" spans="10:11" x14ac:dyDescent="0.35">
      <c r="J77" s="8">
        <v>370</v>
      </c>
      <c r="K77">
        <v>3140.4769999999999</v>
      </c>
    </row>
    <row r="78" spans="10:11" x14ac:dyDescent="0.35">
      <c r="J78" s="8">
        <v>375</v>
      </c>
      <c r="K78">
        <v>3139.2159999999999</v>
      </c>
    </row>
    <row r="79" spans="10:11" x14ac:dyDescent="0.35">
      <c r="J79" s="8">
        <v>380</v>
      </c>
      <c r="K79">
        <v>3141.3589999999999</v>
      </c>
    </row>
    <row r="80" spans="10:11" x14ac:dyDescent="0.35">
      <c r="J80" s="8">
        <v>385</v>
      </c>
      <c r="K80">
        <v>3142.444</v>
      </c>
    </row>
    <row r="81" spans="10:11" x14ac:dyDescent="0.35">
      <c r="J81" s="8">
        <v>390</v>
      </c>
      <c r="K81">
        <v>3142.8809999999999</v>
      </c>
    </row>
    <row r="82" spans="10:11" x14ac:dyDescent="0.35">
      <c r="J82" s="8">
        <v>395</v>
      </c>
      <c r="K82">
        <v>3141.3139999999999</v>
      </c>
    </row>
    <row r="83" spans="10:11" x14ac:dyDescent="0.35">
      <c r="J83" s="8">
        <v>400</v>
      </c>
      <c r="K83">
        <v>3140.2849999999999</v>
      </c>
    </row>
    <row r="84" spans="10:11" x14ac:dyDescent="0.35">
      <c r="J84" s="8">
        <v>405</v>
      </c>
      <c r="K84">
        <v>3141.239</v>
      </c>
    </row>
    <row r="85" spans="10:11" x14ac:dyDescent="0.35">
      <c r="J85" s="8">
        <v>410</v>
      </c>
      <c r="K85">
        <v>3141.2730000000001</v>
      </c>
    </row>
    <row r="86" spans="10:11" x14ac:dyDescent="0.35">
      <c r="J86" s="8">
        <v>415</v>
      </c>
      <c r="K86">
        <v>3139.5059999999999</v>
      </c>
    </row>
    <row r="87" spans="10:11" x14ac:dyDescent="0.35">
      <c r="J87" s="8">
        <v>420</v>
      </c>
      <c r="K87">
        <v>3137.5650000000001</v>
      </c>
    </row>
    <row r="88" spans="10:11" x14ac:dyDescent="0.35">
      <c r="J88" s="8">
        <v>425</v>
      </c>
      <c r="K88">
        <v>3136.998</v>
      </c>
    </row>
    <row r="89" spans="10:11" x14ac:dyDescent="0.35">
      <c r="J89" s="8">
        <v>430</v>
      </c>
      <c r="K89">
        <v>3135.8150000000001</v>
      </c>
    </row>
    <row r="90" spans="10:11" x14ac:dyDescent="0.35">
      <c r="J90" s="8">
        <v>435</v>
      </c>
      <c r="K90">
        <v>3134.556</v>
      </c>
    </row>
    <row r="91" spans="10:11" x14ac:dyDescent="0.35">
      <c r="J91" s="8">
        <v>440</v>
      </c>
      <c r="K91">
        <v>3133.721</v>
      </c>
    </row>
    <row r="92" spans="10:11" x14ac:dyDescent="0.35">
      <c r="J92" s="8">
        <v>445</v>
      </c>
      <c r="K92">
        <v>3133.2359999999999</v>
      </c>
    </row>
    <row r="93" spans="10:11" x14ac:dyDescent="0.35">
      <c r="J93" s="8">
        <v>450</v>
      </c>
      <c r="K93">
        <v>3132.5010000000002</v>
      </c>
    </row>
    <row r="94" spans="10:11" x14ac:dyDescent="0.35">
      <c r="J94" s="8">
        <v>455</v>
      </c>
      <c r="K94">
        <v>3131.6320000000001</v>
      </c>
    </row>
    <row r="95" spans="10:11" x14ac:dyDescent="0.35">
      <c r="J95" s="8">
        <v>460</v>
      </c>
      <c r="K95">
        <v>3132.19</v>
      </c>
    </row>
    <row r="96" spans="10:11" x14ac:dyDescent="0.35">
      <c r="J96" s="8">
        <v>465</v>
      </c>
      <c r="K96">
        <v>3130.837</v>
      </c>
    </row>
    <row r="97" spans="10:11" x14ac:dyDescent="0.35">
      <c r="J97" s="8">
        <v>470</v>
      </c>
      <c r="K97">
        <v>3129.13</v>
      </c>
    </row>
    <row r="98" spans="10:11" x14ac:dyDescent="0.35">
      <c r="J98" s="8">
        <v>475</v>
      </c>
      <c r="K98">
        <v>3129.8589999999999</v>
      </c>
    </row>
    <row r="99" spans="10:11" x14ac:dyDescent="0.35">
      <c r="J99" s="8">
        <v>480</v>
      </c>
      <c r="K99">
        <v>3127.8960000000002</v>
      </c>
    </row>
    <row r="100" spans="10:11" x14ac:dyDescent="0.35">
      <c r="J100" s="8">
        <v>485</v>
      </c>
      <c r="K100">
        <v>3127.799</v>
      </c>
    </row>
    <row r="101" spans="10:11" x14ac:dyDescent="0.35">
      <c r="J101" s="8">
        <v>490</v>
      </c>
      <c r="K101">
        <v>3126.4609999999998</v>
      </c>
    </row>
    <row r="102" spans="10:11" x14ac:dyDescent="0.35">
      <c r="J102" s="8">
        <v>495</v>
      </c>
      <c r="K102">
        <v>3125.846</v>
      </c>
    </row>
    <row r="103" spans="10:11" x14ac:dyDescent="0.35">
      <c r="J103" s="8">
        <v>500</v>
      </c>
      <c r="K103">
        <v>3126.2910000000002</v>
      </c>
    </row>
    <row r="104" spans="10:11" x14ac:dyDescent="0.35">
      <c r="J104" s="8">
        <v>505</v>
      </c>
      <c r="K104">
        <v>3126.752</v>
      </c>
    </row>
    <row r="105" spans="10:11" x14ac:dyDescent="0.35">
      <c r="J105" s="8">
        <v>510</v>
      </c>
      <c r="K105">
        <v>3126.1869999999999</v>
      </c>
    </row>
    <row r="106" spans="10:11" x14ac:dyDescent="0.35">
      <c r="J106" s="8">
        <v>515</v>
      </c>
      <c r="K106">
        <v>3124.5770000000002</v>
      </c>
    </row>
    <row r="107" spans="10:11" x14ac:dyDescent="0.35">
      <c r="J107" s="8">
        <v>520</v>
      </c>
      <c r="K107">
        <v>3122.7640000000001</v>
      </c>
    </row>
    <row r="108" spans="10:11" x14ac:dyDescent="0.35">
      <c r="J108" s="8">
        <v>525</v>
      </c>
      <c r="K108">
        <v>3120.8420000000001</v>
      </c>
    </row>
    <row r="109" spans="10:11" x14ac:dyDescent="0.35">
      <c r="J109" s="8">
        <v>530</v>
      </c>
      <c r="K109">
        <v>3122.116</v>
      </c>
    </row>
    <row r="110" spans="10:11" x14ac:dyDescent="0.35">
      <c r="J110" s="8">
        <v>535</v>
      </c>
      <c r="K110">
        <v>3120.3510000000001</v>
      </c>
    </row>
    <row r="111" spans="10:11" x14ac:dyDescent="0.35">
      <c r="J111" s="8">
        <v>540</v>
      </c>
      <c r="K111">
        <v>3118.5369999999998</v>
      </c>
    </row>
    <row r="112" spans="10:11" x14ac:dyDescent="0.35">
      <c r="J112" s="8">
        <v>545</v>
      </c>
      <c r="K112">
        <v>3118.402</v>
      </c>
    </row>
    <row r="113" spans="10:11" x14ac:dyDescent="0.35">
      <c r="J113" s="8">
        <v>550</v>
      </c>
      <c r="K113">
        <v>3116.732</v>
      </c>
    </row>
    <row r="114" spans="10:11" x14ac:dyDescent="0.35">
      <c r="J114" s="8">
        <v>555</v>
      </c>
      <c r="K114">
        <v>3115.2779999999998</v>
      </c>
    </row>
    <row r="115" spans="10:11" x14ac:dyDescent="0.35">
      <c r="J115" s="8">
        <v>560</v>
      </c>
      <c r="K115">
        <v>3114.0610000000001</v>
      </c>
    </row>
    <row r="116" spans="10:11" x14ac:dyDescent="0.35">
      <c r="J116" s="8">
        <v>565</v>
      </c>
      <c r="K116">
        <v>3114.0189999999998</v>
      </c>
    </row>
    <row r="117" spans="10:11" x14ac:dyDescent="0.35">
      <c r="J117" s="8">
        <v>570</v>
      </c>
      <c r="K117">
        <v>3113.4</v>
      </c>
    </row>
    <row r="118" spans="10:11" x14ac:dyDescent="0.35">
      <c r="J118" s="8">
        <v>575</v>
      </c>
      <c r="K118">
        <v>3112.0549999999998</v>
      </c>
    </row>
    <row r="119" spans="10:11" x14ac:dyDescent="0.35">
      <c r="J119" s="8">
        <v>580</v>
      </c>
      <c r="K119">
        <v>3110.9290000000001</v>
      </c>
    </row>
    <row r="120" spans="10:11" x14ac:dyDescent="0.35">
      <c r="J120" s="8">
        <v>585</v>
      </c>
      <c r="K120">
        <v>3109.9430000000002</v>
      </c>
    </row>
    <row r="121" spans="10:11" x14ac:dyDescent="0.35">
      <c r="J121" s="8">
        <v>590</v>
      </c>
      <c r="K121">
        <v>3108.194</v>
      </c>
    </row>
    <row r="122" spans="10:11" x14ac:dyDescent="0.35">
      <c r="J122" s="8">
        <v>595</v>
      </c>
      <c r="K122">
        <v>3107.404</v>
      </c>
    </row>
  </sheetData>
  <sortState xmlns:xlrd2="http://schemas.microsoft.com/office/spreadsheetml/2017/richdata2" ref="B3:C50">
    <sortCondition ref="C3:C50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ACDA-06E9-45BC-91CF-DE2F76C20EC1}">
  <dimension ref="A1:Z172"/>
  <sheetViews>
    <sheetView tabSelected="1" topLeftCell="A64" workbookViewId="0">
      <selection activeCell="M102" sqref="M102"/>
    </sheetView>
  </sheetViews>
  <sheetFormatPr defaultRowHeight="14.5" x14ac:dyDescent="0.35"/>
  <sheetData>
    <row r="1" spans="1:26" x14ac:dyDescent="0.35">
      <c r="A1" s="9" t="s">
        <v>0</v>
      </c>
      <c r="B1" s="9" t="s">
        <v>1072</v>
      </c>
      <c r="C1" s="10" t="s">
        <v>989</v>
      </c>
      <c r="D1" s="10" t="s">
        <v>990</v>
      </c>
      <c r="E1" s="45" t="s">
        <v>1040</v>
      </c>
      <c r="F1" s="45"/>
      <c r="G1" s="46" t="s">
        <v>1041</v>
      </c>
      <c r="H1" s="46"/>
      <c r="I1" s="44" t="s">
        <v>1042</v>
      </c>
      <c r="J1" s="44"/>
      <c r="L1" s="10" t="s">
        <v>989</v>
      </c>
      <c r="M1" s="10" t="s">
        <v>990</v>
      </c>
      <c r="N1" s="45" t="s">
        <v>1040</v>
      </c>
      <c r="O1" s="45"/>
      <c r="P1" s="46" t="s">
        <v>1041</v>
      </c>
      <c r="Q1" s="46"/>
      <c r="R1" s="44" t="s">
        <v>1042</v>
      </c>
      <c r="S1" s="44"/>
    </row>
    <row r="2" spans="1:26" x14ac:dyDescent="0.35">
      <c r="A2" s="9"/>
      <c r="B2" s="9"/>
      <c r="C2" s="10"/>
      <c r="D2" s="10"/>
      <c r="E2" s="11"/>
      <c r="F2" s="11"/>
      <c r="G2" s="12"/>
      <c r="H2" s="12"/>
      <c r="I2" s="9"/>
      <c r="J2" s="9"/>
      <c r="W2">
        <f>I3</f>
        <v>-7.5</v>
      </c>
      <c r="X2">
        <v>3192.4050000000002</v>
      </c>
      <c r="Y2">
        <f>W2</f>
        <v>-7.5</v>
      </c>
      <c r="Z2">
        <f>X2</f>
        <v>3192.4050000000002</v>
      </c>
    </row>
    <row r="3" spans="1:26" x14ac:dyDescent="0.35">
      <c r="A3" s="13" t="s">
        <v>1043</v>
      </c>
      <c r="B3" s="13"/>
      <c r="C3" s="14">
        <v>992.5</v>
      </c>
      <c r="D3" s="1">
        <f>D4</f>
        <v>3192.4050000000002</v>
      </c>
      <c r="E3" s="15">
        <f>C3</f>
        <v>992.5</v>
      </c>
      <c r="F3" s="16">
        <f t="shared" ref="F3:F28" si="0">ABS(D3-MAX(D:D))+0.01</f>
        <v>0.01</v>
      </c>
      <c r="G3" s="12">
        <v>0</v>
      </c>
      <c r="H3" s="12">
        <v>0</v>
      </c>
      <c r="I3" s="17">
        <f>C3-1000</f>
        <v>-7.5</v>
      </c>
      <c r="J3" s="1">
        <f>J4</f>
        <v>3192.4050000000002</v>
      </c>
      <c r="W3" s="37">
        <f>E4-1000</f>
        <v>0</v>
      </c>
      <c r="X3">
        <v>3192.4050000000002</v>
      </c>
      <c r="Y3" s="37">
        <f>W3</f>
        <v>0</v>
      </c>
      <c r="Z3">
        <f t="shared" ref="Z3:Z45" si="1">X3</f>
        <v>3192.4050000000002</v>
      </c>
    </row>
    <row r="4" spans="1:26" x14ac:dyDescent="0.35">
      <c r="A4" s="17" t="s">
        <v>1073</v>
      </c>
      <c r="B4" s="17"/>
      <c r="C4" s="18">
        <v>1000</v>
      </c>
      <c r="D4">
        <v>3192.4050000000002</v>
      </c>
      <c r="E4" s="19">
        <f>C4</f>
        <v>1000</v>
      </c>
      <c r="F4" s="20">
        <f t="shared" si="0"/>
        <v>0.01</v>
      </c>
      <c r="G4" s="21">
        <f>E4</f>
        <v>1000</v>
      </c>
      <c r="H4" s="22">
        <f>F4</f>
        <v>0.01</v>
      </c>
      <c r="I4" s="17">
        <f t="shared" ref="I4:I27" si="2">C4-1000</f>
        <v>0</v>
      </c>
      <c r="J4" s="17">
        <f>D4</f>
        <v>3192.4050000000002</v>
      </c>
      <c r="W4" s="37">
        <f t="shared" ref="W4:W27" si="3">E5-1000</f>
        <v>4.9555801880303534</v>
      </c>
      <c r="X4">
        <v>3191.74</v>
      </c>
      <c r="Y4" s="37">
        <f>K54</f>
        <v>4.9555801880303534</v>
      </c>
      <c r="Z4">
        <f t="shared" si="1"/>
        <v>3191.74</v>
      </c>
    </row>
    <row r="5" spans="1:26" x14ac:dyDescent="0.35">
      <c r="A5" s="17" t="s">
        <v>1074</v>
      </c>
      <c r="B5" s="17"/>
      <c r="C5" s="18">
        <f t="shared" ref="C5:C27" si="4">C4+$C$36</f>
        <v>1005</v>
      </c>
      <c r="D5">
        <v>3191.74</v>
      </c>
      <c r="E5" s="19">
        <f>E4+(SQRT((C5-C4)^2-(F5-F4)^2))</f>
        <v>1004.9555801880304</v>
      </c>
      <c r="F5" s="20">
        <f t="shared" si="0"/>
        <v>0.67500000000041838</v>
      </c>
      <c r="G5" s="21">
        <f t="shared" ref="G5:H27" si="5">E5</f>
        <v>1004.9555801880304</v>
      </c>
      <c r="H5" s="22">
        <f t="shared" si="5"/>
        <v>0.67500000000041838</v>
      </c>
      <c r="I5" s="17">
        <f t="shared" si="2"/>
        <v>5</v>
      </c>
      <c r="J5" s="17">
        <f t="shared" ref="J5:J27" si="6">D5</f>
        <v>3191.74</v>
      </c>
      <c r="W5" s="37">
        <f t="shared" si="3"/>
        <v>9.9518151704946831</v>
      </c>
      <c r="X5">
        <v>3191.5459999999998</v>
      </c>
      <c r="Y5" s="37">
        <f t="shared" ref="Y5:Y45" si="7">K55</f>
        <v>9.9518151704946831</v>
      </c>
      <c r="Z5">
        <f t="shared" si="1"/>
        <v>3191.5459999999998</v>
      </c>
    </row>
    <row r="6" spans="1:26" x14ac:dyDescent="0.35">
      <c r="A6" s="17" t="s">
        <v>1075</v>
      </c>
      <c r="B6" s="17"/>
      <c r="C6" s="18">
        <f t="shared" si="4"/>
        <v>1010</v>
      </c>
      <c r="D6">
        <v>3191.5459999999998</v>
      </c>
      <c r="E6" s="19">
        <f t="shared" ref="E6:E28" si="8">E5+(SQRT((C6-C5)^2-(F6-F5)^2))</f>
        <v>1009.9518151704947</v>
      </c>
      <c r="F6" s="20">
        <f t="shared" si="0"/>
        <v>0.86900000000037836</v>
      </c>
      <c r="G6" s="21">
        <f t="shared" si="5"/>
        <v>1009.9518151704947</v>
      </c>
      <c r="H6" s="22">
        <f t="shared" si="5"/>
        <v>0.86900000000037836</v>
      </c>
      <c r="I6" s="17">
        <f t="shared" si="2"/>
        <v>10</v>
      </c>
      <c r="J6" s="17">
        <f t="shared" si="6"/>
        <v>3191.5459999999998</v>
      </c>
      <c r="W6" s="37">
        <f t="shared" si="3"/>
        <v>14.951813570494437</v>
      </c>
      <c r="X6">
        <v>3191.55</v>
      </c>
      <c r="Y6" s="37">
        <f t="shared" si="7"/>
        <v>14.951813570494437</v>
      </c>
      <c r="Z6">
        <f t="shared" si="1"/>
        <v>3191.55</v>
      </c>
    </row>
    <row r="7" spans="1:26" x14ac:dyDescent="0.35">
      <c r="A7" s="17" t="s">
        <v>1076</v>
      </c>
      <c r="B7" s="17"/>
      <c r="C7" s="18">
        <f t="shared" si="4"/>
        <v>1015</v>
      </c>
      <c r="D7">
        <v>3191.55</v>
      </c>
      <c r="E7" s="19">
        <f t="shared" si="8"/>
        <v>1014.9518135704944</v>
      </c>
      <c r="F7" s="20">
        <f t="shared" si="0"/>
        <v>0.8650000000000182</v>
      </c>
      <c r="G7" s="21">
        <f t="shared" si="5"/>
        <v>1014.9518135704944</v>
      </c>
      <c r="H7" s="22">
        <f t="shared" si="5"/>
        <v>0.8650000000000182</v>
      </c>
      <c r="I7" s="17">
        <f t="shared" si="2"/>
        <v>15</v>
      </c>
      <c r="J7" s="17">
        <f t="shared" si="6"/>
        <v>3191.55</v>
      </c>
      <c r="W7" s="37">
        <f t="shared" si="3"/>
        <v>19.664324472338535</v>
      </c>
      <c r="X7">
        <v>3189.8789999999999</v>
      </c>
      <c r="Y7" s="37">
        <f t="shared" si="7"/>
        <v>19.664324472338535</v>
      </c>
      <c r="Z7">
        <f t="shared" si="1"/>
        <v>3189.8789999999999</v>
      </c>
    </row>
    <row r="8" spans="1:26" x14ac:dyDescent="0.35">
      <c r="A8" s="17" t="s">
        <v>1077</v>
      </c>
      <c r="B8" s="17"/>
      <c r="C8" s="18">
        <f t="shared" si="4"/>
        <v>1020</v>
      </c>
      <c r="D8">
        <v>3189.8789999999999</v>
      </c>
      <c r="E8" s="19">
        <f t="shared" si="8"/>
        <v>1019.6643244723385</v>
      </c>
      <c r="F8" s="20">
        <f t="shared" si="0"/>
        <v>2.5360000000002945</v>
      </c>
      <c r="G8" s="21">
        <f t="shared" si="5"/>
        <v>1019.6643244723385</v>
      </c>
      <c r="H8" s="22">
        <f t="shared" si="5"/>
        <v>2.5360000000002945</v>
      </c>
      <c r="I8" s="17">
        <f t="shared" si="2"/>
        <v>20</v>
      </c>
      <c r="J8" s="17">
        <f t="shared" si="6"/>
        <v>3189.8789999999999</v>
      </c>
      <c r="W8" s="37">
        <f t="shared" si="3"/>
        <v>24.620971625404763</v>
      </c>
      <c r="X8">
        <v>3190.5360000000001</v>
      </c>
      <c r="Y8" s="37">
        <f t="shared" si="7"/>
        <v>24.620971625404763</v>
      </c>
      <c r="Z8">
        <f t="shared" si="1"/>
        <v>3190.5360000000001</v>
      </c>
    </row>
    <row r="9" spans="1:26" x14ac:dyDescent="0.35">
      <c r="A9" s="17" t="s">
        <v>1078</v>
      </c>
      <c r="B9" s="17"/>
      <c r="C9" s="18">
        <f t="shared" si="4"/>
        <v>1025</v>
      </c>
      <c r="D9">
        <v>3190.5360000000001</v>
      </c>
      <c r="E9" s="19">
        <f t="shared" si="8"/>
        <v>1024.6209716254048</v>
      </c>
      <c r="F9" s="20">
        <f t="shared" si="0"/>
        <v>1.8790000000001419</v>
      </c>
      <c r="G9" s="21">
        <f t="shared" si="5"/>
        <v>1024.6209716254048</v>
      </c>
      <c r="H9" s="22">
        <f t="shared" si="5"/>
        <v>1.8790000000001419</v>
      </c>
      <c r="I9" s="17">
        <f t="shared" si="2"/>
        <v>25</v>
      </c>
      <c r="J9" s="17">
        <f t="shared" si="6"/>
        <v>3190.5360000000001</v>
      </c>
      <c r="W9" s="37">
        <f t="shared" si="3"/>
        <v>29.605894493413871</v>
      </c>
      <c r="X9">
        <v>3190.1480000000001</v>
      </c>
      <c r="Y9" s="37">
        <f t="shared" si="7"/>
        <v>29.605894493413871</v>
      </c>
      <c r="Z9">
        <f t="shared" si="1"/>
        <v>3190.1480000000001</v>
      </c>
    </row>
    <row r="10" spans="1:26" x14ac:dyDescent="0.35">
      <c r="A10" s="17" t="s">
        <v>1079</v>
      </c>
      <c r="B10" s="17"/>
      <c r="C10" s="18">
        <f t="shared" si="4"/>
        <v>1030</v>
      </c>
      <c r="D10">
        <v>3190.1480000000001</v>
      </c>
      <c r="E10" s="19">
        <f t="shared" si="8"/>
        <v>1029.6058944934139</v>
      </c>
      <c r="F10" s="20">
        <f t="shared" si="0"/>
        <v>2.2670000000000616</v>
      </c>
      <c r="G10" s="21">
        <f t="shared" si="5"/>
        <v>1029.6058944934139</v>
      </c>
      <c r="H10" s="22">
        <f t="shared" si="5"/>
        <v>2.2670000000000616</v>
      </c>
      <c r="I10" s="17">
        <f t="shared" si="2"/>
        <v>30</v>
      </c>
      <c r="J10" s="17">
        <f t="shared" si="6"/>
        <v>3190.1480000000001</v>
      </c>
      <c r="W10" s="37">
        <f t="shared" si="3"/>
        <v>34.277943187509436</v>
      </c>
      <c r="X10">
        <v>3188.3670000000002</v>
      </c>
      <c r="Y10" s="37">
        <f t="shared" si="7"/>
        <v>34.277943187509436</v>
      </c>
      <c r="Z10">
        <f t="shared" si="1"/>
        <v>3188.3670000000002</v>
      </c>
    </row>
    <row r="11" spans="1:26" x14ac:dyDescent="0.35">
      <c r="A11" s="17" t="s">
        <v>1080</v>
      </c>
      <c r="B11" s="17"/>
      <c r="C11" s="18">
        <f t="shared" si="4"/>
        <v>1035</v>
      </c>
      <c r="D11">
        <v>3188.3670000000002</v>
      </c>
      <c r="E11" s="19">
        <f t="shared" si="8"/>
        <v>1034.2779431875094</v>
      </c>
      <c r="F11" s="20">
        <f t="shared" si="0"/>
        <v>4.0480000000000107</v>
      </c>
      <c r="G11" s="21">
        <f t="shared" si="5"/>
        <v>1034.2779431875094</v>
      </c>
      <c r="H11" s="22">
        <f t="shared" si="5"/>
        <v>4.0480000000000107</v>
      </c>
      <c r="I11" s="17">
        <f t="shared" si="2"/>
        <v>35</v>
      </c>
      <c r="J11" s="17">
        <f t="shared" si="6"/>
        <v>3188.3670000000002</v>
      </c>
      <c r="W11" s="37">
        <f t="shared" si="3"/>
        <v>39.271230581601685</v>
      </c>
      <c r="X11">
        <v>3188.1080000000002</v>
      </c>
      <c r="Y11" s="37">
        <f t="shared" si="7"/>
        <v>39.271230581601685</v>
      </c>
      <c r="Z11">
        <f t="shared" si="1"/>
        <v>3188.1080000000002</v>
      </c>
    </row>
    <row r="12" spans="1:26" x14ac:dyDescent="0.35">
      <c r="A12" s="17" t="s">
        <v>1081</v>
      </c>
      <c r="B12" s="17"/>
      <c r="C12" s="18">
        <f t="shared" si="4"/>
        <v>1040</v>
      </c>
      <c r="D12">
        <v>3188.1080000000002</v>
      </c>
      <c r="E12" s="19">
        <f t="shared" si="8"/>
        <v>1039.2712305816017</v>
      </c>
      <c r="F12" s="20">
        <f t="shared" si="0"/>
        <v>4.3070000000000253</v>
      </c>
      <c r="G12" s="21">
        <f t="shared" si="5"/>
        <v>1039.2712305816017</v>
      </c>
      <c r="H12" s="22">
        <f t="shared" si="5"/>
        <v>4.3070000000000253</v>
      </c>
      <c r="I12" s="17">
        <f t="shared" si="2"/>
        <v>40</v>
      </c>
      <c r="J12" s="17">
        <f t="shared" si="6"/>
        <v>3188.1080000000002</v>
      </c>
      <c r="W12" s="37">
        <f t="shared" si="3"/>
        <v>44.250209995095929</v>
      </c>
      <c r="X12">
        <v>3187.65</v>
      </c>
      <c r="Y12" s="37">
        <f t="shared" si="7"/>
        <v>44.250209995095929</v>
      </c>
      <c r="Z12">
        <f t="shared" si="1"/>
        <v>3187.65</v>
      </c>
    </row>
    <row r="13" spans="1:26" x14ac:dyDescent="0.35">
      <c r="A13" s="17" t="s">
        <v>1053</v>
      </c>
      <c r="B13" s="17"/>
      <c r="C13" s="18">
        <f t="shared" si="4"/>
        <v>1045</v>
      </c>
      <c r="D13">
        <v>3187.65</v>
      </c>
      <c r="E13" s="19">
        <f t="shared" si="8"/>
        <v>1044.2502099950959</v>
      </c>
      <c r="F13" s="20">
        <f t="shared" si="0"/>
        <v>4.7650000000001089</v>
      </c>
      <c r="G13" s="21">
        <f t="shared" si="5"/>
        <v>1044.2502099950959</v>
      </c>
      <c r="H13" s="22">
        <f t="shared" si="5"/>
        <v>4.7650000000001089</v>
      </c>
      <c r="I13" s="17">
        <f t="shared" si="2"/>
        <v>45</v>
      </c>
      <c r="J13" s="17">
        <f t="shared" si="6"/>
        <v>3187.65</v>
      </c>
      <c r="W13" s="37">
        <f t="shared" si="3"/>
        <v>49.232790752093251</v>
      </c>
      <c r="X13">
        <v>3187.2330000000002</v>
      </c>
      <c r="Y13" s="37">
        <f t="shared" si="7"/>
        <v>49.232790752093251</v>
      </c>
      <c r="Z13">
        <f t="shared" si="1"/>
        <v>3187.2330000000002</v>
      </c>
    </row>
    <row r="14" spans="1:26" x14ac:dyDescent="0.35">
      <c r="A14" s="17" t="s">
        <v>1054</v>
      </c>
      <c r="B14" s="17"/>
      <c r="C14" s="18">
        <f t="shared" si="4"/>
        <v>1050</v>
      </c>
      <c r="D14">
        <v>3187.2330000000002</v>
      </c>
      <c r="E14" s="19">
        <f t="shared" si="8"/>
        <v>1049.2327907520933</v>
      </c>
      <c r="F14" s="20">
        <f t="shared" si="0"/>
        <v>5.1820000000000253</v>
      </c>
      <c r="G14" s="21">
        <f t="shared" si="5"/>
        <v>1049.2327907520933</v>
      </c>
      <c r="H14" s="22">
        <f t="shared" si="5"/>
        <v>5.1820000000000253</v>
      </c>
      <c r="I14" s="17">
        <f t="shared" si="2"/>
        <v>50</v>
      </c>
      <c r="J14" s="17">
        <f t="shared" si="6"/>
        <v>3187.2330000000002</v>
      </c>
      <c r="W14" s="37">
        <f t="shared" si="3"/>
        <v>54.225332289226344</v>
      </c>
      <c r="X14">
        <v>3187.5059999999999</v>
      </c>
      <c r="Y14" s="37">
        <f t="shared" si="7"/>
        <v>54.225332289226344</v>
      </c>
      <c r="Z14">
        <f t="shared" si="1"/>
        <v>3187.5059999999999</v>
      </c>
    </row>
    <row r="15" spans="1:26" x14ac:dyDescent="0.35">
      <c r="A15" s="17" t="s">
        <v>1055</v>
      </c>
      <c r="B15" s="17"/>
      <c r="C15" s="18">
        <f t="shared" si="4"/>
        <v>1055</v>
      </c>
      <c r="D15">
        <v>3187.5059999999999</v>
      </c>
      <c r="E15" s="19">
        <f t="shared" si="8"/>
        <v>1054.2253322892263</v>
      </c>
      <c r="F15" s="20">
        <f t="shared" si="0"/>
        <v>4.9090000000003418</v>
      </c>
      <c r="G15" s="21">
        <f t="shared" si="5"/>
        <v>1054.2253322892263</v>
      </c>
      <c r="H15" s="22">
        <f t="shared" si="5"/>
        <v>4.9090000000003418</v>
      </c>
      <c r="I15" s="17">
        <f t="shared" si="2"/>
        <v>55</v>
      </c>
      <c r="J15" s="17">
        <f t="shared" si="6"/>
        <v>3187.5059999999999</v>
      </c>
      <c r="W15" s="37">
        <f t="shared" si="3"/>
        <v>59.225315389197704</v>
      </c>
      <c r="X15">
        <v>3187.4929999999999</v>
      </c>
      <c r="Y15" s="37">
        <f t="shared" si="7"/>
        <v>59.225315389197704</v>
      </c>
      <c r="Z15">
        <f t="shared" si="1"/>
        <v>3187.4929999999999</v>
      </c>
    </row>
    <row r="16" spans="1:26" x14ac:dyDescent="0.35">
      <c r="A16" s="17" t="s">
        <v>1056</v>
      </c>
      <c r="B16" s="17"/>
      <c r="C16" s="18">
        <f t="shared" si="4"/>
        <v>1060</v>
      </c>
      <c r="D16">
        <v>3187.4929999999999</v>
      </c>
      <c r="E16" s="19">
        <f t="shared" si="8"/>
        <v>1059.2253153891977</v>
      </c>
      <c r="F16" s="20">
        <f t="shared" si="0"/>
        <v>4.9220000000002617</v>
      </c>
      <c r="G16" s="21">
        <f t="shared" si="5"/>
        <v>1059.2253153891977</v>
      </c>
      <c r="H16" s="22">
        <f t="shared" si="5"/>
        <v>4.9220000000002617</v>
      </c>
      <c r="I16" s="17">
        <f t="shared" si="2"/>
        <v>60</v>
      </c>
      <c r="J16" s="17">
        <f t="shared" si="6"/>
        <v>3187.4929999999999</v>
      </c>
      <c r="W16" s="37">
        <f t="shared" si="3"/>
        <v>64.111229428556271</v>
      </c>
      <c r="X16">
        <v>3186.431</v>
      </c>
      <c r="Y16" s="37">
        <f t="shared" si="7"/>
        <v>64.111229428556271</v>
      </c>
      <c r="Z16">
        <f t="shared" si="1"/>
        <v>3186.431</v>
      </c>
    </row>
    <row r="17" spans="1:26" x14ac:dyDescent="0.35">
      <c r="A17" s="17" t="s">
        <v>1057</v>
      </c>
      <c r="B17" s="17"/>
      <c r="C17" s="18">
        <f t="shared" si="4"/>
        <v>1065</v>
      </c>
      <c r="D17">
        <v>3186.431</v>
      </c>
      <c r="E17" s="19">
        <f t="shared" si="8"/>
        <v>1064.1112294285563</v>
      </c>
      <c r="F17" s="20">
        <f t="shared" si="0"/>
        <v>5.9840000000001599</v>
      </c>
      <c r="G17" s="21">
        <f t="shared" si="5"/>
        <v>1064.1112294285563</v>
      </c>
      <c r="H17" s="22">
        <f t="shared" si="5"/>
        <v>5.9840000000001599</v>
      </c>
      <c r="I17" s="17">
        <f t="shared" si="2"/>
        <v>65</v>
      </c>
      <c r="J17" s="17">
        <f t="shared" si="6"/>
        <v>3186.431</v>
      </c>
      <c r="W17" s="37">
        <f t="shared" si="3"/>
        <v>68.907123922808523</v>
      </c>
      <c r="X17">
        <v>3185.0169999999998</v>
      </c>
      <c r="Y17" s="37">
        <f t="shared" si="7"/>
        <v>68.907123922808523</v>
      </c>
      <c r="Z17">
        <f t="shared" si="1"/>
        <v>3185.0169999999998</v>
      </c>
    </row>
    <row r="18" spans="1:26" x14ac:dyDescent="0.35">
      <c r="A18" s="17" t="s">
        <v>1058</v>
      </c>
      <c r="B18" s="17"/>
      <c r="C18" s="18">
        <f t="shared" si="4"/>
        <v>1070</v>
      </c>
      <c r="D18">
        <v>3185.0169999999998</v>
      </c>
      <c r="E18" s="19">
        <f t="shared" si="8"/>
        <v>1068.9071239228085</v>
      </c>
      <c r="F18" s="20">
        <f t="shared" si="0"/>
        <v>7.3980000000003745</v>
      </c>
      <c r="G18" s="21">
        <f t="shared" si="5"/>
        <v>1068.9071239228085</v>
      </c>
      <c r="H18" s="22">
        <f t="shared" si="5"/>
        <v>7.3980000000003745</v>
      </c>
      <c r="I18" s="17">
        <f t="shared" si="2"/>
        <v>70</v>
      </c>
      <c r="J18" s="17">
        <f t="shared" si="6"/>
        <v>3185.0169999999998</v>
      </c>
      <c r="W18" s="37">
        <f t="shared" si="3"/>
        <v>73.813314298242403</v>
      </c>
      <c r="X18">
        <v>3184.0529999999999</v>
      </c>
      <c r="Y18" s="37">
        <f t="shared" si="7"/>
        <v>73.813314298242403</v>
      </c>
      <c r="Z18">
        <f t="shared" si="1"/>
        <v>3184.0529999999999</v>
      </c>
    </row>
    <row r="19" spans="1:26" x14ac:dyDescent="0.35">
      <c r="A19" s="17" t="s">
        <v>1059</v>
      </c>
      <c r="B19" s="17"/>
      <c r="C19" s="18">
        <f t="shared" si="4"/>
        <v>1075</v>
      </c>
      <c r="D19">
        <v>3184.0529999999999</v>
      </c>
      <c r="E19" s="19">
        <f t="shared" si="8"/>
        <v>1073.8133142982424</v>
      </c>
      <c r="F19" s="20">
        <f t="shared" si="0"/>
        <v>8.3620000000003163</v>
      </c>
      <c r="G19" s="21">
        <f t="shared" si="5"/>
        <v>1073.8133142982424</v>
      </c>
      <c r="H19" s="22">
        <f t="shared" si="5"/>
        <v>8.3620000000003163</v>
      </c>
      <c r="I19" s="17">
        <f t="shared" si="2"/>
        <v>75</v>
      </c>
      <c r="J19" s="17">
        <f t="shared" si="6"/>
        <v>3184.0529999999999</v>
      </c>
      <c r="W19" s="37">
        <f t="shared" si="3"/>
        <v>78.625083099837184</v>
      </c>
      <c r="X19">
        <v>3182.694</v>
      </c>
      <c r="Y19" s="37">
        <f t="shared" si="7"/>
        <v>78.625083099837184</v>
      </c>
      <c r="Z19">
        <f t="shared" si="1"/>
        <v>3182.694</v>
      </c>
    </row>
    <row r="20" spans="1:26" x14ac:dyDescent="0.35">
      <c r="A20" s="17" t="s">
        <v>1060</v>
      </c>
      <c r="B20" s="17"/>
      <c r="C20" s="18">
        <f t="shared" si="4"/>
        <v>1080</v>
      </c>
      <c r="D20">
        <v>3182.694</v>
      </c>
      <c r="E20" s="19">
        <f t="shared" si="8"/>
        <v>1078.6250830998372</v>
      </c>
      <c r="F20" s="20">
        <f t="shared" si="0"/>
        <v>9.7210000000002399</v>
      </c>
      <c r="G20" s="21">
        <f t="shared" si="5"/>
        <v>1078.6250830998372</v>
      </c>
      <c r="H20" s="22">
        <f t="shared" si="5"/>
        <v>9.7210000000002399</v>
      </c>
      <c r="I20" s="17">
        <f t="shared" si="2"/>
        <v>80</v>
      </c>
      <c r="J20" s="17">
        <f t="shared" si="6"/>
        <v>3182.694</v>
      </c>
      <c r="L20" s="29" t="s">
        <v>1043</v>
      </c>
      <c r="M20" s="40">
        <v>3182.0810000000001</v>
      </c>
      <c r="N20" s="29">
        <v>1082.5</v>
      </c>
      <c r="O20" s="29">
        <v>0.1</v>
      </c>
      <c r="P20" s="39"/>
      <c r="Q20" s="39"/>
      <c r="R20" s="29"/>
      <c r="S20" s="29"/>
      <c r="W20" s="37">
        <f t="shared" si="3"/>
        <v>83.587363926231546</v>
      </c>
      <c r="X20">
        <v>3182.0810000000001</v>
      </c>
      <c r="Y20" s="37">
        <f t="shared" si="7"/>
        <v>83.587363926231546</v>
      </c>
      <c r="Z20">
        <f t="shared" si="1"/>
        <v>3182.0810000000001</v>
      </c>
    </row>
    <row r="21" spans="1:26" x14ac:dyDescent="0.35">
      <c r="A21" s="17" t="s">
        <v>1061</v>
      </c>
      <c r="B21" s="17"/>
      <c r="C21" s="18">
        <f t="shared" si="4"/>
        <v>1085</v>
      </c>
      <c r="D21">
        <v>3182.0810000000001</v>
      </c>
      <c r="E21" s="19">
        <f t="shared" si="8"/>
        <v>1083.5873639262315</v>
      </c>
      <c r="F21" s="20">
        <f t="shared" si="0"/>
        <v>10.334000000000069</v>
      </c>
      <c r="G21" s="21">
        <f t="shared" si="5"/>
        <v>1083.5873639262315</v>
      </c>
      <c r="H21" s="22">
        <f t="shared" si="5"/>
        <v>10.334000000000069</v>
      </c>
      <c r="I21" s="17">
        <f t="shared" si="2"/>
        <v>85</v>
      </c>
      <c r="J21" s="17">
        <f t="shared" si="6"/>
        <v>3182.0810000000001</v>
      </c>
      <c r="L21" s="30">
        <v>1085</v>
      </c>
      <c r="M21" s="31">
        <v>3182.0810000000001</v>
      </c>
      <c r="N21" s="32">
        <v>1084.999999953917</v>
      </c>
      <c r="O21" s="33">
        <v>0.01</v>
      </c>
      <c r="P21" s="27">
        <v>0</v>
      </c>
      <c r="Q21" s="27">
        <v>0</v>
      </c>
      <c r="R21" s="27">
        <f>N20-1000</f>
        <v>82.5</v>
      </c>
      <c r="S21" s="27">
        <f>M21</f>
        <v>3182.0810000000001</v>
      </c>
      <c r="W21" s="37">
        <f t="shared" si="3"/>
        <v>88.578771643499294</v>
      </c>
      <c r="X21">
        <v>3181.788</v>
      </c>
      <c r="Y21" s="37">
        <f t="shared" si="7"/>
        <v>88.578771643499294</v>
      </c>
      <c r="Z21">
        <f t="shared" si="1"/>
        <v>3181.788</v>
      </c>
    </row>
    <row r="22" spans="1:26" x14ac:dyDescent="0.35">
      <c r="A22" s="17" t="s">
        <v>1062</v>
      </c>
      <c r="B22" s="17" t="s">
        <v>1084</v>
      </c>
      <c r="C22" s="18">
        <f t="shared" si="4"/>
        <v>1090</v>
      </c>
      <c r="D22">
        <v>3181.788</v>
      </c>
      <c r="E22" s="19">
        <f t="shared" si="8"/>
        <v>1088.5787716434993</v>
      </c>
      <c r="F22" s="20">
        <f t="shared" si="0"/>
        <v>10.627000000000189</v>
      </c>
      <c r="G22" s="21">
        <f t="shared" si="5"/>
        <v>1088.5787716434993</v>
      </c>
      <c r="H22" s="22">
        <f t="shared" si="5"/>
        <v>10.627000000000189</v>
      </c>
      <c r="I22" s="17">
        <f t="shared" si="2"/>
        <v>90</v>
      </c>
      <c r="J22" s="17">
        <f t="shared" si="6"/>
        <v>3181.788</v>
      </c>
      <c r="L22">
        <v>1090</v>
      </c>
      <c r="M22">
        <v>3181.788</v>
      </c>
      <c r="N22" s="19">
        <f>N21+(SQRT((L22-L21)^2-(O22-O21)^2))</f>
        <v>1089.9914076711848</v>
      </c>
      <c r="O22" s="20">
        <f t="shared" ref="O22:O46" si="9">ABS(M22-MAX(M:M))+0.01</f>
        <v>0.30300000000012006</v>
      </c>
      <c r="P22" s="37">
        <f>N22</f>
        <v>1089.9914076711848</v>
      </c>
      <c r="Q22" s="38">
        <f>O22:O46</f>
        <v>0.30300000000012006</v>
      </c>
      <c r="R22" s="37">
        <f>L22-1000</f>
        <v>90</v>
      </c>
      <c r="S22">
        <f>M22</f>
        <v>3181.788</v>
      </c>
      <c r="U22" s="37"/>
      <c r="W22" s="37">
        <f t="shared" si="3"/>
        <v>93.578771543499215</v>
      </c>
      <c r="X22">
        <v>3181.7869999999998</v>
      </c>
      <c r="Y22" s="37">
        <f t="shared" si="7"/>
        <v>93.578771543499215</v>
      </c>
      <c r="Z22">
        <f t="shared" si="1"/>
        <v>3181.7869999999998</v>
      </c>
    </row>
    <row r="23" spans="1:26" x14ac:dyDescent="0.35">
      <c r="A23" s="17" t="s">
        <v>1063</v>
      </c>
      <c r="B23" s="17" t="s">
        <v>1085</v>
      </c>
      <c r="C23" s="18">
        <f t="shared" si="4"/>
        <v>1095</v>
      </c>
      <c r="D23">
        <v>3181.7869999999998</v>
      </c>
      <c r="E23" s="19">
        <f t="shared" si="8"/>
        <v>1093.5787715434992</v>
      </c>
      <c r="F23" s="20">
        <f t="shared" si="0"/>
        <v>10.628000000000393</v>
      </c>
      <c r="G23" s="21">
        <f t="shared" si="5"/>
        <v>1093.5787715434992</v>
      </c>
      <c r="H23" s="22">
        <f t="shared" si="5"/>
        <v>10.628000000000393</v>
      </c>
      <c r="I23" s="17">
        <f t="shared" si="2"/>
        <v>95</v>
      </c>
      <c r="J23" s="17">
        <f t="shared" si="6"/>
        <v>3181.7869999999998</v>
      </c>
      <c r="L23">
        <f>L22+$C$36</f>
        <v>1095</v>
      </c>
      <c r="M23">
        <v>3181.7869999999998</v>
      </c>
      <c r="N23" s="19">
        <f>N22+(SQRT((L23-L22)^2-(O23-O22)^2))</f>
        <v>1094.9914075711847</v>
      </c>
      <c r="O23" s="20">
        <f t="shared" si="9"/>
        <v>0.30400000000032379</v>
      </c>
      <c r="P23" s="37">
        <f t="shared" ref="P23:P46" si="10">N23</f>
        <v>1094.9914075711847</v>
      </c>
      <c r="Q23" s="38">
        <f t="shared" ref="Q23:Q28" si="11">O23:O47</f>
        <v>0.30400000000032379</v>
      </c>
      <c r="R23" s="37">
        <f t="shared" ref="R23:R47" si="12">L23-1000</f>
        <v>95</v>
      </c>
      <c r="S23">
        <f t="shared" ref="S23:S46" si="13">M23</f>
        <v>3181.7869999999998</v>
      </c>
      <c r="W23" s="37">
        <f t="shared" si="3"/>
        <v>96.828386905353909</v>
      </c>
      <c r="X23">
        <v>3177.9870000000001</v>
      </c>
      <c r="Y23" s="37">
        <f t="shared" si="7"/>
        <v>96.828386905353909</v>
      </c>
      <c r="Z23">
        <f t="shared" si="1"/>
        <v>3177.9870000000001</v>
      </c>
    </row>
    <row r="24" spans="1:26" x14ac:dyDescent="0.35">
      <c r="A24" s="17" t="s">
        <v>1064</v>
      </c>
      <c r="B24" s="17" t="s">
        <v>1087</v>
      </c>
      <c r="C24" s="18">
        <f t="shared" si="4"/>
        <v>1100</v>
      </c>
      <c r="D24">
        <v>3177.9870000000001</v>
      </c>
      <c r="E24" s="19">
        <f t="shared" si="8"/>
        <v>1096.8283869053539</v>
      </c>
      <c r="F24" s="20">
        <f t="shared" si="0"/>
        <v>14.42800000000012</v>
      </c>
      <c r="G24" s="21">
        <f t="shared" si="5"/>
        <v>1096.8283869053539</v>
      </c>
      <c r="H24" s="22">
        <f t="shared" si="5"/>
        <v>14.42800000000012</v>
      </c>
      <c r="I24" s="17">
        <f t="shared" si="2"/>
        <v>100</v>
      </c>
      <c r="J24" s="17">
        <f t="shared" si="6"/>
        <v>3177.9870000000001</v>
      </c>
      <c r="L24">
        <f t="shared" ref="L24:L46" si="14">L23+$C$36</f>
        <v>1100</v>
      </c>
      <c r="M24">
        <v>3177.9870000000001</v>
      </c>
      <c r="N24" s="19">
        <f t="shared" ref="N24:N46" si="15">N23+(SQRT((L24-L23)^2-(O24-O23)^2))</f>
        <v>1098.2410229330394</v>
      </c>
      <c r="O24" s="20">
        <f t="shared" si="9"/>
        <v>4.1040000000000507</v>
      </c>
      <c r="P24" s="37">
        <f t="shared" si="10"/>
        <v>1098.2410229330394</v>
      </c>
      <c r="Q24" s="38">
        <f t="shared" si="11"/>
        <v>4.1040000000000507</v>
      </c>
      <c r="R24" s="37">
        <f t="shared" si="12"/>
        <v>100</v>
      </c>
      <c r="S24">
        <f t="shared" si="13"/>
        <v>3177.9870000000001</v>
      </c>
      <c r="W24" s="37">
        <f t="shared" si="3"/>
        <v>101.82193113766016</v>
      </c>
      <c r="X24">
        <v>3178.241</v>
      </c>
      <c r="Y24" s="37">
        <f t="shared" si="7"/>
        <v>101.82193113766016</v>
      </c>
      <c r="Z24">
        <f t="shared" si="1"/>
        <v>3178.241</v>
      </c>
    </row>
    <row r="25" spans="1:26" x14ac:dyDescent="0.35">
      <c r="A25" s="17" t="s">
        <v>1065</v>
      </c>
      <c r="B25" s="17" t="s">
        <v>1086</v>
      </c>
      <c r="C25" s="18">
        <f t="shared" si="4"/>
        <v>1105</v>
      </c>
      <c r="D25">
        <v>3178.241</v>
      </c>
      <c r="E25" s="19">
        <f t="shared" si="8"/>
        <v>1101.8219311376602</v>
      </c>
      <c r="F25" s="20">
        <f t="shared" si="0"/>
        <v>14.174000000000214</v>
      </c>
      <c r="G25" s="21">
        <f t="shared" si="5"/>
        <v>1101.8219311376602</v>
      </c>
      <c r="H25" s="22">
        <f t="shared" si="5"/>
        <v>14.174000000000214</v>
      </c>
      <c r="I25" s="17">
        <f t="shared" si="2"/>
        <v>105</v>
      </c>
      <c r="J25" s="17">
        <f t="shared" si="6"/>
        <v>3178.241</v>
      </c>
      <c r="L25">
        <f t="shared" si="14"/>
        <v>1105</v>
      </c>
      <c r="M25">
        <v>3178.241</v>
      </c>
      <c r="N25" s="19">
        <f t="shared" si="15"/>
        <v>1103.2345671653457</v>
      </c>
      <c r="O25" s="20">
        <f t="shared" si="9"/>
        <v>3.8500000000001453</v>
      </c>
      <c r="P25" s="37">
        <f t="shared" si="10"/>
        <v>1103.2345671653457</v>
      </c>
      <c r="Q25" s="38">
        <f t="shared" si="11"/>
        <v>3.8500000000001453</v>
      </c>
      <c r="R25" s="37">
        <f t="shared" si="12"/>
        <v>105</v>
      </c>
      <c r="S25">
        <f t="shared" si="13"/>
        <v>3178.241</v>
      </c>
      <c r="W25" s="37">
        <f t="shared" si="3"/>
        <v>106.77547532339236</v>
      </c>
      <c r="X25">
        <v>3177.5610000000001</v>
      </c>
      <c r="Y25" s="37">
        <f t="shared" si="7"/>
        <v>106.77547532339236</v>
      </c>
      <c r="Z25">
        <f t="shared" si="1"/>
        <v>3177.5610000000001</v>
      </c>
    </row>
    <row r="26" spans="1:26" x14ac:dyDescent="0.35">
      <c r="A26" s="17" t="s">
        <v>1066</v>
      </c>
      <c r="B26" s="17" t="s">
        <v>1088</v>
      </c>
      <c r="C26" s="18">
        <f t="shared" si="4"/>
        <v>1110</v>
      </c>
      <c r="D26">
        <v>3177.5610000000001</v>
      </c>
      <c r="E26" s="19">
        <f t="shared" si="8"/>
        <v>1106.7754753233924</v>
      </c>
      <c r="F26" s="20">
        <f t="shared" si="0"/>
        <v>14.854000000000051</v>
      </c>
      <c r="G26" s="21">
        <f t="shared" si="5"/>
        <v>1106.7754753233924</v>
      </c>
      <c r="H26" s="22">
        <f t="shared" si="5"/>
        <v>14.854000000000051</v>
      </c>
      <c r="I26" s="17">
        <f t="shared" si="2"/>
        <v>110</v>
      </c>
      <c r="J26" s="17">
        <f t="shared" si="6"/>
        <v>3177.5610000000001</v>
      </c>
      <c r="L26">
        <f t="shared" si="14"/>
        <v>1110</v>
      </c>
      <c r="M26">
        <v>3177.5610000000001</v>
      </c>
      <c r="N26" s="19">
        <f t="shared" si="15"/>
        <v>1108.1881113510779</v>
      </c>
      <c r="O26" s="20">
        <f t="shared" si="9"/>
        <v>4.5299999999999816</v>
      </c>
      <c r="P26" s="37">
        <f t="shared" si="10"/>
        <v>1108.1881113510779</v>
      </c>
      <c r="Q26" s="38">
        <f t="shared" si="11"/>
        <v>4.5299999999999816</v>
      </c>
      <c r="R26" s="37">
        <f t="shared" si="12"/>
        <v>110</v>
      </c>
      <c r="S26">
        <f t="shared" si="13"/>
        <v>3177.5610000000001</v>
      </c>
      <c r="W26" s="37">
        <f t="shared" si="3"/>
        <v>111.76855363241179</v>
      </c>
      <c r="X26">
        <v>3177.2979999999998</v>
      </c>
      <c r="Y26" s="37">
        <f t="shared" si="7"/>
        <v>111.76855363241179</v>
      </c>
      <c r="Z26">
        <f t="shared" si="1"/>
        <v>3177.2979999999998</v>
      </c>
    </row>
    <row r="27" spans="1:26" x14ac:dyDescent="0.35">
      <c r="A27" s="17" t="s">
        <v>1082</v>
      </c>
      <c r="B27" s="17" t="s">
        <v>1049</v>
      </c>
      <c r="C27" s="18">
        <f t="shared" si="4"/>
        <v>1115</v>
      </c>
      <c r="D27">
        <v>3177.2979999999998</v>
      </c>
      <c r="E27" s="19">
        <f t="shared" si="8"/>
        <v>1111.7685536324118</v>
      </c>
      <c r="F27" s="20">
        <f t="shared" si="0"/>
        <v>15.117000000000425</v>
      </c>
      <c r="G27" s="21">
        <f t="shared" si="5"/>
        <v>1111.7685536324118</v>
      </c>
      <c r="H27" s="22">
        <f t="shared" si="5"/>
        <v>15.117000000000425</v>
      </c>
      <c r="I27" s="17">
        <f t="shared" si="2"/>
        <v>115</v>
      </c>
      <c r="J27" s="17">
        <f t="shared" si="6"/>
        <v>3177.2979999999998</v>
      </c>
      <c r="L27">
        <f t="shared" si="14"/>
        <v>1115</v>
      </c>
      <c r="M27">
        <v>3177.2979999999998</v>
      </c>
      <c r="N27" s="19">
        <f t="shared" si="15"/>
        <v>1113.1811896600973</v>
      </c>
      <c r="O27" s="20">
        <f t="shared" si="9"/>
        <v>4.7930000000003563</v>
      </c>
      <c r="P27" s="37">
        <f t="shared" si="10"/>
        <v>1113.1811896600973</v>
      </c>
      <c r="Q27" s="38">
        <f t="shared" si="11"/>
        <v>4.7930000000003563</v>
      </c>
      <c r="R27" s="37">
        <f t="shared" si="12"/>
        <v>115</v>
      </c>
      <c r="S27">
        <f t="shared" si="13"/>
        <v>3177.2979999999998</v>
      </c>
      <c r="W27" s="37">
        <f t="shared" si="3"/>
        <v>119.26855363241179</v>
      </c>
      <c r="X27">
        <v>3176.3989999999999</v>
      </c>
      <c r="Y27" s="37">
        <f t="shared" si="7"/>
        <v>116.68706956712231</v>
      </c>
      <c r="Z27">
        <f t="shared" si="1"/>
        <v>3176.3989999999999</v>
      </c>
    </row>
    <row r="28" spans="1:26" s="29" customFormat="1" x14ac:dyDescent="0.35">
      <c r="A28" s="13" t="s">
        <v>1083</v>
      </c>
      <c r="B28" s="23" t="s">
        <v>1050</v>
      </c>
      <c r="C28" s="14">
        <f>1122.5</f>
        <v>1122.5</v>
      </c>
      <c r="D28" s="28">
        <f>D27</f>
        <v>3177.2979999999998</v>
      </c>
      <c r="E28" s="25">
        <f t="shared" si="8"/>
        <v>1119.2685536324118</v>
      </c>
      <c r="F28" s="26">
        <f t="shared" si="0"/>
        <v>15.117000000000425</v>
      </c>
      <c r="G28" s="43"/>
      <c r="H28" s="43"/>
      <c r="I28" s="13">
        <f>C28-1000</f>
        <v>122.5</v>
      </c>
      <c r="J28" s="28">
        <f>J27-0.5</f>
        <v>3176.7979999999998</v>
      </c>
      <c r="L28">
        <f t="shared" si="14"/>
        <v>1120</v>
      </c>
      <c r="M28">
        <v>3176.3989999999999</v>
      </c>
      <c r="N28" s="19">
        <f t="shared" si="15"/>
        <v>1118.0997055948078</v>
      </c>
      <c r="O28" s="20">
        <f t="shared" si="9"/>
        <v>5.6920000000002435</v>
      </c>
      <c r="P28" s="37">
        <f t="shared" si="10"/>
        <v>1118.0997055948078</v>
      </c>
      <c r="Q28" s="38">
        <f t="shared" si="11"/>
        <v>5.6920000000002435</v>
      </c>
      <c r="R28" s="37">
        <f t="shared" si="12"/>
        <v>120</v>
      </c>
      <c r="S28">
        <f t="shared" si="13"/>
        <v>3176.3989999999999</v>
      </c>
      <c r="U28"/>
      <c r="W28" s="37">
        <f>N29-1000</f>
        <v>123.08792682085618</v>
      </c>
      <c r="X28" s="29">
        <v>3176.56</v>
      </c>
      <c r="Y28" s="37">
        <f t="shared" si="7"/>
        <v>121.67529079317069</v>
      </c>
      <c r="Z28">
        <f t="shared" si="1"/>
        <v>3176.56</v>
      </c>
    </row>
    <row r="29" spans="1:26" x14ac:dyDescent="0.35">
      <c r="A29" s="13"/>
      <c r="B29" s="23" t="s">
        <v>1051</v>
      </c>
      <c r="C29" s="18"/>
      <c r="D29" s="1"/>
      <c r="I29" s="17"/>
      <c r="J29" s="1"/>
      <c r="L29">
        <f t="shared" si="14"/>
        <v>1125</v>
      </c>
      <c r="M29">
        <v>3176.056</v>
      </c>
      <c r="N29" s="19">
        <f t="shared" si="15"/>
        <v>1123.0879268208562</v>
      </c>
      <c r="O29" s="20">
        <f t="shared" si="9"/>
        <v>6.0350000000000907</v>
      </c>
      <c r="P29" s="37">
        <f t="shared" si="10"/>
        <v>1123.0879268208562</v>
      </c>
      <c r="Q29" s="38">
        <f>O29:O52</f>
        <v>6.0350000000000907</v>
      </c>
      <c r="R29" s="37">
        <f t="shared" si="12"/>
        <v>125</v>
      </c>
      <c r="S29">
        <f t="shared" si="13"/>
        <v>3176.056</v>
      </c>
      <c r="W29" s="37">
        <f t="shared" ref="W29:W44" si="16">N30-1000</f>
        <v>128.06540851343925</v>
      </c>
      <c r="X29">
        <v>3175.5819999999999</v>
      </c>
      <c r="Y29" s="37">
        <f t="shared" si="7"/>
        <v>126.65277248575376</v>
      </c>
      <c r="Z29">
        <f t="shared" si="1"/>
        <v>3175.5819999999999</v>
      </c>
    </row>
    <row r="30" spans="1:26" x14ac:dyDescent="0.35">
      <c r="A30" s="13"/>
      <c r="B30" s="17" t="s">
        <v>1052</v>
      </c>
      <c r="C30" s="18"/>
      <c r="D30" s="1"/>
      <c r="I30" s="17"/>
      <c r="J30" s="1"/>
      <c r="L30">
        <f t="shared" si="14"/>
        <v>1130</v>
      </c>
      <c r="M30">
        <v>3175.5819999999999</v>
      </c>
      <c r="N30" s="19">
        <f t="shared" si="15"/>
        <v>1128.0654085134393</v>
      </c>
      <c r="O30" s="20">
        <f t="shared" si="9"/>
        <v>6.5090000000002508</v>
      </c>
      <c r="P30" s="37">
        <f t="shared" si="10"/>
        <v>1128.0654085134393</v>
      </c>
      <c r="Q30" s="38">
        <f t="shared" ref="Q30:Q46" si="17">O30:O52</f>
        <v>6.5090000000002508</v>
      </c>
      <c r="R30" s="37">
        <f t="shared" si="12"/>
        <v>130</v>
      </c>
      <c r="S30">
        <f t="shared" si="13"/>
        <v>3175.5819999999999</v>
      </c>
      <c r="W30" s="37">
        <f t="shared" si="16"/>
        <v>133.04807286095456</v>
      </c>
      <c r="X30">
        <v>3175.1660000000002</v>
      </c>
      <c r="Y30" s="37">
        <f t="shared" si="7"/>
        <v>131.63543683326907</v>
      </c>
      <c r="Z30">
        <f t="shared" si="1"/>
        <v>3175.1660000000002</v>
      </c>
    </row>
    <row r="31" spans="1:26" x14ac:dyDescent="0.35">
      <c r="A31" s="13"/>
      <c r="B31" s="23" t="s">
        <v>1053</v>
      </c>
      <c r="C31" s="18"/>
      <c r="D31" s="1"/>
      <c r="I31" s="17"/>
      <c r="J31" s="1"/>
      <c r="L31">
        <f t="shared" si="14"/>
        <v>1135</v>
      </c>
      <c r="M31">
        <v>3175.1660000000002</v>
      </c>
      <c r="N31" s="19">
        <f t="shared" si="15"/>
        <v>1133.0480728609546</v>
      </c>
      <c r="O31" s="20">
        <f t="shared" si="9"/>
        <v>6.9249999999999634</v>
      </c>
      <c r="P31" s="37">
        <f t="shared" si="10"/>
        <v>1133.0480728609546</v>
      </c>
      <c r="Q31" s="38">
        <f t="shared" si="17"/>
        <v>6.9249999999999634</v>
      </c>
      <c r="R31" s="37">
        <f t="shared" si="12"/>
        <v>135</v>
      </c>
      <c r="S31">
        <f t="shared" si="13"/>
        <v>3175.1660000000002</v>
      </c>
      <c r="W31" s="37">
        <f t="shared" si="16"/>
        <v>137.53953041947602</v>
      </c>
      <c r="X31">
        <v>3172.9690000000001</v>
      </c>
      <c r="Y31" s="37">
        <f t="shared" si="7"/>
        <v>136.12689439179053</v>
      </c>
      <c r="Z31">
        <f t="shared" si="1"/>
        <v>3172.9690000000001</v>
      </c>
    </row>
    <row r="32" spans="1:26" x14ac:dyDescent="0.35">
      <c r="A32" s="13"/>
      <c r="B32" s="23" t="s">
        <v>1054</v>
      </c>
      <c r="C32" s="18"/>
      <c r="D32" s="1"/>
      <c r="I32" s="17"/>
      <c r="J32" s="1"/>
      <c r="L32">
        <f t="shared" si="14"/>
        <v>1140</v>
      </c>
      <c r="M32">
        <v>3172.9690000000001</v>
      </c>
      <c r="N32" s="19">
        <f t="shared" si="15"/>
        <v>1137.539530419476</v>
      </c>
      <c r="O32" s="20">
        <f t="shared" si="9"/>
        <v>9.1220000000000798</v>
      </c>
      <c r="P32" s="37">
        <f t="shared" si="10"/>
        <v>1137.539530419476</v>
      </c>
      <c r="Q32" s="38">
        <f t="shared" si="17"/>
        <v>9.1220000000000798</v>
      </c>
      <c r="R32" s="37">
        <f t="shared" si="12"/>
        <v>140</v>
      </c>
      <c r="S32">
        <f t="shared" si="13"/>
        <v>3172.9690000000001</v>
      </c>
      <c r="W32" s="37">
        <f t="shared" si="16"/>
        <v>142.53696976378023</v>
      </c>
      <c r="X32">
        <v>3173.1289999999999</v>
      </c>
      <c r="Y32" s="37">
        <f t="shared" si="7"/>
        <v>141.12433373609474</v>
      </c>
      <c r="Z32">
        <f t="shared" si="1"/>
        <v>3173.1289999999999</v>
      </c>
    </row>
    <row r="33" spans="1:26" x14ac:dyDescent="0.35">
      <c r="A33" s="13"/>
      <c r="B33" s="17" t="s">
        <v>1055</v>
      </c>
      <c r="C33" s="18"/>
      <c r="D33" s="1"/>
      <c r="I33" s="17"/>
      <c r="J33" s="1"/>
      <c r="L33">
        <f t="shared" si="14"/>
        <v>1145</v>
      </c>
      <c r="M33">
        <v>3173.1289999999999</v>
      </c>
      <c r="N33" s="19">
        <f t="shared" si="15"/>
        <v>1142.5369697637802</v>
      </c>
      <c r="O33" s="20">
        <f t="shared" si="9"/>
        <v>8.9620000000002253</v>
      </c>
      <c r="P33" s="37">
        <f t="shared" si="10"/>
        <v>1142.5369697637802</v>
      </c>
      <c r="Q33" s="38">
        <f t="shared" si="17"/>
        <v>8.9620000000002253</v>
      </c>
      <c r="R33" s="37">
        <f t="shared" si="12"/>
        <v>145</v>
      </c>
      <c r="S33">
        <f t="shared" si="13"/>
        <v>3173.1289999999999</v>
      </c>
      <c r="W33" s="37">
        <f t="shared" si="16"/>
        <v>147.47480370185463</v>
      </c>
      <c r="X33">
        <v>3173.915</v>
      </c>
      <c r="Y33" s="37">
        <f t="shared" si="7"/>
        <v>146.06216767416913</v>
      </c>
      <c r="Z33">
        <f t="shared" si="1"/>
        <v>3173.915</v>
      </c>
    </row>
    <row r="34" spans="1:26" x14ac:dyDescent="0.35">
      <c r="A34" s="13"/>
      <c r="B34" s="23" t="s">
        <v>1056</v>
      </c>
      <c r="C34" s="18"/>
      <c r="D34" s="1"/>
      <c r="I34" s="17"/>
      <c r="J34" s="1"/>
      <c r="L34">
        <f t="shared" si="14"/>
        <v>1150</v>
      </c>
      <c r="M34">
        <v>3173.915</v>
      </c>
      <c r="N34" s="19">
        <f t="shared" si="15"/>
        <v>1147.4748037018546</v>
      </c>
      <c r="O34" s="20">
        <f t="shared" si="9"/>
        <v>8.1760000000001671</v>
      </c>
      <c r="P34" s="37">
        <f t="shared" si="10"/>
        <v>1147.4748037018546</v>
      </c>
      <c r="Q34" s="38">
        <f t="shared" si="17"/>
        <v>8.1760000000001671</v>
      </c>
      <c r="R34" s="37">
        <f t="shared" si="12"/>
        <v>150</v>
      </c>
      <c r="S34">
        <f t="shared" si="13"/>
        <v>3173.915</v>
      </c>
      <c r="W34" s="37">
        <f t="shared" si="16"/>
        <v>152.44277864140486</v>
      </c>
      <c r="X34">
        <v>3173.35</v>
      </c>
      <c r="Y34" s="37">
        <f t="shared" si="7"/>
        <v>151.03014261371936</v>
      </c>
      <c r="Z34">
        <f t="shared" si="1"/>
        <v>3173.35</v>
      </c>
    </row>
    <row r="35" spans="1:26" x14ac:dyDescent="0.35">
      <c r="B35" s="23" t="s">
        <v>1057</v>
      </c>
      <c r="L35">
        <f t="shared" si="14"/>
        <v>1155</v>
      </c>
      <c r="M35">
        <v>3173.35</v>
      </c>
      <c r="N35" s="19">
        <f t="shared" si="15"/>
        <v>1152.4427786414049</v>
      </c>
      <c r="O35" s="20">
        <f t="shared" si="9"/>
        <v>8.7410000000002217</v>
      </c>
      <c r="P35" s="37">
        <f t="shared" si="10"/>
        <v>1152.4427786414049</v>
      </c>
      <c r="Q35" s="38">
        <f t="shared" si="17"/>
        <v>8.7410000000002217</v>
      </c>
      <c r="R35" s="37">
        <f t="shared" si="12"/>
        <v>155</v>
      </c>
      <c r="S35">
        <f t="shared" si="13"/>
        <v>3173.35</v>
      </c>
      <c r="W35" s="37">
        <f t="shared" si="16"/>
        <v>157.32518747311906</v>
      </c>
      <c r="X35">
        <v>3172.2719999999999</v>
      </c>
      <c r="Y35" s="37">
        <f t="shared" si="7"/>
        <v>155.91255144543356</v>
      </c>
      <c r="Z35">
        <f t="shared" si="1"/>
        <v>3172.2719999999999</v>
      </c>
    </row>
    <row r="36" spans="1:26" x14ac:dyDescent="0.35">
      <c r="B36" s="17" t="s">
        <v>1058</v>
      </c>
      <c r="C36">
        <v>5</v>
      </c>
      <c r="L36">
        <f t="shared" si="14"/>
        <v>1160</v>
      </c>
      <c r="M36">
        <v>3172.2719999999999</v>
      </c>
      <c r="N36" s="19">
        <f t="shared" si="15"/>
        <v>1157.3251874731191</v>
      </c>
      <c r="O36" s="20">
        <f t="shared" si="9"/>
        <v>9.8190000000001962</v>
      </c>
      <c r="P36" s="37">
        <f t="shared" si="10"/>
        <v>1157.3251874731191</v>
      </c>
      <c r="Q36" s="38">
        <f t="shared" si="17"/>
        <v>9.8190000000001962</v>
      </c>
      <c r="R36" s="37">
        <f t="shared" si="12"/>
        <v>160</v>
      </c>
      <c r="S36">
        <f t="shared" si="13"/>
        <v>3172.2719999999999</v>
      </c>
      <c r="W36" s="37">
        <f t="shared" si="16"/>
        <v>161.87292493255973</v>
      </c>
      <c r="X36">
        <v>3174.35</v>
      </c>
      <c r="Y36" s="37">
        <f t="shared" si="7"/>
        <v>160.46028890487423</v>
      </c>
      <c r="Z36">
        <f t="shared" si="1"/>
        <v>3174.35</v>
      </c>
    </row>
    <row r="37" spans="1:26" x14ac:dyDescent="0.35">
      <c r="B37" s="23" t="s">
        <v>1059</v>
      </c>
      <c r="L37">
        <f t="shared" si="14"/>
        <v>1165</v>
      </c>
      <c r="M37">
        <v>3174.35</v>
      </c>
      <c r="N37" s="19">
        <f t="shared" si="15"/>
        <v>1161.8729249325597</v>
      </c>
      <c r="O37" s="20">
        <f t="shared" si="9"/>
        <v>7.7410000000002217</v>
      </c>
      <c r="P37" s="37">
        <f t="shared" si="10"/>
        <v>1161.8729249325597</v>
      </c>
      <c r="Q37" s="38">
        <f t="shared" si="17"/>
        <v>7.7410000000002217</v>
      </c>
      <c r="R37" s="37">
        <f t="shared" si="12"/>
        <v>165</v>
      </c>
      <c r="S37">
        <f t="shared" si="13"/>
        <v>3174.35</v>
      </c>
      <c r="W37" s="37">
        <f t="shared" si="16"/>
        <v>166.75467041957563</v>
      </c>
      <c r="X37">
        <v>3173.2689999999998</v>
      </c>
      <c r="Y37" s="37">
        <f t="shared" si="7"/>
        <v>165.34203439189014</v>
      </c>
      <c r="Z37">
        <f t="shared" si="1"/>
        <v>3173.2689999999998</v>
      </c>
    </row>
    <row r="38" spans="1:26" x14ac:dyDescent="0.35">
      <c r="B38" s="23" t="s">
        <v>1060</v>
      </c>
      <c r="L38">
        <f t="shared" si="14"/>
        <v>1170</v>
      </c>
      <c r="M38">
        <v>3173.2689999999998</v>
      </c>
      <c r="N38" s="19">
        <f t="shared" si="15"/>
        <v>1166.7546704195756</v>
      </c>
      <c r="O38" s="20">
        <f t="shared" si="9"/>
        <v>8.8220000000003527</v>
      </c>
      <c r="P38" s="37">
        <f t="shared" si="10"/>
        <v>1166.7546704195756</v>
      </c>
      <c r="Q38" s="38">
        <f t="shared" si="17"/>
        <v>8.8220000000003527</v>
      </c>
      <c r="R38" s="37">
        <f t="shared" si="12"/>
        <v>170</v>
      </c>
      <c r="S38">
        <f t="shared" si="13"/>
        <v>3173.2689999999998</v>
      </c>
      <c r="W38" s="37">
        <f t="shared" si="16"/>
        <v>171.70571031034592</v>
      </c>
      <c r="X38">
        <v>3173.9670000000001</v>
      </c>
      <c r="Y38" s="37">
        <f t="shared" si="7"/>
        <v>170.29307428266043</v>
      </c>
      <c r="Z38">
        <f t="shared" si="1"/>
        <v>3173.9670000000001</v>
      </c>
    </row>
    <row r="39" spans="1:26" x14ac:dyDescent="0.35">
      <c r="B39" s="17" t="s">
        <v>1061</v>
      </c>
      <c r="L39">
        <f t="shared" si="14"/>
        <v>1175</v>
      </c>
      <c r="M39">
        <v>3173.9670000000001</v>
      </c>
      <c r="N39" s="19">
        <f t="shared" si="15"/>
        <v>1171.7057103103459</v>
      </c>
      <c r="O39" s="20">
        <f t="shared" si="9"/>
        <v>8.1240000000000325</v>
      </c>
      <c r="P39" s="37">
        <f t="shared" si="10"/>
        <v>1171.7057103103459</v>
      </c>
      <c r="Q39" s="38">
        <f t="shared" si="17"/>
        <v>8.1240000000000325</v>
      </c>
      <c r="R39" s="37">
        <f t="shared" si="12"/>
        <v>175</v>
      </c>
      <c r="S39">
        <f t="shared" si="13"/>
        <v>3173.9670000000001</v>
      </c>
      <c r="W39" s="37">
        <f t="shared" si="16"/>
        <v>176.28126972969562</v>
      </c>
      <c r="X39">
        <v>3171.951</v>
      </c>
      <c r="Y39" s="37">
        <f t="shared" si="7"/>
        <v>174.86863370201013</v>
      </c>
      <c r="Z39">
        <f t="shared" si="1"/>
        <v>3171.951</v>
      </c>
    </row>
    <row r="40" spans="1:26" x14ac:dyDescent="0.35">
      <c r="B40" s="23" t="s">
        <v>1062</v>
      </c>
      <c r="L40">
        <f t="shared" si="14"/>
        <v>1180</v>
      </c>
      <c r="M40">
        <v>3171.951</v>
      </c>
      <c r="N40" s="19">
        <f t="shared" si="15"/>
        <v>1176.2812697296956</v>
      </c>
      <c r="O40" s="20">
        <f t="shared" si="9"/>
        <v>10.140000000000109</v>
      </c>
      <c r="P40" s="37">
        <f t="shared" si="10"/>
        <v>1176.2812697296956</v>
      </c>
      <c r="Q40" s="38">
        <f t="shared" si="17"/>
        <v>10.140000000000109</v>
      </c>
      <c r="R40" s="37">
        <f t="shared" si="12"/>
        <v>180</v>
      </c>
      <c r="S40">
        <f t="shared" si="13"/>
        <v>3171.951</v>
      </c>
      <c r="W40" s="37">
        <f t="shared" si="16"/>
        <v>181.26451355274912</v>
      </c>
      <c r="X40">
        <v>3172.36</v>
      </c>
      <c r="Y40" s="37">
        <f t="shared" si="7"/>
        <v>179.85187752506363</v>
      </c>
      <c r="Z40">
        <f t="shared" si="1"/>
        <v>3172.36</v>
      </c>
    </row>
    <row r="41" spans="1:26" x14ac:dyDescent="0.35">
      <c r="B41" s="23" t="s">
        <v>1063</v>
      </c>
      <c r="L41">
        <f t="shared" si="14"/>
        <v>1185</v>
      </c>
      <c r="M41">
        <v>3172.36</v>
      </c>
      <c r="N41" s="19">
        <f t="shared" si="15"/>
        <v>1181.2645135527491</v>
      </c>
      <c r="O41" s="20">
        <f t="shared" si="9"/>
        <v>9.7310000000000034</v>
      </c>
      <c r="P41" s="37">
        <f t="shared" si="10"/>
        <v>1181.2645135527491</v>
      </c>
      <c r="Q41" s="38">
        <f t="shared" si="17"/>
        <v>9.7310000000000034</v>
      </c>
      <c r="R41" s="37">
        <f t="shared" si="12"/>
        <v>185</v>
      </c>
      <c r="S41">
        <f t="shared" si="13"/>
        <v>3172.36</v>
      </c>
      <c r="W41" s="37">
        <f t="shared" si="16"/>
        <v>186.26349334866745</v>
      </c>
      <c r="X41">
        <v>3172.259</v>
      </c>
      <c r="Y41" s="37">
        <f t="shared" si="7"/>
        <v>184.85085732098196</v>
      </c>
      <c r="Z41">
        <f t="shared" si="1"/>
        <v>3172.259</v>
      </c>
    </row>
    <row r="42" spans="1:26" x14ac:dyDescent="0.35">
      <c r="B42" s="17" t="s">
        <v>1064</v>
      </c>
      <c r="L42">
        <f t="shared" si="14"/>
        <v>1190</v>
      </c>
      <c r="M42">
        <v>3172.259</v>
      </c>
      <c r="N42" s="19">
        <f t="shared" si="15"/>
        <v>1186.2634933486675</v>
      </c>
      <c r="O42" s="20">
        <f t="shared" si="9"/>
        <v>9.8320000000001162</v>
      </c>
      <c r="P42" s="37">
        <f t="shared" si="10"/>
        <v>1186.2634933486675</v>
      </c>
      <c r="Q42" s="38">
        <f t="shared" si="17"/>
        <v>9.8320000000001162</v>
      </c>
      <c r="R42" s="37">
        <f t="shared" si="12"/>
        <v>190</v>
      </c>
      <c r="S42">
        <f t="shared" si="13"/>
        <v>3172.259</v>
      </c>
      <c r="W42" s="37">
        <f t="shared" si="16"/>
        <v>191.17260721982575</v>
      </c>
      <c r="X42">
        <v>3171.31</v>
      </c>
      <c r="Y42" s="37">
        <f t="shared" si="7"/>
        <v>189.75997119214026</v>
      </c>
      <c r="Z42">
        <f t="shared" si="1"/>
        <v>3171.31</v>
      </c>
    </row>
    <row r="43" spans="1:26" x14ac:dyDescent="0.35">
      <c r="B43" s="23" t="s">
        <v>1065</v>
      </c>
      <c r="L43">
        <f t="shared" si="14"/>
        <v>1195</v>
      </c>
      <c r="M43">
        <v>3171.31</v>
      </c>
      <c r="N43" s="19">
        <f t="shared" si="15"/>
        <v>1191.1726072198257</v>
      </c>
      <c r="O43" s="20">
        <f t="shared" si="9"/>
        <v>10.781000000000185</v>
      </c>
      <c r="P43" s="37">
        <f t="shared" si="10"/>
        <v>1191.1726072198257</v>
      </c>
      <c r="Q43" s="38">
        <f t="shared" si="17"/>
        <v>10.781000000000185</v>
      </c>
      <c r="R43" s="37">
        <f t="shared" si="12"/>
        <v>195</v>
      </c>
      <c r="S43">
        <f t="shared" si="13"/>
        <v>3171.31</v>
      </c>
      <c r="W43" s="37">
        <f t="shared" si="16"/>
        <v>195.81696896284279</v>
      </c>
      <c r="X43">
        <v>3173.1619999999998</v>
      </c>
      <c r="Y43" s="37">
        <f t="shared" si="7"/>
        <v>194.4043329351573</v>
      </c>
      <c r="Z43">
        <f t="shared" si="1"/>
        <v>3173.1619999999998</v>
      </c>
    </row>
    <row r="44" spans="1:26" x14ac:dyDescent="0.35">
      <c r="B44" s="23" t="s">
        <v>1066</v>
      </c>
      <c r="L44">
        <f t="shared" si="14"/>
        <v>1200</v>
      </c>
      <c r="M44">
        <v>3173.1619999999998</v>
      </c>
      <c r="N44" s="19">
        <f t="shared" si="15"/>
        <v>1195.8169689628428</v>
      </c>
      <c r="O44" s="20">
        <f t="shared" si="9"/>
        <v>8.9290000000003236</v>
      </c>
      <c r="P44" s="37">
        <f t="shared" si="10"/>
        <v>1195.8169689628428</v>
      </c>
      <c r="Q44" s="38">
        <f t="shared" si="17"/>
        <v>8.9290000000003236</v>
      </c>
      <c r="R44" s="37">
        <f t="shared" si="12"/>
        <v>200</v>
      </c>
      <c r="S44">
        <f t="shared" si="13"/>
        <v>3173.1619999999998</v>
      </c>
      <c r="W44" s="37">
        <f t="shared" si="16"/>
        <v>200.5389668450955</v>
      </c>
      <c r="X44">
        <v>3174.806</v>
      </c>
      <c r="Y44" s="37">
        <f t="shared" si="7"/>
        <v>199.12633081741001</v>
      </c>
      <c r="Z44">
        <f t="shared" si="1"/>
        <v>3174.806</v>
      </c>
    </row>
    <row r="45" spans="1:26" x14ac:dyDescent="0.35">
      <c r="B45" s="17" t="s">
        <v>1067</v>
      </c>
      <c r="L45">
        <f t="shared" si="14"/>
        <v>1205</v>
      </c>
      <c r="M45">
        <v>3174.806</v>
      </c>
      <c r="N45" s="19">
        <f t="shared" si="15"/>
        <v>1200.5389668450955</v>
      </c>
      <c r="O45" s="20">
        <f t="shared" si="9"/>
        <v>7.2850000000000907</v>
      </c>
      <c r="P45" s="37">
        <f t="shared" si="10"/>
        <v>1200.5389668450955</v>
      </c>
      <c r="Q45" s="38">
        <f t="shared" si="17"/>
        <v>7.2850000000000907</v>
      </c>
      <c r="R45" s="37">
        <f t="shared" si="12"/>
        <v>205</v>
      </c>
      <c r="S45">
        <f t="shared" si="13"/>
        <v>3174.806</v>
      </c>
      <c r="W45" s="37">
        <v>212.5</v>
      </c>
      <c r="X45">
        <v>3174.33</v>
      </c>
      <c r="Y45" s="37">
        <f t="shared" si="7"/>
        <v>204.1036216467669</v>
      </c>
      <c r="Z45">
        <f t="shared" si="1"/>
        <v>3174.33</v>
      </c>
    </row>
    <row r="46" spans="1:26" x14ac:dyDescent="0.35">
      <c r="L46">
        <f t="shared" si="14"/>
        <v>1210</v>
      </c>
      <c r="M46">
        <v>3174.33</v>
      </c>
      <c r="N46" s="19">
        <f t="shared" si="15"/>
        <v>1205.5162576744524</v>
      </c>
      <c r="O46" s="20">
        <f t="shared" si="9"/>
        <v>7.7610000000002035</v>
      </c>
      <c r="P46" s="37">
        <f t="shared" si="10"/>
        <v>1205.5162576744524</v>
      </c>
      <c r="Q46" s="38">
        <f t="shared" si="17"/>
        <v>7.7610000000002035</v>
      </c>
      <c r="R46" s="37">
        <f t="shared" si="12"/>
        <v>210</v>
      </c>
      <c r="S46">
        <f t="shared" si="13"/>
        <v>3174.33</v>
      </c>
    </row>
    <row r="47" spans="1:26" x14ac:dyDescent="0.35">
      <c r="L47" s="27" t="s">
        <v>1068</v>
      </c>
      <c r="N47" s="19">
        <f>1210+7.5</f>
        <v>1217.5</v>
      </c>
      <c r="O47" s="20">
        <f>O46</f>
        <v>7.7610000000002035</v>
      </c>
      <c r="P47" s="41"/>
      <c r="Q47" s="42"/>
      <c r="R47" s="37" t="e">
        <f t="shared" si="12"/>
        <v>#VALUE!</v>
      </c>
      <c r="S47">
        <f>S46</f>
        <v>3174.33</v>
      </c>
    </row>
    <row r="51" spans="1:12" x14ac:dyDescent="0.35">
      <c r="A51" t="s">
        <v>1092</v>
      </c>
    </row>
    <row r="52" spans="1:12" x14ac:dyDescent="0.35">
      <c r="A52" s="9" t="s">
        <v>0</v>
      </c>
      <c r="B52" s="9"/>
      <c r="C52" s="10" t="s">
        <v>989</v>
      </c>
      <c r="D52" s="10" t="s">
        <v>990</v>
      </c>
      <c r="E52" s="45" t="s">
        <v>1040</v>
      </c>
      <c r="F52" s="45"/>
      <c r="G52" s="46" t="s">
        <v>1041</v>
      </c>
      <c r="H52" s="46"/>
      <c r="I52" s="44" t="s">
        <v>1042</v>
      </c>
      <c r="J52" s="44"/>
      <c r="K52" t="s">
        <v>1090</v>
      </c>
    </row>
    <row r="53" spans="1:12" x14ac:dyDescent="0.35">
      <c r="A53" s="17" t="s">
        <v>1039</v>
      </c>
      <c r="B53" s="17"/>
      <c r="C53" s="18">
        <v>1000</v>
      </c>
      <c r="D53">
        <f>'GOL07'!H2</f>
        <v>3192.4050000000002</v>
      </c>
      <c r="E53" s="19">
        <f>C53</f>
        <v>1000</v>
      </c>
      <c r="F53" s="20">
        <f t="shared" ref="F53:F77" si="18">ABS(D53-MAX(D:D))+0.01</f>
        <v>0.01</v>
      </c>
      <c r="G53" s="21">
        <f>E53</f>
        <v>1000</v>
      </c>
      <c r="H53" s="22">
        <f>F53</f>
        <v>0.01</v>
      </c>
      <c r="I53" s="17">
        <f t="shared" ref="I53:I116" si="19">C53-1000</f>
        <v>0</v>
      </c>
      <c r="J53" s="17">
        <f>D53</f>
        <v>3192.4050000000002</v>
      </c>
      <c r="K53" s="37">
        <f>G53-1000</f>
        <v>0</v>
      </c>
      <c r="L53">
        <f>D53</f>
        <v>3192.4050000000002</v>
      </c>
    </row>
    <row r="54" spans="1:12" x14ac:dyDescent="0.35">
      <c r="A54" s="17" t="s">
        <v>1038</v>
      </c>
      <c r="B54" s="17"/>
      <c r="C54" s="18">
        <f t="shared" ref="C54:C117" si="20">C53+$C$36</f>
        <v>1005</v>
      </c>
      <c r="D54">
        <f>'GOL07'!H3</f>
        <v>3191.74</v>
      </c>
      <c r="E54" s="19">
        <f>E53+(SQRT((C54-C53)^2-(F54-F53)^2))</f>
        <v>1004.9555801880304</v>
      </c>
      <c r="F54" s="20">
        <f t="shared" si="18"/>
        <v>0.67500000000041838</v>
      </c>
      <c r="G54" s="21">
        <f t="shared" ref="G54:G117" si="21">E54</f>
        <v>1004.9555801880304</v>
      </c>
      <c r="H54" s="22">
        <f t="shared" ref="H54:H117" si="22">F54</f>
        <v>0.67500000000041838</v>
      </c>
      <c r="I54" s="17">
        <f t="shared" si="19"/>
        <v>5</v>
      </c>
      <c r="J54" s="17">
        <f t="shared" ref="J54:J117" si="23">D54</f>
        <v>3191.74</v>
      </c>
      <c r="K54" s="37">
        <f t="shared" ref="K54:K117" si="24">G54-1000</f>
        <v>4.9555801880303534</v>
      </c>
      <c r="L54">
        <f t="shared" ref="L54:L117" si="25">D54</f>
        <v>3191.74</v>
      </c>
    </row>
    <row r="55" spans="1:12" x14ac:dyDescent="0.35">
      <c r="A55" s="17" t="s">
        <v>1037</v>
      </c>
      <c r="B55" s="17"/>
      <c r="C55" s="18">
        <f t="shared" si="20"/>
        <v>1010</v>
      </c>
      <c r="D55">
        <f>'GOL07'!H4</f>
        <v>3191.5459999999998</v>
      </c>
      <c r="E55" s="19">
        <f t="shared" ref="E55:E118" si="26">E54+(SQRT((C55-C54)^2-(F55-F54)^2))</f>
        <v>1009.9518151704947</v>
      </c>
      <c r="F55" s="20">
        <f t="shared" si="18"/>
        <v>0.86900000000037836</v>
      </c>
      <c r="G55" s="21">
        <f t="shared" si="21"/>
        <v>1009.9518151704947</v>
      </c>
      <c r="H55" s="22">
        <f t="shared" si="22"/>
        <v>0.86900000000037836</v>
      </c>
      <c r="I55" s="17">
        <f t="shared" si="19"/>
        <v>10</v>
      </c>
      <c r="J55" s="17">
        <f t="shared" si="23"/>
        <v>3191.5459999999998</v>
      </c>
      <c r="K55" s="37">
        <f t="shared" si="24"/>
        <v>9.9518151704946831</v>
      </c>
      <c r="L55">
        <f t="shared" si="25"/>
        <v>3191.5459999999998</v>
      </c>
    </row>
    <row r="56" spans="1:12" x14ac:dyDescent="0.35">
      <c r="A56" s="17" t="s">
        <v>1036</v>
      </c>
      <c r="B56" s="17"/>
      <c r="C56" s="18">
        <f t="shared" si="20"/>
        <v>1015</v>
      </c>
      <c r="D56">
        <f>'GOL07'!H5</f>
        <v>3191.55</v>
      </c>
      <c r="E56" s="19">
        <f t="shared" si="26"/>
        <v>1014.9518135704944</v>
      </c>
      <c r="F56" s="20">
        <f t="shared" si="18"/>
        <v>0.8650000000000182</v>
      </c>
      <c r="G56" s="21">
        <f t="shared" si="21"/>
        <v>1014.9518135704944</v>
      </c>
      <c r="H56" s="22">
        <f t="shared" si="22"/>
        <v>0.8650000000000182</v>
      </c>
      <c r="I56" s="17">
        <f t="shared" si="19"/>
        <v>15</v>
      </c>
      <c r="J56" s="17">
        <f t="shared" si="23"/>
        <v>3191.55</v>
      </c>
      <c r="K56" s="37">
        <f t="shared" si="24"/>
        <v>14.951813570494437</v>
      </c>
      <c r="L56">
        <f t="shared" si="25"/>
        <v>3191.55</v>
      </c>
    </row>
    <row r="57" spans="1:12" x14ac:dyDescent="0.35">
      <c r="A57" s="17" t="s">
        <v>1035</v>
      </c>
      <c r="B57" s="17"/>
      <c r="C57" s="18">
        <f t="shared" si="20"/>
        <v>1020</v>
      </c>
      <c r="D57">
        <f>'GOL07'!H6</f>
        <v>3189.8789999999999</v>
      </c>
      <c r="E57" s="19">
        <f t="shared" si="26"/>
        <v>1019.6643244723385</v>
      </c>
      <c r="F57" s="20">
        <f t="shared" si="18"/>
        <v>2.5360000000002945</v>
      </c>
      <c r="G57" s="21">
        <f t="shared" si="21"/>
        <v>1019.6643244723385</v>
      </c>
      <c r="H57" s="22">
        <f t="shared" si="22"/>
        <v>2.5360000000002945</v>
      </c>
      <c r="I57" s="17">
        <f t="shared" si="19"/>
        <v>20</v>
      </c>
      <c r="J57" s="17">
        <f t="shared" si="23"/>
        <v>3189.8789999999999</v>
      </c>
      <c r="K57" s="37">
        <f t="shared" si="24"/>
        <v>19.664324472338535</v>
      </c>
      <c r="L57">
        <f t="shared" si="25"/>
        <v>3189.8789999999999</v>
      </c>
    </row>
    <row r="58" spans="1:12" x14ac:dyDescent="0.35">
      <c r="A58" s="17" t="s">
        <v>1034</v>
      </c>
      <c r="B58" s="17"/>
      <c r="C58" s="18">
        <f t="shared" si="20"/>
        <v>1025</v>
      </c>
      <c r="D58">
        <f>'GOL07'!H7</f>
        <v>3190.5360000000001</v>
      </c>
      <c r="E58" s="19">
        <f t="shared" si="26"/>
        <v>1024.6209716254048</v>
      </c>
      <c r="F58" s="20">
        <f t="shared" si="18"/>
        <v>1.8790000000001419</v>
      </c>
      <c r="G58" s="21">
        <f t="shared" si="21"/>
        <v>1024.6209716254048</v>
      </c>
      <c r="H58" s="22">
        <f t="shared" si="22"/>
        <v>1.8790000000001419</v>
      </c>
      <c r="I58" s="17">
        <f t="shared" si="19"/>
        <v>25</v>
      </c>
      <c r="J58" s="17">
        <f t="shared" si="23"/>
        <v>3190.5360000000001</v>
      </c>
      <c r="K58" s="37">
        <f t="shared" si="24"/>
        <v>24.620971625404763</v>
      </c>
      <c r="L58">
        <f t="shared" si="25"/>
        <v>3190.5360000000001</v>
      </c>
    </row>
    <row r="59" spans="1:12" x14ac:dyDescent="0.35">
      <c r="A59" s="17" t="s">
        <v>1033</v>
      </c>
      <c r="B59" s="17"/>
      <c r="C59" s="18">
        <f t="shared" si="20"/>
        <v>1030</v>
      </c>
      <c r="D59">
        <f>'GOL07'!H8</f>
        <v>3190.1480000000001</v>
      </c>
      <c r="E59" s="19">
        <f t="shared" si="26"/>
        <v>1029.6058944934139</v>
      </c>
      <c r="F59" s="20">
        <f t="shared" si="18"/>
        <v>2.2670000000000616</v>
      </c>
      <c r="G59" s="21">
        <f t="shared" si="21"/>
        <v>1029.6058944934139</v>
      </c>
      <c r="H59" s="22">
        <f t="shared" si="22"/>
        <v>2.2670000000000616</v>
      </c>
      <c r="I59" s="17">
        <f t="shared" si="19"/>
        <v>30</v>
      </c>
      <c r="J59" s="17">
        <f t="shared" si="23"/>
        <v>3190.1480000000001</v>
      </c>
      <c r="K59" s="37">
        <f t="shared" si="24"/>
        <v>29.605894493413871</v>
      </c>
      <c r="L59">
        <f t="shared" si="25"/>
        <v>3190.1480000000001</v>
      </c>
    </row>
    <row r="60" spans="1:12" x14ac:dyDescent="0.35">
      <c r="A60" s="17" t="s">
        <v>1032</v>
      </c>
      <c r="B60" s="17"/>
      <c r="C60" s="18">
        <f t="shared" si="20"/>
        <v>1035</v>
      </c>
      <c r="D60">
        <f>'GOL07'!H9</f>
        <v>3188.3670000000002</v>
      </c>
      <c r="E60" s="19">
        <f t="shared" si="26"/>
        <v>1034.2779431875094</v>
      </c>
      <c r="F60" s="20">
        <f t="shared" si="18"/>
        <v>4.0480000000000107</v>
      </c>
      <c r="G60" s="21">
        <f t="shared" si="21"/>
        <v>1034.2779431875094</v>
      </c>
      <c r="H60" s="22">
        <f t="shared" si="22"/>
        <v>4.0480000000000107</v>
      </c>
      <c r="I60" s="17">
        <f t="shared" si="19"/>
        <v>35</v>
      </c>
      <c r="J60" s="17">
        <f t="shared" si="23"/>
        <v>3188.3670000000002</v>
      </c>
      <c r="K60" s="37">
        <f t="shared" si="24"/>
        <v>34.277943187509436</v>
      </c>
      <c r="L60">
        <f t="shared" si="25"/>
        <v>3188.3670000000002</v>
      </c>
    </row>
    <row r="61" spans="1:12" x14ac:dyDescent="0.35">
      <c r="A61" s="17" t="s">
        <v>1031</v>
      </c>
      <c r="B61" s="17"/>
      <c r="C61" s="18">
        <f t="shared" si="20"/>
        <v>1040</v>
      </c>
      <c r="D61">
        <f>'GOL07'!H10</f>
        <v>3188.1080000000002</v>
      </c>
      <c r="E61" s="19">
        <f t="shared" si="26"/>
        <v>1039.2712305816017</v>
      </c>
      <c r="F61" s="20">
        <f t="shared" si="18"/>
        <v>4.3070000000000253</v>
      </c>
      <c r="G61" s="21">
        <f t="shared" si="21"/>
        <v>1039.2712305816017</v>
      </c>
      <c r="H61" s="22">
        <f t="shared" si="22"/>
        <v>4.3070000000000253</v>
      </c>
      <c r="I61" s="17">
        <f t="shared" si="19"/>
        <v>40</v>
      </c>
      <c r="J61" s="17">
        <f t="shared" si="23"/>
        <v>3188.1080000000002</v>
      </c>
      <c r="K61" s="37">
        <f t="shared" si="24"/>
        <v>39.271230581601685</v>
      </c>
      <c r="L61">
        <f t="shared" si="25"/>
        <v>3188.1080000000002</v>
      </c>
    </row>
    <row r="62" spans="1:12" x14ac:dyDescent="0.35">
      <c r="A62" s="17" t="s">
        <v>1030</v>
      </c>
      <c r="B62" s="17"/>
      <c r="C62" s="18">
        <f t="shared" si="20"/>
        <v>1045</v>
      </c>
      <c r="D62">
        <f>'GOL07'!H11</f>
        <v>3187.65</v>
      </c>
      <c r="E62" s="19">
        <f t="shared" si="26"/>
        <v>1044.2502099950959</v>
      </c>
      <c r="F62" s="20">
        <f t="shared" si="18"/>
        <v>4.7650000000001089</v>
      </c>
      <c r="G62" s="21">
        <f t="shared" si="21"/>
        <v>1044.2502099950959</v>
      </c>
      <c r="H62" s="22">
        <f t="shared" si="22"/>
        <v>4.7650000000001089</v>
      </c>
      <c r="I62" s="17">
        <f t="shared" si="19"/>
        <v>45</v>
      </c>
      <c r="J62" s="17">
        <f t="shared" si="23"/>
        <v>3187.65</v>
      </c>
      <c r="K62" s="37">
        <f t="shared" si="24"/>
        <v>44.250209995095929</v>
      </c>
      <c r="L62">
        <f t="shared" si="25"/>
        <v>3187.65</v>
      </c>
    </row>
    <row r="63" spans="1:12" x14ac:dyDescent="0.35">
      <c r="A63" s="17" t="s">
        <v>1029</v>
      </c>
      <c r="B63" s="17"/>
      <c r="C63" s="18">
        <f t="shared" si="20"/>
        <v>1050</v>
      </c>
      <c r="D63">
        <f>'GOL07'!H12</f>
        <v>3187.2330000000002</v>
      </c>
      <c r="E63" s="19">
        <f t="shared" si="26"/>
        <v>1049.2327907520933</v>
      </c>
      <c r="F63" s="20">
        <f t="shared" si="18"/>
        <v>5.1820000000000253</v>
      </c>
      <c r="G63" s="21">
        <f t="shared" si="21"/>
        <v>1049.2327907520933</v>
      </c>
      <c r="H63" s="22">
        <f t="shared" si="22"/>
        <v>5.1820000000000253</v>
      </c>
      <c r="I63" s="17">
        <f t="shared" si="19"/>
        <v>50</v>
      </c>
      <c r="J63" s="17">
        <f t="shared" si="23"/>
        <v>3187.2330000000002</v>
      </c>
      <c r="K63" s="37">
        <f t="shared" si="24"/>
        <v>49.232790752093251</v>
      </c>
      <c r="L63">
        <f t="shared" si="25"/>
        <v>3187.2330000000002</v>
      </c>
    </row>
    <row r="64" spans="1:12" x14ac:dyDescent="0.35">
      <c r="A64" s="17" t="s">
        <v>1028</v>
      </c>
      <c r="B64" s="17"/>
      <c r="C64" s="18">
        <f t="shared" si="20"/>
        <v>1055</v>
      </c>
      <c r="D64">
        <f>'GOL07'!H13</f>
        <v>3187.5059999999999</v>
      </c>
      <c r="E64" s="19">
        <f t="shared" si="26"/>
        <v>1054.2253322892263</v>
      </c>
      <c r="F64" s="20">
        <f t="shared" si="18"/>
        <v>4.9090000000003418</v>
      </c>
      <c r="G64" s="21">
        <f t="shared" si="21"/>
        <v>1054.2253322892263</v>
      </c>
      <c r="H64" s="22">
        <f t="shared" si="22"/>
        <v>4.9090000000003418</v>
      </c>
      <c r="I64" s="17">
        <f t="shared" si="19"/>
        <v>55</v>
      </c>
      <c r="J64" s="17">
        <f t="shared" si="23"/>
        <v>3187.5059999999999</v>
      </c>
      <c r="K64" s="37">
        <f t="shared" si="24"/>
        <v>54.225332289226344</v>
      </c>
      <c r="L64">
        <f t="shared" si="25"/>
        <v>3187.5059999999999</v>
      </c>
    </row>
    <row r="65" spans="1:13" x14ac:dyDescent="0.35">
      <c r="A65" s="17" t="s">
        <v>1027</v>
      </c>
      <c r="B65" s="17"/>
      <c r="C65" s="18">
        <f t="shared" si="20"/>
        <v>1060</v>
      </c>
      <c r="D65">
        <f>'GOL07'!H14</f>
        <v>3187.4929999999999</v>
      </c>
      <c r="E65" s="19">
        <f t="shared" si="26"/>
        <v>1059.2253153891977</v>
      </c>
      <c r="F65" s="20">
        <f t="shared" si="18"/>
        <v>4.9220000000002617</v>
      </c>
      <c r="G65" s="21">
        <f t="shared" si="21"/>
        <v>1059.2253153891977</v>
      </c>
      <c r="H65" s="22">
        <f t="shared" si="22"/>
        <v>4.9220000000002617</v>
      </c>
      <c r="I65" s="17">
        <f t="shared" si="19"/>
        <v>60</v>
      </c>
      <c r="J65" s="17">
        <f t="shared" si="23"/>
        <v>3187.4929999999999</v>
      </c>
      <c r="K65" s="37">
        <f t="shared" si="24"/>
        <v>59.225315389197704</v>
      </c>
      <c r="L65">
        <f t="shared" si="25"/>
        <v>3187.4929999999999</v>
      </c>
    </row>
    <row r="66" spans="1:13" x14ac:dyDescent="0.35">
      <c r="A66" s="17" t="s">
        <v>1026</v>
      </c>
      <c r="B66" s="17"/>
      <c r="C66" s="18">
        <f t="shared" si="20"/>
        <v>1065</v>
      </c>
      <c r="D66">
        <f>'GOL07'!H15</f>
        <v>3186.431</v>
      </c>
      <c r="E66" s="19">
        <f t="shared" si="26"/>
        <v>1064.1112294285563</v>
      </c>
      <c r="F66" s="20">
        <f t="shared" si="18"/>
        <v>5.9840000000001599</v>
      </c>
      <c r="G66" s="21">
        <f t="shared" si="21"/>
        <v>1064.1112294285563</v>
      </c>
      <c r="H66" s="22">
        <f t="shared" si="22"/>
        <v>5.9840000000001599</v>
      </c>
      <c r="I66" s="17">
        <f t="shared" si="19"/>
        <v>65</v>
      </c>
      <c r="J66" s="17">
        <f t="shared" si="23"/>
        <v>3186.431</v>
      </c>
      <c r="K66" s="37">
        <f t="shared" si="24"/>
        <v>64.111229428556271</v>
      </c>
      <c r="L66">
        <f t="shared" si="25"/>
        <v>3186.431</v>
      </c>
    </row>
    <row r="67" spans="1:13" x14ac:dyDescent="0.35">
      <c r="A67" s="17" t="s">
        <v>1025</v>
      </c>
      <c r="B67" s="17"/>
      <c r="C67" s="18">
        <f t="shared" si="20"/>
        <v>1070</v>
      </c>
      <c r="D67">
        <f>'GOL07'!H16</f>
        <v>3185.0169999999998</v>
      </c>
      <c r="E67" s="19">
        <f t="shared" si="26"/>
        <v>1068.9071239228085</v>
      </c>
      <c r="F67" s="20">
        <f t="shared" si="18"/>
        <v>7.3980000000003745</v>
      </c>
      <c r="G67" s="21">
        <f t="shared" si="21"/>
        <v>1068.9071239228085</v>
      </c>
      <c r="H67" s="22">
        <f t="shared" si="22"/>
        <v>7.3980000000003745</v>
      </c>
      <c r="I67" s="17">
        <f t="shared" si="19"/>
        <v>70</v>
      </c>
      <c r="J67" s="17">
        <f t="shared" si="23"/>
        <v>3185.0169999999998</v>
      </c>
      <c r="K67" s="37">
        <f t="shared" si="24"/>
        <v>68.907123922808523</v>
      </c>
      <c r="L67">
        <f t="shared" si="25"/>
        <v>3185.0169999999998</v>
      </c>
    </row>
    <row r="68" spans="1:13" x14ac:dyDescent="0.35">
      <c r="A68" s="17" t="s">
        <v>1024</v>
      </c>
      <c r="B68" s="17"/>
      <c r="C68" s="18">
        <f t="shared" si="20"/>
        <v>1075</v>
      </c>
      <c r="D68">
        <f>'GOL07'!H17</f>
        <v>3184.0529999999999</v>
      </c>
      <c r="E68" s="19">
        <f t="shared" si="26"/>
        <v>1073.8133142982424</v>
      </c>
      <c r="F68" s="20">
        <f t="shared" si="18"/>
        <v>8.3620000000003163</v>
      </c>
      <c r="G68" s="21">
        <f t="shared" si="21"/>
        <v>1073.8133142982424</v>
      </c>
      <c r="H68" s="22">
        <f t="shared" si="22"/>
        <v>8.3620000000003163</v>
      </c>
      <c r="I68" s="17">
        <f t="shared" si="19"/>
        <v>75</v>
      </c>
      <c r="J68" s="17">
        <f t="shared" si="23"/>
        <v>3184.0529999999999</v>
      </c>
      <c r="K68" s="37">
        <f t="shared" si="24"/>
        <v>73.813314298242403</v>
      </c>
      <c r="L68">
        <f t="shared" si="25"/>
        <v>3184.0529999999999</v>
      </c>
    </row>
    <row r="69" spans="1:13" x14ac:dyDescent="0.35">
      <c r="A69" s="17" t="s">
        <v>1023</v>
      </c>
      <c r="B69" s="17"/>
      <c r="C69" s="18">
        <f t="shared" si="20"/>
        <v>1080</v>
      </c>
      <c r="D69">
        <f>'GOL07'!H18</f>
        <v>3182.694</v>
      </c>
      <c r="E69" s="19">
        <f t="shared" si="26"/>
        <v>1078.6250830998372</v>
      </c>
      <c r="F69" s="20">
        <f t="shared" si="18"/>
        <v>9.7210000000002399</v>
      </c>
      <c r="G69" s="21">
        <f t="shared" si="21"/>
        <v>1078.6250830998372</v>
      </c>
      <c r="H69" s="22">
        <f t="shared" si="22"/>
        <v>9.7210000000002399</v>
      </c>
      <c r="I69" s="17">
        <f t="shared" si="19"/>
        <v>80</v>
      </c>
      <c r="J69" s="17">
        <f t="shared" si="23"/>
        <v>3182.694</v>
      </c>
      <c r="K69" s="37">
        <f t="shared" si="24"/>
        <v>78.625083099837184</v>
      </c>
      <c r="L69">
        <f t="shared" si="25"/>
        <v>3182.694</v>
      </c>
    </row>
    <row r="70" spans="1:13" x14ac:dyDescent="0.35">
      <c r="A70" s="17" t="s">
        <v>1022</v>
      </c>
      <c r="B70" s="17"/>
      <c r="C70" s="18">
        <f t="shared" si="20"/>
        <v>1085</v>
      </c>
      <c r="D70">
        <f>'GOL07'!H19</f>
        <v>3182.0810000000001</v>
      </c>
      <c r="E70" s="19">
        <f t="shared" si="26"/>
        <v>1083.5873639262315</v>
      </c>
      <c r="F70" s="20">
        <f t="shared" si="18"/>
        <v>10.334000000000069</v>
      </c>
      <c r="G70" s="21">
        <f t="shared" si="21"/>
        <v>1083.5873639262315</v>
      </c>
      <c r="H70" s="22">
        <f t="shared" si="22"/>
        <v>10.334000000000069</v>
      </c>
      <c r="I70" s="17">
        <f t="shared" si="19"/>
        <v>85</v>
      </c>
      <c r="J70" s="17">
        <f t="shared" si="23"/>
        <v>3182.0810000000001</v>
      </c>
      <c r="K70" s="37">
        <f t="shared" si="24"/>
        <v>83.587363926231546</v>
      </c>
      <c r="L70">
        <f t="shared" si="25"/>
        <v>3182.0810000000001</v>
      </c>
    </row>
    <row r="71" spans="1:13" x14ac:dyDescent="0.35">
      <c r="A71" s="17" t="s">
        <v>1021</v>
      </c>
      <c r="B71" s="17"/>
      <c r="C71" s="18">
        <f t="shared" si="20"/>
        <v>1090</v>
      </c>
      <c r="D71">
        <f>'GOL07'!H20</f>
        <v>3181.788</v>
      </c>
      <c r="E71" s="19">
        <f t="shared" si="26"/>
        <v>1088.5787716434993</v>
      </c>
      <c r="F71" s="20">
        <f t="shared" si="18"/>
        <v>10.627000000000189</v>
      </c>
      <c r="G71" s="21">
        <f t="shared" si="21"/>
        <v>1088.5787716434993</v>
      </c>
      <c r="H71" s="22">
        <f t="shared" si="22"/>
        <v>10.627000000000189</v>
      </c>
      <c r="I71" s="17">
        <f t="shared" si="19"/>
        <v>90</v>
      </c>
      <c r="J71" s="17">
        <f t="shared" si="23"/>
        <v>3181.788</v>
      </c>
      <c r="K71" s="37">
        <f t="shared" si="24"/>
        <v>88.578771643499294</v>
      </c>
      <c r="L71">
        <f t="shared" si="25"/>
        <v>3181.788</v>
      </c>
    </row>
    <row r="72" spans="1:13" x14ac:dyDescent="0.35">
      <c r="A72" s="17" t="s">
        <v>1020</v>
      </c>
      <c r="B72" s="17"/>
      <c r="C72" s="18">
        <f t="shared" si="20"/>
        <v>1095</v>
      </c>
      <c r="D72">
        <f>'GOL07'!H21</f>
        <v>3181.7869999999998</v>
      </c>
      <c r="E72" s="19">
        <f t="shared" si="26"/>
        <v>1093.5787715434992</v>
      </c>
      <c r="F72" s="20">
        <f t="shared" si="18"/>
        <v>10.628000000000393</v>
      </c>
      <c r="G72" s="21">
        <f t="shared" si="21"/>
        <v>1093.5787715434992</v>
      </c>
      <c r="H72" s="22">
        <f t="shared" si="22"/>
        <v>10.628000000000393</v>
      </c>
      <c r="I72" s="17">
        <f t="shared" si="19"/>
        <v>95</v>
      </c>
      <c r="J72" s="17">
        <f t="shared" si="23"/>
        <v>3181.7869999999998</v>
      </c>
      <c r="K72" s="37">
        <f t="shared" si="24"/>
        <v>93.578771543499215</v>
      </c>
      <c r="L72">
        <f t="shared" si="25"/>
        <v>3181.7869999999998</v>
      </c>
    </row>
    <row r="73" spans="1:13" x14ac:dyDescent="0.35">
      <c r="A73" s="17" t="s">
        <v>1019</v>
      </c>
      <c r="B73" s="17"/>
      <c r="C73" s="18">
        <f t="shared" si="20"/>
        <v>1100</v>
      </c>
      <c r="D73">
        <f>'GOL07'!H22</f>
        <v>3177.9870000000001</v>
      </c>
      <c r="E73" s="19">
        <f t="shared" si="26"/>
        <v>1096.8283869053539</v>
      </c>
      <c r="F73" s="20">
        <f t="shared" si="18"/>
        <v>14.42800000000012</v>
      </c>
      <c r="G73" s="21">
        <f t="shared" si="21"/>
        <v>1096.8283869053539</v>
      </c>
      <c r="H73" s="22">
        <f t="shared" si="22"/>
        <v>14.42800000000012</v>
      </c>
      <c r="I73" s="17">
        <f t="shared" si="19"/>
        <v>100</v>
      </c>
      <c r="J73" s="17">
        <f t="shared" si="23"/>
        <v>3177.9870000000001</v>
      </c>
      <c r="K73" s="37">
        <f t="shared" si="24"/>
        <v>96.828386905353909</v>
      </c>
      <c r="L73">
        <f t="shared" si="25"/>
        <v>3177.9870000000001</v>
      </c>
    </row>
    <row r="74" spans="1:13" x14ac:dyDescent="0.35">
      <c r="A74" s="17" t="s">
        <v>1018</v>
      </c>
      <c r="B74" s="17"/>
      <c r="C74" s="18">
        <f t="shared" si="20"/>
        <v>1105</v>
      </c>
      <c r="D74">
        <f>'GOL07'!H23</f>
        <v>3178.241</v>
      </c>
      <c r="E74" s="19">
        <f t="shared" si="26"/>
        <v>1101.8219311376602</v>
      </c>
      <c r="F74" s="20">
        <f t="shared" si="18"/>
        <v>14.174000000000214</v>
      </c>
      <c r="G74" s="21">
        <f t="shared" si="21"/>
        <v>1101.8219311376602</v>
      </c>
      <c r="H74" s="22">
        <f t="shared" si="22"/>
        <v>14.174000000000214</v>
      </c>
      <c r="I74" s="17">
        <f t="shared" si="19"/>
        <v>105</v>
      </c>
      <c r="J74" s="17">
        <f t="shared" si="23"/>
        <v>3178.241</v>
      </c>
      <c r="K74" s="37">
        <f t="shared" si="24"/>
        <v>101.82193113766016</v>
      </c>
      <c r="L74">
        <f t="shared" si="25"/>
        <v>3178.241</v>
      </c>
    </row>
    <row r="75" spans="1:13" x14ac:dyDescent="0.35">
      <c r="A75" s="17" t="s">
        <v>1017</v>
      </c>
      <c r="B75" s="17"/>
      <c r="C75" s="18">
        <f t="shared" si="20"/>
        <v>1110</v>
      </c>
      <c r="D75">
        <f>'GOL07'!H24</f>
        <v>3177.5610000000001</v>
      </c>
      <c r="E75" s="19">
        <f t="shared" si="26"/>
        <v>1106.7754753233924</v>
      </c>
      <c r="F75" s="20">
        <f t="shared" si="18"/>
        <v>14.854000000000051</v>
      </c>
      <c r="G75" s="21">
        <f t="shared" si="21"/>
        <v>1106.7754753233924</v>
      </c>
      <c r="H75" s="22">
        <f t="shared" si="22"/>
        <v>14.854000000000051</v>
      </c>
      <c r="I75" s="17">
        <f t="shared" si="19"/>
        <v>110</v>
      </c>
      <c r="J75" s="17">
        <f t="shared" si="23"/>
        <v>3177.5610000000001</v>
      </c>
      <c r="K75" s="37">
        <f t="shared" si="24"/>
        <v>106.77547532339236</v>
      </c>
      <c r="L75">
        <f t="shared" si="25"/>
        <v>3177.5610000000001</v>
      </c>
    </row>
    <row r="76" spans="1:13" x14ac:dyDescent="0.35">
      <c r="A76" s="17" t="s">
        <v>1016</v>
      </c>
      <c r="B76" s="17"/>
      <c r="C76" s="18">
        <f t="shared" si="20"/>
        <v>1115</v>
      </c>
      <c r="D76">
        <f>'GOL07'!H25</f>
        <v>3177.2979999999998</v>
      </c>
      <c r="E76" s="19">
        <f t="shared" si="26"/>
        <v>1111.7685536324118</v>
      </c>
      <c r="F76" s="20">
        <f t="shared" si="18"/>
        <v>15.117000000000425</v>
      </c>
      <c r="G76" s="21">
        <f t="shared" si="21"/>
        <v>1111.7685536324118</v>
      </c>
      <c r="H76" s="22">
        <f t="shared" si="22"/>
        <v>15.117000000000425</v>
      </c>
      <c r="I76" s="17">
        <f t="shared" si="19"/>
        <v>115</v>
      </c>
      <c r="J76" s="17">
        <f t="shared" si="23"/>
        <v>3177.2979999999998</v>
      </c>
      <c r="K76" s="37">
        <f t="shared" si="24"/>
        <v>111.76855363241179</v>
      </c>
      <c r="L76">
        <f t="shared" si="25"/>
        <v>3177.2979999999998</v>
      </c>
      <c r="M76" t="s">
        <v>1165</v>
      </c>
    </row>
    <row r="77" spans="1:13" x14ac:dyDescent="0.35">
      <c r="A77" s="17" t="s">
        <v>1015</v>
      </c>
      <c r="B77" s="23"/>
      <c r="C77" s="18">
        <f t="shared" si="20"/>
        <v>1120</v>
      </c>
      <c r="D77">
        <f>'GOL07'!H26</f>
        <v>3176.3989999999999</v>
      </c>
      <c r="E77" s="25">
        <f t="shared" si="26"/>
        <v>1116.6870695671223</v>
      </c>
      <c r="F77" s="26">
        <f t="shared" si="18"/>
        <v>16.016000000000314</v>
      </c>
      <c r="G77" s="21">
        <f t="shared" si="21"/>
        <v>1116.6870695671223</v>
      </c>
      <c r="H77" s="22">
        <f t="shared" si="22"/>
        <v>16.016000000000314</v>
      </c>
      <c r="I77" s="13">
        <f>C77-1000</f>
        <v>120</v>
      </c>
      <c r="J77" s="17">
        <f t="shared" si="23"/>
        <v>3176.3989999999999</v>
      </c>
      <c r="K77" s="37">
        <f t="shared" si="24"/>
        <v>116.68706956712231</v>
      </c>
      <c r="L77">
        <f t="shared" si="25"/>
        <v>3176.3989999999999</v>
      </c>
      <c r="M77" t="s">
        <v>1084</v>
      </c>
    </row>
    <row r="78" spans="1:13" x14ac:dyDescent="0.35">
      <c r="A78" s="17" t="s">
        <v>1014</v>
      </c>
      <c r="C78" s="18">
        <f t="shared" si="20"/>
        <v>1125</v>
      </c>
      <c r="D78">
        <f>'GOL07'!H27</f>
        <v>3176.056</v>
      </c>
      <c r="E78" s="19">
        <f t="shared" si="26"/>
        <v>1121.6752907931707</v>
      </c>
      <c r="F78" s="20">
        <f t="shared" ref="F78:F141" si="27">ABS(D78-MAX(D:D))+0.01</f>
        <v>16.359000000000162</v>
      </c>
      <c r="G78" s="21">
        <f t="shared" si="21"/>
        <v>1121.6752907931707</v>
      </c>
      <c r="H78" s="22">
        <f t="shared" si="22"/>
        <v>16.359000000000162</v>
      </c>
      <c r="I78" s="17">
        <f t="shared" si="19"/>
        <v>125</v>
      </c>
      <c r="J78" s="17">
        <f t="shared" si="23"/>
        <v>3176.056</v>
      </c>
      <c r="K78" s="37">
        <f t="shared" si="24"/>
        <v>121.67529079317069</v>
      </c>
      <c r="L78">
        <f t="shared" si="25"/>
        <v>3176.056</v>
      </c>
      <c r="M78" t="s">
        <v>1085</v>
      </c>
    </row>
    <row r="79" spans="1:13" x14ac:dyDescent="0.35">
      <c r="A79" s="17" t="s">
        <v>1013</v>
      </c>
      <c r="C79" s="18">
        <f t="shared" si="20"/>
        <v>1130</v>
      </c>
      <c r="D79">
        <f>'GOL07'!H28</f>
        <v>3175.5819999999999</v>
      </c>
      <c r="E79" s="25">
        <f t="shared" si="26"/>
        <v>1126.6527724857538</v>
      </c>
      <c r="F79" s="26">
        <f t="shared" si="27"/>
        <v>16.833000000000322</v>
      </c>
      <c r="G79" s="21">
        <f t="shared" si="21"/>
        <v>1126.6527724857538</v>
      </c>
      <c r="H79" s="22">
        <f t="shared" si="22"/>
        <v>16.833000000000322</v>
      </c>
      <c r="I79" s="13">
        <f t="shared" si="19"/>
        <v>130</v>
      </c>
      <c r="J79" s="17">
        <f t="shared" si="23"/>
        <v>3175.5819999999999</v>
      </c>
      <c r="K79" s="37">
        <f t="shared" si="24"/>
        <v>126.65277248575376</v>
      </c>
      <c r="L79">
        <f t="shared" si="25"/>
        <v>3175.5819999999999</v>
      </c>
      <c r="M79" t="s">
        <v>1087</v>
      </c>
    </row>
    <row r="80" spans="1:13" x14ac:dyDescent="0.35">
      <c r="A80" s="17" t="s">
        <v>1012</v>
      </c>
      <c r="C80" s="18">
        <f t="shared" si="20"/>
        <v>1135</v>
      </c>
      <c r="D80">
        <f>'GOL07'!H29</f>
        <v>3175.1660000000002</v>
      </c>
      <c r="E80" s="19">
        <f t="shared" si="26"/>
        <v>1131.6354368332691</v>
      </c>
      <c r="F80" s="20">
        <f t="shared" si="27"/>
        <v>17.249000000000034</v>
      </c>
      <c r="G80" s="21">
        <f t="shared" si="21"/>
        <v>1131.6354368332691</v>
      </c>
      <c r="H80" s="22">
        <f t="shared" si="22"/>
        <v>17.249000000000034</v>
      </c>
      <c r="I80" s="17">
        <f t="shared" si="19"/>
        <v>135</v>
      </c>
      <c r="J80" s="17">
        <f t="shared" si="23"/>
        <v>3175.1660000000002</v>
      </c>
      <c r="K80" s="37">
        <f t="shared" si="24"/>
        <v>131.63543683326907</v>
      </c>
      <c r="L80">
        <f t="shared" si="25"/>
        <v>3175.1660000000002</v>
      </c>
      <c r="M80" t="s">
        <v>1047</v>
      </c>
    </row>
    <row r="81" spans="1:13" x14ac:dyDescent="0.35">
      <c r="A81" s="17" t="s">
        <v>1011</v>
      </c>
      <c r="C81" s="18">
        <f t="shared" si="20"/>
        <v>1140</v>
      </c>
      <c r="D81">
        <f>'GOL07'!H30</f>
        <v>3172.9690000000001</v>
      </c>
      <c r="E81" s="25">
        <f t="shared" si="26"/>
        <v>1136.1268943917905</v>
      </c>
      <c r="F81" s="26">
        <f t="shared" si="27"/>
        <v>19.446000000000151</v>
      </c>
      <c r="G81" s="21">
        <f t="shared" si="21"/>
        <v>1136.1268943917905</v>
      </c>
      <c r="H81" s="22">
        <f t="shared" si="22"/>
        <v>19.446000000000151</v>
      </c>
      <c r="I81" s="13">
        <f t="shared" si="19"/>
        <v>140</v>
      </c>
      <c r="J81" s="17">
        <f t="shared" si="23"/>
        <v>3172.9690000000001</v>
      </c>
      <c r="K81" s="37">
        <f t="shared" si="24"/>
        <v>136.12689439179053</v>
      </c>
      <c r="L81">
        <f t="shared" si="25"/>
        <v>3172.9690000000001</v>
      </c>
      <c r="M81" t="s">
        <v>1048</v>
      </c>
    </row>
    <row r="82" spans="1:13" x14ac:dyDescent="0.35">
      <c r="A82" s="17" t="s">
        <v>1010</v>
      </c>
      <c r="C82" s="18">
        <f t="shared" si="20"/>
        <v>1145</v>
      </c>
      <c r="D82">
        <f>'GOL07'!H31</f>
        <v>3173.1289999999999</v>
      </c>
      <c r="E82" s="19">
        <f t="shared" si="26"/>
        <v>1141.1243337360947</v>
      </c>
      <c r="F82" s="20">
        <f t="shared" si="27"/>
        <v>19.286000000000296</v>
      </c>
      <c r="G82" s="21">
        <f t="shared" si="21"/>
        <v>1141.1243337360947</v>
      </c>
      <c r="H82" s="22">
        <f t="shared" si="22"/>
        <v>19.286000000000296</v>
      </c>
      <c r="I82" s="17">
        <f t="shared" si="19"/>
        <v>145</v>
      </c>
      <c r="J82" s="17">
        <f t="shared" si="23"/>
        <v>3173.1289999999999</v>
      </c>
      <c r="K82" s="37">
        <f t="shared" si="24"/>
        <v>141.12433373609474</v>
      </c>
      <c r="L82">
        <f t="shared" si="25"/>
        <v>3173.1289999999999</v>
      </c>
      <c r="M82" t="s">
        <v>1049</v>
      </c>
    </row>
    <row r="83" spans="1:13" x14ac:dyDescent="0.35">
      <c r="A83" s="17" t="s">
        <v>1009</v>
      </c>
      <c r="C83" s="18">
        <f t="shared" si="20"/>
        <v>1150</v>
      </c>
      <c r="D83">
        <f>'GOL07'!H32</f>
        <v>3173.915</v>
      </c>
      <c r="E83" s="25">
        <f t="shared" si="26"/>
        <v>1146.0621676741691</v>
      </c>
      <c r="F83" s="26">
        <f t="shared" si="27"/>
        <v>18.500000000000238</v>
      </c>
      <c r="G83" s="21">
        <f t="shared" si="21"/>
        <v>1146.0621676741691</v>
      </c>
      <c r="H83" s="22">
        <f t="shared" si="22"/>
        <v>18.500000000000238</v>
      </c>
      <c r="I83" s="13">
        <f t="shared" si="19"/>
        <v>150</v>
      </c>
      <c r="J83" s="17">
        <f t="shared" si="23"/>
        <v>3173.915</v>
      </c>
      <c r="K83" s="37">
        <f t="shared" si="24"/>
        <v>146.06216767416913</v>
      </c>
      <c r="L83">
        <f t="shared" si="25"/>
        <v>3173.915</v>
      </c>
      <c r="M83" t="s">
        <v>1050</v>
      </c>
    </row>
    <row r="84" spans="1:13" x14ac:dyDescent="0.35">
      <c r="A84" s="17" t="s">
        <v>1008</v>
      </c>
      <c r="C84" s="18">
        <f t="shared" si="20"/>
        <v>1155</v>
      </c>
      <c r="D84">
        <f>'GOL07'!H33</f>
        <v>3173.35</v>
      </c>
      <c r="E84" s="19">
        <f t="shared" si="26"/>
        <v>1151.0301426137194</v>
      </c>
      <c r="F84" s="20">
        <f t="shared" si="27"/>
        <v>19.065000000000293</v>
      </c>
      <c r="G84" s="21">
        <f t="shared" si="21"/>
        <v>1151.0301426137194</v>
      </c>
      <c r="H84" s="22">
        <f t="shared" si="22"/>
        <v>19.065000000000293</v>
      </c>
      <c r="I84" s="17">
        <f t="shared" si="19"/>
        <v>155</v>
      </c>
      <c r="J84" s="17">
        <f t="shared" si="23"/>
        <v>3173.35</v>
      </c>
      <c r="K84" s="37">
        <f t="shared" si="24"/>
        <v>151.03014261371936</v>
      </c>
      <c r="L84">
        <f t="shared" si="25"/>
        <v>3173.35</v>
      </c>
      <c r="M84" t="s">
        <v>1051</v>
      </c>
    </row>
    <row r="85" spans="1:13" x14ac:dyDescent="0.35">
      <c r="A85" s="17" t="s">
        <v>1007</v>
      </c>
      <c r="C85" s="18">
        <f t="shared" si="20"/>
        <v>1160</v>
      </c>
      <c r="D85">
        <f>'GOL07'!H34</f>
        <v>3172.2719999999999</v>
      </c>
      <c r="E85" s="25">
        <f t="shared" si="26"/>
        <v>1155.9125514454336</v>
      </c>
      <c r="F85" s="26">
        <f t="shared" si="27"/>
        <v>20.143000000000267</v>
      </c>
      <c r="G85" s="21">
        <f t="shared" si="21"/>
        <v>1155.9125514454336</v>
      </c>
      <c r="H85" s="22">
        <f t="shared" si="22"/>
        <v>20.143000000000267</v>
      </c>
      <c r="I85" s="13">
        <f t="shared" si="19"/>
        <v>160</v>
      </c>
      <c r="J85" s="17">
        <f t="shared" si="23"/>
        <v>3172.2719999999999</v>
      </c>
      <c r="K85" s="37">
        <f t="shared" si="24"/>
        <v>155.91255144543356</v>
      </c>
      <c r="L85">
        <f t="shared" si="25"/>
        <v>3172.2719999999999</v>
      </c>
      <c r="M85" t="s">
        <v>1052</v>
      </c>
    </row>
    <row r="86" spans="1:13" x14ac:dyDescent="0.35">
      <c r="A86" s="17" t="s">
        <v>1006</v>
      </c>
      <c r="C86" s="18">
        <f t="shared" si="20"/>
        <v>1165</v>
      </c>
      <c r="D86">
        <f>'GOL07'!H35</f>
        <v>3174.35</v>
      </c>
      <c r="E86" s="19">
        <f t="shared" si="26"/>
        <v>1160.4602889048742</v>
      </c>
      <c r="F86" s="20">
        <f t="shared" si="27"/>
        <v>18.065000000000293</v>
      </c>
      <c r="G86" s="21">
        <f t="shared" si="21"/>
        <v>1160.4602889048742</v>
      </c>
      <c r="H86" s="22">
        <f t="shared" si="22"/>
        <v>18.065000000000293</v>
      </c>
      <c r="I86" s="17">
        <f t="shared" si="19"/>
        <v>165</v>
      </c>
      <c r="J86" s="17">
        <f t="shared" si="23"/>
        <v>3174.35</v>
      </c>
      <c r="K86" s="37">
        <f t="shared" si="24"/>
        <v>160.46028890487423</v>
      </c>
      <c r="L86">
        <f t="shared" si="25"/>
        <v>3174.35</v>
      </c>
      <c r="M86" t="s">
        <v>1053</v>
      </c>
    </row>
    <row r="87" spans="1:13" x14ac:dyDescent="0.35">
      <c r="A87" s="17" t="s">
        <v>1005</v>
      </c>
      <c r="C87" s="18">
        <f t="shared" si="20"/>
        <v>1170</v>
      </c>
      <c r="D87">
        <f>'GOL07'!H36</f>
        <v>3173.2689999999998</v>
      </c>
      <c r="E87" s="25">
        <f t="shared" si="26"/>
        <v>1165.3420343918901</v>
      </c>
      <c r="F87" s="26">
        <f t="shared" si="27"/>
        <v>19.146000000000424</v>
      </c>
      <c r="G87" s="21">
        <f t="shared" si="21"/>
        <v>1165.3420343918901</v>
      </c>
      <c r="H87" s="22">
        <f t="shared" si="22"/>
        <v>19.146000000000424</v>
      </c>
      <c r="I87" s="13">
        <f t="shared" si="19"/>
        <v>170</v>
      </c>
      <c r="J87" s="17">
        <f t="shared" si="23"/>
        <v>3173.2689999999998</v>
      </c>
      <c r="K87" s="37">
        <f t="shared" si="24"/>
        <v>165.34203439189014</v>
      </c>
      <c r="L87">
        <f t="shared" si="25"/>
        <v>3173.2689999999998</v>
      </c>
      <c r="M87" t="s">
        <v>1054</v>
      </c>
    </row>
    <row r="88" spans="1:13" x14ac:dyDescent="0.35">
      <c r="A88" s="17" t="s">
        <v>1004</v>
      </c>
      <c r="C88" s="18">
        <f t="shared" si="20"/>
        <v>1175</v>
      </c>
      <c r="D88">
        <f>'GOL07'!H37</f>
        <v>3173.9670000000001</v>
      </c>
      <c r="E88" s="19">
        <f t="shared" si="26"/>
        <v>1170.2930742826604</v>
      </c>
      <c r="F88" s="20">
        <f t="shared" si="27"/>
        <v>18.448000000000103</v>
      </c>
      <c r="G88" s="21">
        <f t="shared" si="21"/>
        <v>1170.2930742826604</v>
      </c>
      <c r="H88" s="22">
        <f t="shared" si="22"/>
        <v>18.448000000000103</v>
      </c>
      <c r="I88" s="17">
        <f t="shared" si="19"/>
        <v>175</v>
      </c>
      <c r="J88" s="17">
        <f t="shared" si="23"/>
        <v>3173.9670000000001</v>
      </c>
      <c r="K88" s="37">
        <f t="shared" si="24"/>
        <v>170.29307428266043</v>
      </c>
      <c r="L88">
        <f t="shared" si="25"/>
        <v>3173.9670000000001</v>
      </c>
      <c r="M88" t="s">
        <v>1055</v>
      </c>
    </row>
    <row r="89" spans="1:13" x14ac:dyDescent="0.35">
      <c r="A89" s="17" t="s">
        <v>1003</v>
      </c>
      <c r="C89" s="18">
        <f t="shared" si="20"/>
        <v>1180</v>
      </c>
      <c r="D89">
        <f>'GOL07'!H38</f>
        <v>3171.951</v>
      </c>
      <c r="E89" s="25">
        <f t="shared" si="26"/>
        <v>1174.8686337020101</v>
      </c>
      <c r="F89" s="26">
        <f t="shared" si="27"/>
        <v>20.46400000000018</v>
      </c>
      <c r="G89" s="21">
        <f t="shared" si="21"/>
        <v>1174.8686337020101</v>
      </c>
      <c r="H89" s="22">
        <f t="shared" si="22"/>
        <v>20.46400000000018</v>
      </c>
      <c r="I89" s="13">
        <f t="shared" si="19"/>
        <v>180</v>
      </c>
      <c r="J89" s="17">
        <f t="shared" si="23"/>
        <v>3171.951</v>
      </c>
      <c r="K89" s="37">
        <f t="shared" si="24"/>
        <v>174.86863370201013</v>
      </c>
      <c r="L89">
        <f t="shared" si="25"/>
        <v>3171.951</v>
      </c>
      <c r="M89" t="s">
        <v>1056</v>
      </c>
    </row>
    <row r="90" spans="1:13" x14ac:dyDescent="0.35">
      <c r="A90" s="17" t="s">
        <v>1002</v>
      </c>
      <c r="C90" s="18">
        <f t="shared" si="20"/>
        <v>1185</v>
      </c>
      <c r="D90">
        <f>'GOL07'!H39</f>
        <v>3172.36</v>
      </c>
      <c r="E90" s="19">
        <f t="shared" si="26"/>
        <v>1179.8518775250636</v>
      </c>
      <c r="F90" s="20">
        <f t="shared" si="27"/>
        <v>20.055000000000074</v>
      </c>
      <c r="G90" s="21">
        <f t="shared" si="21"/>
        <v>1179.8518775250636</v>
      </c>
      <c r="H90" s="22">
        <f t="shared" si="22"/>
        <v>20.055000000000074</v>
      </c>
      <c r="I90" s="17">
        <f t="shared" si="19"/>
        <v>185</v>
      </c>
      <c r="J90" s="17">
        <f t="shared" si="23"/>
        <v>3172.36</v>
      </c>
      <c r="K90" s="37">
        <f t="shared" si="24"/>
        <v>179.85187752506363</v>
      </c>
      <c r="L90">
        <f t="shared" si="25"/>
        <v>3172.36</v>
      </c>
      <c r="M90" t="s">
        <v>1057</v>
      </c>
    </row>
    <row r="91" spans="1:13" x14ac:dyDescent="0.35">
      <c r="A91" s="17" t="s">
        <v>1001</v>
      </c>
      <c r="C91" s="18">
        <f t="shared" si="20"/>
        <v>1190</v>
      </c>
      <c r="D91">
        <f>'GOL07'!H40</f>
        <v>3172.259</v>
      </c>
      <c r="E91" s="25">
        <f t="shared" si="26"/>
        <v>1184.850857320982</v>
      </c>
      <c r="F91" s="26">
        <f t="shared" si="27"/>
        <v>20.156000000000187</v>
      </c>
      <c r="G91" s="21">
        <f t="shared" si="21"/>
        <v>1184.850857320982</v>
      </c>
      <c r="H91" s="22">
        <f t="shared" si="22"/>
        <v>20.156000000000187</v>
      </c>
      <c r="I91" s="13">
        <f t="shared" si="19"/>
        <v>190</v>
      </c>
      <c r="J91" s="17">
        <f t="shared" si="23"/>
        <v>3172.259</v>
      </c>
      <c r="K91" s="37">
        <f t="shared" si="24"/>
        <v>184.85085732098196</v>
      </c>
      <c r="L91">
        <f t="shared" si="25"/>
        <v>3172.259</v>
      </c>
      <c r="M91" t="s">
        <v>1058</v>
      </c>
    </row>
    <row r="92" spans="1:13" x14ac:dyDescent="0.35">
      <c r="A92" s="17" t="s">
        <v>1000</v>
      </c>
      <c r="C92" s="18">
        <f t="shared" si="20"/>
        <v>1195</v>
      </c>
      <c r="D92">
        <f>'GOL07'!H41</f>
        <v>3171.31</v>
      </c>
      <c r="E92" s="19">
        <f t="shared" si="26"/>
        <v>1189.7599711921403</v>
      </c>
      <c r="F92" s="20">
        <f t="shared" si="27"/>
        <v>21.105000000000256</v>
      </c>
      <c r="G92" s="21">
        <f t="shared" si="21"/>
        <v>1189.7599711921403</v>
      </c>
      <c r="H92" s="22">
        <f t="shared" si="22"/>
        <v>21.105000000000256</v>
      </c>
      <c r="I92" s="17">
        <f t="shared" si="19"/>
        <v>195</v>
      </c>
      <c r="J92" s="17">
        <f t="shared" si="23"/>
        <v>3171.31</v>
      </c>
      <c r="K92" s="37">
        <f t="shared" si="24"/>
        <v>189.75997119214026</v>
      </c>
      <c r="L92">
        <f t="shared" si="25"/>
        <v>3171.31</v>
      </c>
      <c r="M92" t="s">
        <v>1059</v>
      </c>
    </row>
    <row r="93" spans="1:13" x14ac:dyDescent="0.35">
      <c r="A93" s="17" t="s">
        <v>999</v>
      </c>
      <c r="C93" s="18">
        <f t="shared" si="20"/>
        <v>1200</v>
      </c>
      <c r="D93">
        <f>'GOL07'!H42</f>
        <v>3173.1619999999998</v>
      </c>
      <c r="E93" s="25">
        <f t="shared" si="26"/>
        <v>1194.4043329351573</v>
      </c>
      <c r="F93" s="26">
        <f t="shared" si="27"/>
        <v>19.253000000000394</v>
      </c>
      <c r="G93" s="21">
        <f t="shared" si="21"/>
        <v>1194.4043329351573</v>
      </c>
      <c r="H93" s="22">
        <f t="shared" si="22"/>
        <v>19.253000000000394</v>
      </c>
      <c r="I93" s="13">
        <f t="shared" si="19"/>
        <v>200</v>
      </c>
      <c r="J93" s="17">
        <f t="shared" si="23"/>
        <v>3173.1619999999998</v>
      </c>
      <c r="K93" s="37">
        <f t="shared" si="24"/>
        <v>194.4043329351573</v>
      </c>
      <c r="L93">
        <f t="shared" si="25"/>
        <v>3173.1619999999998</v>
      </c>
      <c r="M93" t="s">
        <v>1060</v>
      </c>
    </row>
    <row r="94" spans="1:13" x14ac:dyDescent="0.35">
      <c r="A94" s="17" t="s">
        <v>998</v>
      </c>
      <c r="C94" s="18">
        <f t="shared" si="20"/>
        <v>1205</v>
      </c>
      <c r="D94">
        <f>'GOL07'!H43</f>
        <v>3174.806</v>
      </c>
      <c r="E94" s="19">
        <f t="shared" si="26"/>
        <v>1199.12633081741</v>
      </c>
      <c r="F94" s="20">
        <f t="shared" si="27"/>
        <v>17.609000000000162</v>
      </c>
      <c r="G94" s="21">
        <f t="shared" si="21"/>
        <v>1199.12633081741</v>
      </c>
      <c r="H94" s="22">
        <f t="shared" si="22"/>
        <v>17.609000000000162</v>
      </c>
      <c r="I94" s="17">
        <f t="shared" si="19"/>
        <v>205</v>
      </c>
      <c r="J94" s="17">
        <f t="shared" si="23"/>
        <v>3174.806</v>
      </c>
      <c r="K94" s="37">
        <f t="shared" si="24"/>
        <v>199.12633081741001</v>
      </c>
      <c r="L94">
        <f t="shared" si="25"/>
        <v>3174.806</v>
      </c>
      <c r="M94" t="s">
        <v>1061</v>
      </c>
    </row>
    <row r="95" spans="1:13" x14ac:dyDescent="0.35">
      <c r="A95" s="17" t="s">
        <v>997</v>
      </c>
      <c r="C95" s="18">
        <f t="shared" si="20"/>
        <v>1210</v>
      </c>
      <c r="D95">
        <f>'GOL07'!H44</f>
        <v>3174.33</v>
      </c>
      <c r="E95" s="25">
        <f t="shared" si="26"/>
        <v>1204.1036216467669</v>
      </c>
      <c r="F95" s="26">
        <f t="shared" si="27"/>
        <v>18.085000000000274</v>
      </c>
      <c r="G95" s="21">
        <f t="shared" si="21"/>
        <v>1204.1036216467669</v>
      </c>
      <c r="H95" s="22">
        <f t="shared" si="22"/>
        <v>18.085000000000274</v>
      </c>
      <c r="I95" s="13">
        <f t="shared" si="19"/>
        <v>210</v>
      </c>
      <c r="J95" s="17">
        <f t="shared" si="23"/>
        <v>3174.33</v>
      </c>
      <c r="K95" s="37">
        <f t="shared" si="24"/>
        <v>204.1036216467669</v>
      </c>
      <c r="L95">
        <f t="shared" si="25"/>
        <v>3174.33</v>
      </c>
      <c r="M95" t="s">
        <v>1062</v>
      </c>
    </row>
    <row r="96" spans="1:13" x14ac:dyDescent="0.35">
      <c r="A96" s="17" t="s">
        <v>996</v>
      </c>
      <c r="C96" s="18">
        <f t="shared" si="20"/>
        <v>1215</v>
      </c>
      <c r="D96">
        <f>'GOL07'!H45</f>
        <v>3173.0450000000001</v>
      </c>
      <c r="E96" s="19">
        <f t="shared" si="26"/>
        <v>1208.935678662159</v>
      </c>
      <c r="F96" s="20">
        <f t="shared" si="27"/>
        <v>19.370000000000129</v>
      </c>
      <c r="G96" s="21">
        <f t="shared" si="21"/>
        <v>1208.935678662159</v>
      </c>
      <c r="H96" s="22">
        <f t="shared" si="22"/>
        <v>19.370000000000129</v>
      </c>
      <c r="I96" s="17">
        <f t="shared" si="19"/>
        <v>215</v>
      </c>
      <c r="J96" s="17">
        <f t="shared" si="23"/>
        <v>3173.0450000000001</v>
      </c>
      <c r="K96" s="37">
        <f t="shared" si="24"/>
        <v>208.93567866215903</v>
      </c>
      <c r="L96">
        <f t="shared" si="25"/>
        <v>3173.0450000000001</v>
      </c>
      <c r="M96" t="s">
        <v>1063</v>
      </c>
    </row>
    <row r="97" spans="1:13" x14ac:dyDescent="0.35">
      <c r="A97" s="17" t="s">
        <v>995</v>
      </c>
      <c r="C97" s="18">
        <f t="shared" si="20"/>
        <v>1220</v>
      </c>
      <c r="D97">
        <f>'GOL07'!H46</f>
        <v>3173.5419999999999</v>
      </c>
      <c r="E97" s="25">
        <f t="shared" si="26"/>
        <v>1213.9109164454212</v>
      </c>
      <c r="F97" s="26">
        <f t="shared" si="27"/>
        <v>18.873000000000285</v>
      </c>
      <c r="G97" s="21">
        <f t="shared" si="21"/>
        <v>1213.9109164454212</v>
      </c>
      <c r="H97" s="22">
        <f t="shared" si="22"/>
        <v>18.873000000000285</v>
      </c>
      <c r="I97" s="13">
        <f t="shared" si="19"/>
        <v>220</v>
      </c>
      <c r="J97" s="17">
        <f t="shared" si="23"/>
        <v>3173.5419999999999</v>
      </c>
      <c r="K97" s="37">
        <f t="shared" si="24"/>
        <v>213.91091644542121</v>
      </c>
      <c r="L97">
        <f t="shared" si="25"/>
        <v>3173.5419999999999</v>
      </c>
      <c r="M97" t="s">
        <v>1064</v>
      </c>
    </row>
    <row r="98" spans="1:13" x14ac:dyDescent="0.35">
      <c r="A98" s="17" t="s">
        <v>994</v>
      </c>
      <c r="C98" s="18">
        <f t="shared" si="20"/>
        <v>1225</v>
      </c>
      <c r="D98">
        <f>'GOL07'!H47</f>
        <v>3173.8670000000002</v>
      </c>
      <c r="E98" s="19">
        <f t="shared" si="26"/>
        <v>1218.9003427651498</v>
      </c>
      <c r="F98" s="20">
        <f t="shared" si="27"/>
        <v>18.548000000000012</v>
      </c>
      <c r="G98" s="21">
        <f t="shared" si="21"/>
        <v>1218.9003427651498</v>
      </c>
      <c r="H98" s="22">
        <f t="shared" si="22"/>
        <v>18.548000000000012</v>
      </c>
      <c r="I98" s="17">
        <f t="shared" si="19"/>
        <v>225</v>
      </c>
      <c r="J98" s="17">
        <f t="shared" si="23"/>
        <v>3173.8670000000002</v>
      </c>
      <c r="K98" s="37">
        <f t="shared" si="24"/>
        <v>218.90034276514984</v>
      </c>
      <c r="L98">
        <f t="shared" si="25"/>
        <v>3173.8670000000002</v>
      </c>
      <c r="M98" t="s">
        <v>1065</v>
      </c>
    </row>
    <row r="99" spans="1:13" x14ac:dyDescent="0.35">
      <c r="A99" s="17" t="s">
        <v>993</v>
      </c>
      <c r="C99" s="18">
        <f t="shared" si="20"/>
        <v>1230</v>
      </c>
      <c r="D99">
        <f>'GOL07'!H48</f>
        <v>3173.6419999999998</v>
      </c>
      <c r="E99" s="25">
        <f t="shared" si="26"/>
        <v>1223.8952776996609</v>
      </c>
      <c r="F99" s="26">
        <f t="shared" si="27"/>
        <v>18.773000000000376</v>
      </c>
      <c r="G99" s="21">
        <f t="shared" si="21"/>
        <v>1223.8952776996609</v>
      </c>
      <c r="H99" s="22">
        <f t="shared" si="22"/>
        <v>18.773000000000376</v>
      </c>
      <c r="I99" s="13">
        <f t="shared" si="19"/>
        <v>230</v>
      </c>
      <c r="J99" s="17">
        <f t="shared" si="23"/>
        <v>3173.6419999999998</v>
      </c>
      <c r="K99" s="37">
        <f t="shared" si="24"/>
        <v>223.89527769966094</v>
      </c>
      <c r="L99">
        <f t="shared" si="25"/>
        <v>3173.6419999999998</v>
      </c>
      <c r="M99" t="s">
        <v>1066</v>
      </c>
    </row>
    <row r="100" spans="1:13" x14ac:dyDescent="0.35">
      <c r="A100" s="17" t="s">
        <v>992</v>
      </c>
      <c r="C100" s="18">
        <f t="shared" si="20"/>
        <v>1235</v>
      </c>
      <c r="D100">
        <f>'GOL07'!H49</f>
        <v>3174.9650000000001</v>
      </c>
      <c r="E100" s="19">
        <f t="shared" si="26"/>
        <v>1228.7170689643258</v>
      </c>
      <c r="F100" s="20">
        <f t="shared" si="27"/>
        <v>17.450000000000056</v>
      </c>
      <c r="G100" s="21">
        <f t="shared" si="21"/>
        <v>1228.7170689643258</v>
      </c>
      <c r="H100" s="22">
        <f t="shared" si="22"/>
        <v>17.450000000000056</v>
      </c>
      <c r="I100" s="17">
        <f t="shared" si="19"/>
        <v>235</v>
      </c>
      <c r="J100" s="17">
        <f t="shared" si="23"/>
        <v>3174.9650000000001</v>
      </c>
      <c r="K100" s="37">
        <f t="shared" si="24"/>
        <v>228.71706896432579</v>
      </c>
      <c r="L100">
        <f t="shared" si="25"/>
        <v>3174.9650000000001</v>
      </c>
      <c r="M100" t="s">
        <v>1067</v>
      </c>
    </row>
    <row r="101" spans="1:13" x14ac:dyDescent="0.35">
      <c r="A101" s="17" t="s">
        <v>1093</v>
      </c>
      <c r="C101" s="18">
        <f t="shared" si="20"/>
        <v>1240</v>
      </c>
      <c r="D101">
        <f>'GOL07'!H50</f>
        <v>3175.0889999999999</v>
      </c>
      <c r="E101" s="25">
        <f t="shared" si="26"/>
        <v>1233.7155311278316</v>
      </c>
      <c r="F101" s="26">
        <f t="shared" si="27"/>
        <v>17.32600000000026</v>
      </c>
      <c r="G101" s="21">
        <f t="shared" si="21"/>
        <v>1233.7155311278316</v>
      </c>
      <c r="H101" s="22">
        <f t="shared" si="22"/>
        <v>17.32600000000026</v>
      </c>
      <c r="I101" s="13">
        <f t="shared" si="19"/>
        <v>240</v>
      </c>
      <c r="J101" s="17">
        <f t="shared" si="23"/>
        <v>3175.0889999999999</v>
      </c>
      <c r="K101" s="37">
        <f t="shared" si="24"/>
        <v>233.71553112783158</v>
      </c>
      <c r="L101">
        <f t="shared" si="25"/>
        <v>3175.0889999999999</v>
      </c>
      <c r="M101" t="s">
        <v>1165</v>
      </c>
    </row>
    <row r="102" spans="1:13" x14ac:dyDescent="0.35">
      <c r="A102" s="17" t="s">
        <v>1094</v>
      </c>
      <c r="C102" s="18">
        <f t="shared" si="20"/>
        <v>1245</v>
      </c>
      <c r="D102">
        <f>'GOL07'!H51</f>
        <v>3175.1689999999999</v>
      </c>
      <c r="E102" s="19">
        <f t="shared" si="26"/>
        <v>1238.7148910868664</v>
      </c>
      <c r="F102" s="20">
        <f t="shared" si="27"/>
        <v>17.246000000000333</v>
      </c>
      <c r="G102" s="21">
        <f t="shared" si="21"/>
        <v>1238.7148910868664</v>
      </c>
      <c r="H102" s="22">
        <f t="shared" si="22"/>
        <v>17.246000000000333</v>
      </c>
      <c r="I102" s="17">
        <f t="shared" si="19"/>
        <v>245</v>
      </c>
      <c r="J102" s="17">
        <f t="shared" si="23"/>
        <v>3175.1689999999999</v>
      </c>
      <c r="K102" s="37">
        <f t="shared" si="24"/>
        <v>238.71489108686637</v>
      </c>
      <c r="L102">
        <f t="shared" si="25"/>
        <v>3175.1689999999999</v>
      </c>
    </row>
    <row r="103" spans="1:13" x14ac:dyDescent="0.35">
      <c r="A103" s="17" t="s">
        <v>1095</v>
      </c>
      <c r="C103" s="18">
        <f t="shared" si="20"/>
        <v>1250</v>
      </c>
      <c r="D103">
        <f>'GOL07'!H52</f>
        <v>3173.2370000000001</v>
      </c>
      <c r="E103" s="25">
        <f t="shared" si="26"/>
        <v>1243.3265476222125</v>
      </c>
      <c r="F103" s="26">
        <f t="shared" si="27"/>
        <v>19.178000000000122</v>
      </c>
      <c r="G103" s="21">
        <f t="shared" si="21"/>
        <v>1243.3265476222125</v>
      </c>
      <c r="H103" s="22">
        <f t="shared" si="22"/>
        <v>19.178000000000122</v>
      </c>
      <c r="I103" s="13">
        <f t="shared" si="19"/>
        <v>250</v>
      </c>
      <c r="J103" s="17">
        <f t="shared" si="23"/>
        <v>3173.2370000000001</v>
      </c>
      <c r="K103" s="37">
        <f t="shared" si="24"/>
        <v>243.3265476222125</v>
      </c>
      <c r="L103">
        <f t="shared" si="25"/>
        <v>3173.2370000000001</v>
      </c>
    </row>
    <row r="104" spans="1:13" x14ac:dyDescent="0.35">
      <c r="A104" s="17" t="s">
        <v>1096</v>
      </c>
      <c r="C104" s="18">
        <f t="shared" si="20"/>
        <v>1255</v>
      </c>
      <c r="D104">
        <f>'GOL07'!H53</f>
        <v>3172.2779999999998</v>
      </c>
      <c r="E104" s="19">
        <f t="shared" si="26"/>
        <v>1248.2337177843324</v>
      </c>
      <c r="F104" s="20">
        <f t="shared" si="27"/>
        <v>20.137000000000409</v>
      </c>
      <c r="G104" s="21">
        <f t="shared" si="21"/>
        <v>1248.2337177843324</v>
      </c>
      <c r="H104" s="22">
        <f t="shared" si="22"/>
        <v>20.137000000000409</v>
      </c>
      <c r="I104" s="17">
        <f t="shared" si="19"/>
        <v>255</v>
      </c>
      <c r="J104" s="17">
        <f t="shared" si="23"/>
        <v>3172.2779999999998</v>
      </c>
      <c r="K104" s="37">
        <f t="shared" si="24"/>
        <v>248.23371778433238</v>
      </c>
      <c r="L104">
        <f t="shared" si="25"/>
        <v>3172.2779999999998</v>
      </c>
    </row>
    <row r="105" spans="1:13" x14ac:dyDescent="0.35">
      <c r="A105" s="17" t="s">
        <v>1097</v>
      </c>
      <c r="C105" s="18">
        <f t="shared" si="20"/>
        <v>1260</v>
      </c>
      <c r="D105">
        <f>'GOL07'!H54</f>
        <v>3171.4639999999999</v>
      </c>
      <c r="E105" s="25">
        <f t="shared" si="26"/>
        <v>1253.1670132346374</v>
      </c>
      <c r="F105" s="26">
        <f t="shared" si="27"/>
        <v>20.95100000000026</v>
      </c>
      <c r="G105" s="21">
        <f t="shared" si="21"/>
        <v>1253.1670132346374</v>
      </c>
      <c r="H105" s="22">
        <f t="shared" si="22"/>
        <v>20.95100000000026</v>
      </c>
      <c r="I105" s="13">
        <f t="shared" si="19"/>
        <v>260</v>
      </c>
      <c r="J105" s="17">
        <f t="shared" si="23"/>
        <v>3171.4639999999999</v>
      </c>
      <c r="K105" s="37">
        <f t="shared" si="24"/>
        <v>253.16701323463735</v>
      </c>
      <c r="L105">
        <f t="shared" si="25"/>
        <v>3171.4639999999999</v>
      </c>
    </row>
    <row r="106" spans="1:13" x14ac:dyDescent="0.35">
      <c r="A106" s="17" t="s">
        <v>1098</v>
      </c>
      <c r="C106" s="18">
        <f t="shared" si="20"/>
        <v>1265</v>
      </c>
      <c r="D106">
        <f>'GOL07'!H55</f>
        <v>3170.7330000000002</v>
      </c>
      <c r="E106" s="19">
        <f t="shared" si="26"/>
        <v>1258.1132884999254</v>
      </c>
      <c r="F106" s="20">
        <f t="shared" si="27"/>
        <v>21.682000000000027</v>
      </c>
      <c r="G106" s="21">
        <f t="shared" si="21"/>
        <v>1258.1132884999254</v>
      </c>
      <c r="H106" s="22">
        <f t="shared" si="22"/>
        <v>21.682000000000027</v>
      </c>
      <c r="I106" s="17">
        <f t="shared" si="19"/>
        <v>265</v>
      </c>
      <c r="J106" s="17">
        <f t="shared" si="23"/>
        <v>3170.7330000000002</v>
      </c>
      <c r="K106" s="37">
        <f t="shared" si="24"/>
        <v>258.11328849992537</v>
      </c>
      <c r="L106">
        <f t="shared" si="25"/>
        <v>3170.7330000000002</v>
      </c>
    </row>
    <row r="107" spans="1:13" x14ac:dyDescent="0.35">
      <c r="A107" s="17" t="s">
        <v>1099</v>
      </c>
      <c r="C107" s="18">
        <f t="shared" si="20"/>
        <v>1270</v>
      </c>
      <c r="D107">
        <f>'GOL07'!H56</f>
        <v>3170.9920000000002</v>
      </c>
      <c r="E107" s="25">
        <f t="shared" si="26"/>
        <v>1263.1065758940176</v>
      </c>
      <c r="F107" s="26">
        <f t="shared" si="27"/>
        <v>21.423000000000012</v>
      </c>
      <c r="G107" s="21">
        <f t="shared" si="21"/>
        <v>1263.1065758940176</v>
      </c>
      <c r="H107" s="22">
        <f t="shared" si="22"/>
        <v>21.423000000000012</v>
      </c>
      <c r="I107" s="13">
        <f t="shared" si="19"/>
        <v>270</v>
      </c>
      <c r="J107" s="17">
        <f t="shared" si="23"/>
        <v>3170.9920000000002</v>
      </c>
      <c r="K107" s="37">
        <f t="shared" si="24"/>
        <v>263.10657589401762</v>
      </c>
      <c r="L107">
        <f t="shared" si="25"/>
        <v>3170.9920000000002</v>
      </c>
    </row>
    <row r="108" spans="1:13" x14ac:dyDescent="0.35">
      <c r="A108" s="17" t="s">
        <v>1100</v>
      </c>
      <c r="C108" s="18">
        <f t="shared" si="20"/>
        <v>1275</v>
      </c>
      <c r="D108">
        <f>'GOL07'!H57</f>
        <v>3169.2930000000001</v>
      </c>
      <c r="E108" s="19">
        <f t="shared" si="26"/>
        <v>1267.8090644904951</v>
      </c>
      <c r="F108" s="20">
        <f t="shared" si="27"/>
        <v>23.122000000000082</v>
      </c>
      <c r="G108" s="21">
        <f t="shared" si="21"/>
        <v>1267.8090644904951</v>
      </c>
      <c r="H108" s="22">
        <f t="shared" si="22"/>
        <v>23.122000000000082</v>
      </c>
      <c r="I108" s="17">
        <f t="shared" si="19"/>
        <v>275</v>
      </c>
      <c r="J108" s="17">
        <f t="shared" si="23"/>
        <v>3169.2930000000001</v>
      </c>
      <c r="K108" s="37">
        <f t="shared" si="24"/>
        <v>267.80906449049508</v>
      </c>
      <c r="L108">
        <f t="shared" si="25"/>
        <v>3169.2930000000001</v>
      </c>
    </row>
    <row r="109" spans="1:13" x14ac:dyDescent="0.35">
      <c r="A109" s="17" t="s">
        <v>1101</v>
      </c>
      <c r="C109" s="18">
        <f t="shared" si="20"/>
        <v>1280</v>
      </c>
      <c r="D109">
        <f>'GOL07'!H58</f>
        <v>3166.297</v>
      </c>
      <c r="E109" s="25">
        <f t="shared" si="26"/>
        <v>1271.8120613678357</v>
      </c>
      <c r="F109" s="26">
        <f t="shared" si="27"/>
        <v>26.118000000000176</v>
      </c>
      <c r="G109" s="21">
        <f t="shared" si="21"/>
        <v>1271.8120613678357</v>
      </c>
      <c r="H109" s="22">
        <f t="shared" si="22"/>
        <v>26.118000000000176</v>
      </c>
      <c r="I109" s="13">
        <f t="shared" si="19"/>
        <v>280</v>
      </c>
      <c r="J109" s="17">
        <f t="shared" si="23"/>
        <v>3166.297</v>
      </c>
      <c r="K109" s="37">
        <f t="shared" si="24"/>
        <v>271.81206136783567</v>
      </c>
      <c r="L109">
        <f t="shared" si="25"/>
        <v>3166.297</v>
      </c>
    </row>
    <row r="110" spans="1:13" x14ac:dyDescent="0.35">
      <c r="A110" s="17" t="s">
        <v>1102</v>
      </c>
      <c r="C110" s="18">
        <f t="shared" si="20"/>
        <v>1285</v>
      </c>
      <c r="D110">
        <f>'GOL07'!H59</f>
        <v>3165.18</v>
      </c>
      <c r="E110" s="19">
        <f t="shared" si="26"/>
        <v>1276.6856956380698</v>
      </c>
      <c r="F110" s="20">
        <f t="shared" si="27"/>
        <v>27.235000000000365</v>
      </c>
      <c r="G110" s="21">
        <f t="shared" si="21"/>
        <v>1276.6856956380698</v>
      </c>
      <c r="H110" s="22">
        <f t="shared" si="22"/>
        <v>27.235000000000365</v>
      </c>
      <c r="I110" s="17">
        <f t="shared" si="19"/>
        <v>285</v>
      </c>
      <c r="J110" s="17">
        <f t="shared" si="23"/>
        <v>3165.18</v>
      </c>
      <c r="K110" s="37">
        <f t="shared" si="24"/>
        <v>276.68569563806977</v>
      </c>
      <c r="L110">
        <f t="shared" si="25"/>
        <v>3165.18</v>
      </c>
    </row>
    <row r="111" spans="1:13" x14ac:dyDescent="0.35">
      <c r="A111" s="17" t="s">
        <v>1103</v>
      </c>
      <c r="C111" s="18">
        <f t="shared" si="20"/>
        <v>1290</v>
      </c>
      <c r="D111">
        <f>'GOL07'!H60</f>
        <v>3163.3919999999998</v>
      </c>
      <c r="E111" s="25">
        <f t="shared" si="26"/>
        <v>1281.3550699002167</v>
      </c>
      <c r="F111" s="26">
        <f t="shared" si="27"/>
        <v>29.023000000000376</v>
      </c>
      <c r="G111" s="21">
        <f t="shared" si="21"/>
        <v>1281.3550699002167</v>
      </c>
      <c r="H111" s="22">
        <f t="shared" si="22"/>
        <v>29.023000000000376</v>
      </c>
      <c r="I111" s="13">
        <f t="shared" si="19"/>
        <v>290</v>
      </c>
      <c r="J111" s="17">
        <f t="shared" si="23"/>
        <v>3163.3919999999998</v>
      </c>
      <c r="K111" s="37">
        <f t="shared" si="24"/>
        <v>281.35506990021668</v>
      </c>
      <c r="L111">
        <f t="shared" si="25"/>
        <v>3163.3919999999998</v>
      </c>
    </row>
    <row r="112" spans="1:13" x14ac:dyDescent="0.35">
      <c r="A112" s="17" t="s">
        <v>1104</v>
      </c>
      <c r="C112" s="18">
        <f t="shared" si="20"/>
        <v>1295</v>
      </c>
      <c r="D112">
        <f>'GOL07'!H61</f>
        <v>3159.6779999999999</v>
      </c>
      <c r="E112" s="19">
        <f t="shared" si="26"/>
        <v>1284.702636777816</v>
      </c>
      <c r="F112" s="20">
        <f t="shared" si="27"/>
        <v>32.737000000000315</v>
      </c>
      <c r="G112" s="21">
        <f t="shared" si="21"/>
        <v>1284.702636777816</v>
      </c>
      <c r="H112" s="22">
        <f t="shared" si="22"/>
        <v>32.737000000000315</v>
      </c>
      <c r="I112" s="17">
        <f t="shared" si="19"/>
        <v>295</v>
      </c>
      <c r="J112" s="17">
        <f t="shared" si="23"/>
        <v>3159.6779999999999</v>
      </c>
      <c r="K112" s="37">
        <f t="shared" si="24"/>
        <v>284.702636777816</v>
      </c>
      <c r="L112">
        <f t="shared" si="25"/>
        <v>3159.6779999999999</v>
      </c>
    </row>
    <row r="113" spans="1:12" x14ac:dyDescent="0.35">
      <c r="A113" s="17" t="s">
        <v>1105</v>
      </c>
      <c r="C113" s="18">
        <f t="shared" si="20"/>
        <v>1300</v>
      </c>
      <c r="D113">
        <f>'GOL07'!H62</f>
        <v>3157.1689999999999</v>
      </c>
      <c r="E113" s="25">
        <f t="shared" si="26"/>
        <v>1289.0275551585487</v>
      </c>
      <c r="F113" s="26">
        <f t="shared" si="27"/>
        <v>35.246000000000329</v>
      </c>
      <c r="G113" s="21">
        <f t="shared" si="21"/>
        <v>1289.0275551585487</v>
      </c>
      <c r="H113" s="22">
        <f t="shared" si="22"/>
        <v>35.246000000000329</v>
      </c>
      <c r="I113" s="13">
        <f t="shared" si="19"/>
        <v>300</v>
      </c>
      <c r="J113" s="17">
        <f t="shared" si="23"/>
        <v>3157.1689999999999</v>
      </c>
      <c r="K113" s="37">
        <f t="shared" si="24"/>
        <v>289.02755515854869</v>
      </c>
      <c r="L113">
        <f t="shared" si="25"/>
        <v>3157.1689999999999</v>
      </c>
    </row>
    <row r="114" spans="1:12" x14ac:dyDescent="0.35">
      <c r="A114" s="17" t="s">
        <v>1106</v>
      </c>
      <c r="C114" s="18">
        <f t="shared" si="20"/>
        <v>1305</v>
      </c>
      <c r="D114">
        <f>'GOL07'!H63</f>
        <v>3155.087</v>
      </c>
      <c r="E114" s="19">
        <f t="shared" si="26"/>
        <v>1293.5734627686966</v>
      </c>
      <c r="F114" s="20">
        <f t="shared" si="27"/>
        <v>37.328000000000209</v>
      </c>
      <c r="G114" s="21">
        <f t="shared" si="21"/>
        <v>1293.5734627686966</v>
      </c>
      <c r="H114" s="22">
        <f t="shared" si="22"/>
        <v>37.328000000000209</v>
      </c>
      <c r="I114" s="17">
        <f t="shared" si="19"/>
        <v>305</v>
      </c>
      <c r="J114" s="17">
        <f t="shared" si="23"/>
        <v>3155.087</v>
      </c>
      <c r="K114" s="37">
        <f t="shared" si="24"/>
        <v>293.57346276869657</v>
      </c>
      <c r="L114">
        <f t="shared" si="25"/>
        <v>3155.087</v>
      </c>
    </row>
    <row r="115" spans="1:12" x14ac:dyDescent="0.35">
      <c r="A115" s="17" t="s">
        <v>1107</v>
      </c>
      <c r="C115" s="18">
        <f t="shared" si="20"/>
        <v>1310</v>
      </c>
      <c r="D115">
        <f>'GOL07'!H64</f>
        <v>3153.71</v>
      </c>
      <c r="E115" s="25">
        <f t="shared" si="26"/>
        <v>1298.3801113932582</v>
      </c>
      <c r="F115" s="26">
        <f t="shared" si="27"/>
        <v>38.705000000000162</v>
      </c>
      <c r="G115" s="21">
        <f t="shared" si="21"/>
        <v>1298.3801113932582</v>
      </c>
      <c r="H115" s="22">
        <f t="shared" si="22"/>
        <v>38.705000000000162</v>
      </c>
      <c r="I115" s="13">
        <f t="shared" si="19"/>
        <v>310</v>
      </c>
      <c r="J115" s="17">
        <f t="shared" si="23"/>
        <v>3153.71</v>
      </c>
      <c r="K115" s="37">
        <f t="shared" si="24"/>
        <v>298.38011139325818</v>
      </c>
      <c r="L115">
        <f t="shared" si="25"/>
        <v>3153.71</v>
      </c>
    </row>
    <row r="116" spans="1:12" x14ac:dyDescent="0.35">
      <c r="A116" s="17" t="s">
        <v>1108</v>
      </c>
      <c r="C116" s="18">
        <f t="shared" si="20"/>
        <v>1315</v>
      </c>
      <c r="D116">
        <f>'GOL07'!H65</f>
        <v>3153.424</v>
      </c>
      <c r="E116" s="19">
        <f t="shared" si="26"/>
        <v>1303.371925091705</v>
      </c>
      <c r="F116" s="20">
        <f t="shared" si="27"/>
        <v>38.99100000000022</v>
      </c>
      <c r="G116" s="21">
        <f t="shared" si="21"/>
        <v>1303.371925091705</v>
      </c>
      <c r="H116" s="22">
        <f t="shared" si="22"/>
        <v>38.99100000000022</v>
      </c>
      <c r="I116" s="17">
        <f t="shared" si="19"/>
        <v>315</v>
      </c>
      <c r="J116" s="17">
        <f t="shared" si="23"/>
        <v>3153.424</v>
      </c>
      <c r="K116" s="37">
        <f t="shared" si="24"/>
        <v>303.37192509170495</v>
      </c>
      <c r="L116">
        <f t="shared" si="25"/>
        <v>3153.424</v>
      </c>
    </row>
    <row r="117" spans="1:12" x14ac:dyDescent="0.35">
      <c r="A117" s="17" t="s">
        <v>1109</v>
      </c>
      <c r="C117" s="18">
        <f t="shared" si="20"/>
        <v>1320</v>
      </c>
      <c r="D117">
        <f>'GOL07'!H66</f>
        <v>3153.62</v>
      </c>
      <c r="E117" s="25">
        <f t="shared" si="26"/>
        <v>1308.3680820147808</v>
      </c>
      <c r="F117" s="26">
        <f t="shared" si="27"/>
        <v>38.795000000000307</v>
      </c>
      <c r="G117" s="21">
        <f t="shared" si="21"/>
        <v>1308.3680820147808</v>
      </c>
      <c r="H117" s="22">
        <f t="shared" si="22"/>
        <v>38.795000000000307</v>
      </c>
      <c r="I117" s="13">
        <f t="shared" ref="I117:I172" si="28">C117-1000</f>
        <v>320</v>
      </c>
      <c r="J117" s="17">
        <f t="shared" si="23"/>
        <v>3153.62</v>
      </c>
      <c r="K117" s="37">
        <f t="shared" si="24"/>
        <v>308.36808201478084</v>
      </c>
      <c r="L117">
        <f t="shared" si="25"/>
        <v>3153.62</v>
      </c>
    </row>
    <row r="118" spans="1:12" x14ac:dyDescent="0.35">
      <c r="A118" s="17" t="s">
        <v>1110</v>
      </c>
      <c r="C118" s="18">
        <f t="shared" ref="C118:C172" si="29">C117+$C$36</f>
        <v>1325</v>
      </c>
      <c r="D118">
        <f>'GOL07'!H67</f>
        <v>3152.5369999999998</v>
      </c>
      <c r="E118" s="19">
        <f t="shared" si="26"/>
        <v>1313.2493841976004</v>
      </c>
      <c r="F118" s="20">
        <f t="shared" si="27"/>
        <v>39.878000000000391</v>
      </c>
      <c r="G118" s="21">
        <f t="shared" ref="G118:H172" si="30">E118</f>
        <v>1313.2493841976004</v>
      </c>
      <c r="H118" s="22">
        <f t="shared" si="30"/>
        <v>39.878000000000391</v>
      </c>
      <c r="I118" s="17">
        <f t="shared" si="28"/>
        <v>325</v>
      </c>
      <c r="J118" s="17">
        <f t="shared" ref="J118:J172" si="31">D118</f>
        <v>3152.5369999999998</v>
      </c>
      <c r="K118" s="37">
        <f t="shared" ref="K118:K172" si="32">G118-1000</f>
        <v>313.24938419760042</v>
      </c>
      <c r="L118">
        <f t="shared" ref="L118:L172" si="33">D118</f>
        <v>3152.5369999999998</v>
      </c>
    </row>
    <row r="119" spans="1:12" x14ac:dyDescent="0.35">
      <c r="A119" s="17" t="s">
        <v>1111</v>
      </c>
      <c r="C119" s="18">
        <f t="shared" si="29"/>
        <v>1330</v>
      </c>
      <c r="D119">
        <f>'GOL07'!H68</f>
        <v>3151.5970000000002</v>
      </c>
      <c r="E119" s="25">
        <f t="shared" ref="E119:E172" si="34">E118+(SQRT((C119-C118)^2-(F119-F118)^2))</f>
        <v>1318.1602293387141</v>
      </c>
      <c r="F119" s="26">
        <f t="shared" si="27"/>
        <v>40.817999999999991</v>
      </c>
      <c r="G119" s="21">
        <f t="shared" si="30"/>
        <v>1318.1602293387141</v>
      </c>
      <c r="H119" s="22">
        <f t="shared" si="30"/>
        <v>40.817999999999991</v>
      </c>
      <c r="I119" s="13">
        <f t="shared" si="28"/>
        <v>330</v>
      </c>
      <c r="J119" s="17">
        <f t="shared" si="31"/>
        <v>3151.5970000000002</v>
      </c>
      <c r="K119" s="37">
        <f t="shared" si="32"/>
        <v>318.16022933871409</v>
      </c>
      <c r="L119">
        <f t="shared" si="33"/>
        <v>3151.5970000000002</v>
      </c>
    </row>
    <row r="120" spans="1:12" x14ac:dyDescent="0.35">
      <c r="A120" s="17" t="s">
        <v>1112</v>
      </c>
      <c r="C120" s="18">
        <f t="shared" si="29"/>
        <v>1335</v>
      </c>
      <c r="D120">
        <f>'GOL07'!H69</f>
        <v>3151.1039999999998</v>
      </c>
      <c r="E120" s="19">
        <f t="shared" si="34"/>
        <v>1323.1358650769891</v>
      </c>
      <c r="F120" s="20">
        <f t="shared" si="27"/>
        <v>41.311000000000384</v>
      </c>
      <c r="G120" s="21">
        <f t="shared" si="30"/>
        <v>1323.1358650769891</v>
      </c>
      <c r="H120" s="22">
        <f t="shared" si="30"/>
        <v>41.311000000000384</v>
      </c>
      <c r="I120" s="17">
        <f t="shared" si="28"/>
        <v>335</v>
      </c>
      <c r="J120" s="17">
        <f t="shared" si="31"/>
        <v>3151.1039999999998</v>
      </c>
      <c r="K120" s="37">
        <f t="shared" si="32"/>
        <v>323.13586507698915</v>
      </c>
      <c r="L120">
        <f t="shared" si="33"/>
        <v>3151.1039999999998</v>
      </c>
    </row>
    <row r="121" spans="1:12" x14ac:dyDescent="0.35">
      <c r="A121" s="17" t="s">
        <v>1113</v>
      </c>
      <c r="C121" s="18">
        <f t="shared" si="29"/>
        <v>1340</v>
      </c>
      <c r="D121">
        <f>'GOL07'!H70</f>
        <v>3150.3420000000001</v>
      </c>
      <c r="E121" s="25">
        <f t="shared" si="34"/>
        <v>1328.0774595565069</v>
      </c>
      <c r="F121" s="26">
        <f t="shared" si="27"/>
        <v>42.0730000000001</v>
      </c>
      <c r="G121" s="21">
        <f t="shared" si="30"/>
        <v>1328.0774595565069</v>
      </c>
      <c r="H121" s="22">
        <f t="shared" si="30"/>
        <v>42.0730000000001</v>
      </c>
      <c r="I121" s="13">
        <f t="shared" si="28"/>
        <v>340</v>
      </c>
      <c r="J121" s="17">
        <f t="shared" si="31"/>
        <v>3150.3420000000001</v>
      </c>
      <c r="K121" s="37">
        <f t="shared" si="32"/>
        <v>328.07745955650694</v>
      </c>
      <c r="L121">
        <f t="shared" si="33"/>
        <v>3150.3420000000001</v>
      </c>
    </row>
    <row r="122" spans="1:12" x14ac:dyDescent="0.35">
      <c r="A122" s="17" t="s">
        <v>1114</v>
      </c>
      <c r="C122" s="18">
        <f t="shared" si="29"/>
        <v>1345</v>
      </c>
      <c r="D122">
        <f>'GOL07'!H71</f>
        <v>3147.3359999999998</v>
      </c>
      <c r="E122" s="19">
        <f t="shared" si="34"/>
        <v>1332.0729525173315</v>
      </c>
      <c r="F122" s="20">
        <f t="shared" si="27"/>
        <v>45.079000000000413</v>
      </c>
      <c r="G122" s="21">
        <f t="shared" si="30"/>
        <v>1332.0729525173315</v>
      </c>
      <c r="H122" s="22">
        <f t="shared" si="30"/>
        <v>45.079000000000413</v>
      </c>
      <c r="I122" s="17">
        <f t="shared" si="28"/>
        <v>345</v>
      </c>
      <c r="J122" s="17">
        <f t="shared" si="31"/>
        <v>3147.3359999999998</v>
      </c>
      <c r="K122" s="37">
        <f t="shared" si="32"/>
        <v>332.07295251733149</v>
      </c>
      <c r="L122">
        <f t="shared" si="33"/>
        <v>3147.3359999999998</v>
      </c>
    </row>
    <row r="123" spans="1:12" x14ac:dyDescent="0.35">
      <c r="A123" s="17" t="s">
        <v>1115</v>
      </c>
      <c r="C123" s="18">
        <f t="shared" si="29"/>
        <v>1350</v>
      </c>
      <c r="D123">
        <f>'GOL07'!H72</f>
        <v>3144.556</v>
      </c>
      <c r="E123" s="25">
        <f t="shared" si="34"/>
        <v>1336.2288639697088</v>
      </c>
      <c r="F123" s="26">
        <f t="shared" si="27"/>
        <v>47.859000000000158</v>
      </c>
      <c r="G123" s="21">
        <f t="shared" si="30"/>
        <v>1336.2288639697088</v>
      </c>
      <c r="H123" s="22">
        <f t="shared" si="30"/>
        <v>47.859000000000158</v>
      </c>
      <c r="I123" s="13">
        <f t="shared" si="28"/>
        <v>350</v>
      </c>
      <c r="J123" s="17">
        <f t="shared" si="31"/>
        <v>3144.556</v>
      </c>
      <c r="K123" s="37">
        <f t="shared" si="32"/>
        <v>336.22886396970875</v>
      </c>
      <c r="L123">
        <f t="shared" si="33"/>
        <v>3144.556</v>
      </c>
    </row>
    <row r="124" spans="1:12" x14ac:dyDescent="0.35">
      <c r="A124" s="17" t="s">
        <v>1116</v>
      </c>
      <c r="C124" s="18">
        <f t="shared" si="29"/>
        <v>1355</v>
      </c>
      <c r="D124">
        <f>'GOL07'!H73</f>
        <v>3143.625</v>
      </c>
      <c r="E124" s="19">
        <f t="shared" si="34"/>
        <v>1341.1414232823279</v>
      </c>
      <c r="F124" s="20">
        <f t="shared" si="27"/>
        <v>48.790000000000198</v>
      </c>
      <c r="G124" s="21">
        <f t="shared" si="30"/>
        <v>1341.1414232823279</v>
      </c>
      <c r="H124" s="22">
        <f t="shared" si="30"/>
        <v>48.790000000000198</v>
      </c>
      <c r="I124" s="17">
        <f t="shared" si="28"/>
        <v>355</v>
      </c>
      <c r="J124" s="17">
        <f t="shared" si="31"/>
        <v>3143.625</v>
      </c>
      <c r="K124" s="37">
        <f t="shared" si="32"/>
        <v>341.14142328232788</v>
      </c>
      <c r="L124">
        <f t="shared" si="33"/>
        <v>3143.625</v>
      </c>
    </row>
    <row r="125" spans="1:12" x14ac:dyDescent="0.35">
      <c r="A125" s="17" t="s">
        <v>1117</v>
      </c>
      <c r="C125" s="18">
        <f t="shared" si="29"/>
        <v>1360</v>
      </c>
      <c r="D125">
        <f>'GOL07'!H74</f>
        <v>3143.3359999999998</v>
      </c>
      <c r="E125" s="25">
        <f t="shared" si="34"/>
        <v>1346.1330641948937</v>
      </c>
      <c r="F125" s="26">
        <f t="shared" si="27"/>
        <v>49.079000000000413</v>
      </c>
      <c r="G125" s="21">
        <f t="shared" si="30"/>
        <v>1346.1330641948937</v>
      </c>
      <c r="H125" s="22">
        <f t="shared" si="30"/>
        <v>49.079000000000413</v>
      </c>
      <c r="I125" s="13">
        <f t="shared" si="28"/>
        <v>360</v>
      </c>
      <c r="J125" s="17">
        <f t="shared" si="31"/>
        <v>3143.3359999999998</v>
      </c>
      <c r="K125" s="37">
        <f t="shared" si="32"/>
        <v>346.13306419489368</v>
      </c>
      <c r="L125">
        <f t="shared" si="33"/>
        <v>3143.3359999999998</v>
      </c>
    </row>
    <row r="126" spans="1:12" x14ac:dyDescent="0.35">
      <c r="A126" s="17" t="s">
        <v>1118</v>
      </c>
      <c r="C126" s="18">
        <f t="shared" si="29"/>
        <v>1365</v>
      </c>
      <c r="D126">
        <f>'GOL07'!H75</f>
        <v>3141.6930000000002</v>
      </c>
      <c r="E126" s="19">
        <f t="shared" si="34"/>
        <v>1350.8554101161494</v>
      </c>
      <c r="F126" s="20">
        <f t="shared" si="27"/>
        <v>50.721999999999987</v>
      </c>
      <c r="G126" s="21">
        <f t="shared" si="30"/>
        <v>1350.8554101161494</v>
      </c>
      <c r="H126" s="22">
        <f t="shared" si="30"/>
        <v>50.721999999999987</v>
      </c>
      <c r="I126" s="17">
        <f t="shared" si="28"/>
        <v>365</v>
      </c>
      <c r="J126" s="17">
        <f t="shared" si="31"/>
        <v>3141.6930000000002</v>
      </c>
      <c r="K126" s="37">
        <f t="shared" si="32"/>
        <v>350.85541011614941</v>
      </c>
      <c r="L126">
        <f t="shared" si="33"/>
        <v>3141.6930000000002</v>
      </c>
    </row>
    <row r="127" spans="1:12" x14ac:dyDescent="0.35">
      <c r="A127" s="17" t="s">
        <v>1119</v>
      </c>
      <c r="C127" s="18">
        <f t="shared" si="29"/>
        <v>1370</v>
      </c>
      <c r="D127">
        <f>'GOL07'!H76</f>
        <v>3140.4769999999999</v>
      </c>
      <c r="E127" s="25">
        <f t="shared" si="34"/>
        <v>1355.7052909394274</v>
      </c>
      <c r="F127" s="26">
        <f t="shared" si="27"/>
        <v>51.938000000000336</v>
      </c>
      <c r="G127" s="21">
        <f t="shared" si="30"/>
        <v>1355.7052909394274</v>
      </c>
      <c r="H127" s="22">
        <f t="shared" si="30"/>
        <v>51.938000000000336</v>
      </c>
      <c r="I127" s="13">
        <f t="shared" si="28"/>
        <v>370</v>
      </c>
      <c r="J127" s="17">
        <f t="shared" si="31"/>
        <v>3140.4769999999999</v>
      </c>
      <c r="K127" s="37">
        <f t="shared" si="32"/>
        <v>355.70529093942741</v>
      </c>
      <c r="L127">
        <f t="shared" si="33"/>
        <v>3140.4769999999999</v>
      </c>
    </row>
    <row r="128" spans="1:12" x14ac:dyDescent="0.35">
      <c r="A128" s="17" t="s">
        <v>1120</v>
      </c>
      <c r="C128" s="18">
        <f t="shared" si="29"/>
        <v>1375</v>
      </c>
      <c r="D128">
        <f>'GOL07'!H77</f>
        <v>3139.2159999999999</v>
      </c>
      <c r="E128" s="19">
        <f t="shared" si="34"/>
        <v>1360.5436665966083</v>
      </c>
      <c r="F128" s="20">
        <f t="shared" si="27"/>
        <v>53.199000000000304</v>
      </c>
      <c r="G128" s="21">
        <f t="shared" si="30"/>
        <v>1360.5436665966083</v>
      </c>
      <c r="H128" s="22">
        <f t="shared" si="30"/>
        <v>53.199000000000304</v>
      </c>
      <c r="I128" s="17">
        <f t="shared" si="28"/>
        <v>375</v>
      </c>
      <c r="J128" s="17">
        <f t="shared" si="31"/>
        <v>3139.2159999999999</v>
      </c>
      <c r="K128" s="37">
        <f t="shared" si="32"/>
        <v>360.54366659660832</v>
      </c>
      <c r="L128">
        <f t="shared" si="33"/>
        <v>3139.2159999999999</v>
      </c>
    </row>
    <row r="129" spans="1:12" x14ac:dyDescent="0.35">
      <c r="A129" s="17" t="s">
        <v>1121</v>
      </c>
      <c r="C129" s="18">
        <f t="shared" si="29"/>
        <v>1380</v>
      </c>
      <c r="D129">
        <f>'GOL07'!H78</f>
        <v>3141.3589999999999</v>
      </c>
      <c r="E129" s="25">
        <f t="shared" si="34"/>
        <v>1365.0611383452749</v>
      </c>
      <c r="F129" s="26">
        <f t="shared" si="27"/>
        <v>51.056000000000274</v>
      </c>
      <c r="G129" s="21">
        <f t="shared" si="30"/>
        <v>1365.0611383452749</v>
      </c>
      <c r="H129" s="22">
        <f t="shared" si="30"/>
        <v>51.056000000000274</v>
      </c>
      <c r="I129" s="13">
        <f t="shared" si="28"/>
        <v>380</v>
      </c>
      <c r="J129" s="17">
        <f t="shared" si="31"/>
        <v>3141.3589999999999</v>
      </c>
      <c r="K129" s="37">
        <f t="shared" si="32"/>
        <v>365.06113834527491</v>
      </c>
      <c r="L129">
        <f t="shared" si="33"/>
        <v>3141.3589999999999</v>
      </c>
    </row>
    <row r="130" spans="1:12" x14ac:dyDescent="0.35">
      <c r="A130" s="17" t="s">
        <v>1122</v>
      </c>
      <c r="C130" s="18">
        <f t="shared" si="29"/>
        <v>1385</v>
      </c>
      <c r="D130">
        <f>'GOL07'!H79</f>
        <v>3142.444</v>
      </c>
      <c r="E130" s="19">
        <f t="shared" si="34"/>
        <v>1369.9419963641074</v>
      </c>
      <c r="F130" s="20">
        <f t="shared" si="27"/>
        <v>49.971000000000238</v>
      </c>
      <c r="G130" s="21">
        <f t="shared" si="30"/>
        <v>1369.9419963641074</v>
      </c>
      <c r="H130" s="22">
        <f t="shared" si="30"/>
        <v>49.971000000000238</v>
      </c>
      <c r="I130" s="17">
        <f t="shared" si="28"/>
        <v>385</v>
      </c>
      <c r="J130" s="17">
        <f t="shared" si="31"/>
        <v>3142.444</v>
      </c>
      <c r="K130" s="37">
        <f t="shared" si="32"/>
        <v>369.94199636410735</v>
      </c>
      <c r="L130">
        <f t="shared" si="33"/>
        <v>3142.444</v>
      </c>
    </row>
    <row r="131" spans="1:12" x14ac:dyDescent="0.35">
      <c r="A131" s="17" t="s">
        <v>1123</v>
      </c>
      <c r="C131" s="18">
        <f t="shared" si="29"/>
        <v>1390</v>
      </c>
      <c r="D131">
        <f>'GOL07'!H80</f>
        <v>3142.8809999999999</v>
      </c>
      <c r="E131" s="25">
        <f t="shared" si="34"/>
        <v>1374.9228628549902</v>
      </c>
      <c r="F131" s="26">
        <f t="shared" si="27"/>
        <v>49.53400000000034</v>
      </c>
      <c r="G131" s="21">
        <f t="shared" si="30"/>
        <v>1374.9228628549902</v>
      </c>
      <c r="H131" s="22">
        <f t="shared" si="30"/>
        <v>49.53400000000034</v>
      </c>
      <c r="I131" s="13">
        <f t="shared" si="28"/>
        <v>390</v>
      </c>
      <c r="J131" s="17">
        <f t="shared" si="31"/>
        <v>3142.8809999999999</v>
      </c>
      <c r="K131" s="37">
        <f t="shared" si="32"/>
        <v>374.92286285499017</v>
      </c>
      <c r="L131">
        <f t="shared" si="33"/>
        <v>3142.8809999999999</v>
      </c>
    </row>
    <row r="132" spans="1:12" x14ac:dyDescent="0.35">
      <c r="A132" s="17" t="s">
        <v>1124</v>
      </c>
      <c r="C132" s="18">
        <f t="shared" si="29"/>
        <v>1395</v>
      </c>
      <c r="D132">
        <f>'GOL07'!H81</f>
        <v>3141.3139999999999</v>
      </c>
      <c r="E132" s="19">
        <f t="shared" si="34"/>
        <v>1379.6709688984563</v>
      </c>
      <c r="F132" s="20">
        <f t="shared" si="27"/>
        <v>51.101000000000347</v>
      </c>
      <c r="G132" s="21">
        <f t="shared" si="30"/>
        <v>1379.6709688984563</v>
      </c>
      <c r="H132" s="22">
        <f t="shared" si="30"/>
        <v>51.101000000000347</v>
      </c>
      <c r="I132" s="17">
        <f t="shared" si="28"/>
        <v>395</v>
      </c>
      <c r="J132" s="17">
        <f t="shared" si="31"/>
        <v>3141.3139999999999</v>
      </c>
      <c r="K132" s="37">
        <f t="shared" si="32"/>
        <v>379.67096889845629</v>
      </c>
      <c r="L132">
        <f t="shared" si="33"/>
        <v>3141.3139999999999</v>
      </c>
    </row>
    <row r="133" spans="1:12" x14ac:dyDescent="0.35">
      <c r="A133" s="17" t="s">
        <v>1125</v>
      </c>
      <c r="C133" s="18">
        <f t="shared" si="29"/>
        <v>1400</v>
      </c>
      <c r="D133">
        <f>'GOL07'!H82</f>
        <v>3140.2849999999999</v>
      </c>
      <c r="E133" s="25">
        <f t="shared" si="34"/>
        <v>1384.5639392641954</v>
      </c>
      <c r="F133" s="26">
        <f t="shared" si="27"/>
        <v>52.130000000000344</v>
      </c>
      <c r="G133" s="21">
        <f t="shared" si="30"/>
        <v>1384.5639392641954</v>
      </c>
      <c r="H133" s="22">
        <f t="shared" si="30"/>
        <v>52.130000000000344</v>
      </c>
      <c r="I133" s="13">
        <f t="shared" si="28"/>
        <v>400</v>
      </c>
      <c r="J133" s="17">
        <f t="shared" si="31"/>
        <v>3140.2849999999999</v>
      </c>
      <c r="K133" s="37">
        <f t="shared" si="32"/>
        <v>384.56393926419537</v>
      </c>
      <c r="L133">
        <f t="shared" si="33"/>
        <v>3140.2849999999999</v>
      </c>
    </row>
    <row r="134" spans="1:12" x14ac:dyDescent="0.35">
      <c r="A134" s="17" t="s">
        <v>1126</v>
      </c>
      <c r="C134" s="18">
        <f t="shared" si="29"/>
        <v>1405</v>
      </c>
      <c r="D134">
        <f>'GOL07'!H83</f>
        <v>3141.239</v>
      </c>
      <c r="E134" s="19">
        <f t="shared" si="34"/>
        <v>1389.47208392384</v>
      </c>
      <c r="F134" s="20">
        <f t="shared" si="27"/>
        <v>51.176000000000165</v>
      </c>
      <c r="G134" s="21">
        <f t="shared" si="30"/>
        <v>1389.47208392384</v>
      </c>
      <c r="H134" s="22">
        <f t="shared" si="30"/>
        <v>51.176000000000165</v>
      </c>
      <c r="I134" s="17">
        <f t="shared" si="28"/>
        <v>405</v>
      </c>
      <c r="J134" s="17">
        <f t="shared" si="31"/>
        <v>3141.239</v>
      </c>
      <c r="K134" s="37">
        <f t="shared" si="32"/>
        <v>389.47208392384005</v>
      </c>
      <c r="L134">
        <f t="shared" si="33"/>
        <v>3141.239</v>
      </c>
    </row>
    <row r="135" spans="1:12" x14ac:dyDescent="0.35">
      <c r="A135" s="17" t="s">
        <v>1127</v>
      </c>
      <c r="C135" s="18">
        <f t="shared" si="29"/>
        <v>1410</v>
      </c>
      <c r="D135">
        <f>'GOL07'!H84</f>
        <v>3141.2730000000001</v>
      </c>
      <c r="E135" s="25">
        <f t="shared" si="34"/>
        <v>1394.4719683225037</v>
      </c>
      <c r="F135" s="26">
        <f t="shared" si="27"/>
        <v>51.14200000000006</v>
      </c>
      <c r="G135" s="21">
        <f t="shared" si="30"/>
        <v>1394.4719683225037</v>
      </c>
      <c r="H135" s="22">
        <f t="shared" si="30"/>
        <v>51.14200000000006</v>
      </c>
      <c r="I135" s="13">
        <f t="shared" si="28"/>
        <v>410</v>
      </c>
      <c r="J135" s="17">
        <f t="shared" si="31"/>
        <v>3141.2730000000001</v>
      </c>
      <c r="K135" s="37">
        <f t="shared" si="32"/>
        <v>394.4719683225037</v>
      </c>
      <c r="L135">
        <f t="shared" si="33"/>
        <v>3141.2730000000001</v>
      </c>
    </row>
    <row r="136" spans="1:12" x14ac:dyDescent="0.35">
      <c r="A136" s="17" t="s">
        <v>1128</v>
      </c>
      <c r="C136" s="18">
        <f t="shared" si="29"/>
        <v>1415</v>
      </c>
      <c r="D136">
        <f>'GOL07'!H85</f>
        <v>3139.5059999999999</v>
      </c>
      <c r="E136" s="19">
        <f t="shared" si="34"/>
        <v>1399.149329865083</v>
      </c>
      <c r="F136" s="20">
        <f t="shared" si="27"/>
        <v>52.90900000000034</v>
      </c>
      <c r="G136" s="21">
        <f t="shared" si="30"/>
        <v>1399.149329865083</v>
      </c>
      <c r="H136" s="22">
        <f t="shared" si="30"/>
        <v>52.90900000000034</v>
      </c>
      <c r="I136" s="17">
        <f t="shared" si="28"/>
        <v>415</v>
      </c>
      <c r="J136" s="17">
        <f t="shared" si="31"/>
        <v>3139.5059999999999</v>
      </c>
      <c r="K136" s="37">
        <f t="shared" si="32"/>
        <v>399.14932986508302</v>
      </c>
      <c r="L136">
        <f t="shared" si="33"/>
        <v>3139.5059999999999</v>
      </c>
    </row>
    <row r="137" spans="1:12" x14ac:dyDescent="0.35">
      <c r="A137" s="17" t="s">
        <v>1129</v>
      </c>
      <c r="C137" s="18">
        <f t="shared" si="29"/>
        <v>1420</v>
      </c>
      <c r="D137">
        <f>'GOL07'!H86</f>
        <v>3137.5650000000001</v>
      </c>
      <c r="E137" s="25">
        <f t="shared" si="34"/>
        <v>1403.7572056229567</v>
      </c>
      <c r="F137" s="26">
        <f t="shared" si="27"/>
        <v>54.850000000000144</v>
      </c>
      <c r="G137" s="21">
        <f t="shared" si="30"/>
        <v>1403.7572056229567</v>
      </c>
      <c r="H137" s="22">
        <f t="shared" si="30"/>
        <v>54.850000000000144</v>
      </c>
      <c r="I137" s="13">
        <f t="shared" si="28"/>
        <v>420</v>
      </c>
      <c r="J137" s="17">
        <f t="shared" si="31"/>
        <v>3137.5650000000001</v>
      </c>
      <c r="K137" s="37">
        <f t="shared" si="32"/>
        <v>403.75720562295669</v>
      </c>
      <c r="L137">
        <f t="shared" si="33"/>
        <v>3137.5650000000001</v>
      </c>
    </row>
    <row r="138" spans="1:12" x14ac:dyDescent="0.35">
      <c r="A138" s="17" t="s">
        <v>1130</v>
      </c>
      <c r="C138" s="18">
        <f t="shared" si="29"/>
        <v>1425</v>
      </c>
      <c r="D138">
        <f>'GOL07'!H87</f>
        <v>3136.998</v>
      </c>
      <c r="E138" s="19">
        <f t="shared" si="34"/>
        <v>1408.7249526978387</v>
      </c>
      <c r="F138" s="20">
        <f t="shared" si="27"/>
        <v>55.417000000000151</v>
      </c>
      <c r="G138" s="21">
        <f t="shared" si="30"/>
        <v>1408.7249526978387</v>
      </c>
      <c r="H138" s="22">
        <f t="shared" si="30"/>
        <v>55.417000000000151</v>
      </c>
      <c r="I138" s="17">
        <f t="shared" si="28"/>
        <v>425</v>
      </c>
      <c r="J138" s="17">
        <f t="shared" si="31"/>
        <v>3136.998</v>
      </c>
      <c r="K138" s="37">
        <f t="shared" si="32"/>
        <v>408.72495269783872</v>
      </c>
      <c r="L138">
        <f t="shared" si="33"/>
        <v>3136.998</v>
      </c>
    </row>
    <row r="139" spans="1:12" x14ac:dyDescent="0.35">
      <c r="A139" s="17" t="s">
        <v>1131</v>
      </c>
      <c r="C139" s="18">
        <f t="shared" si="29"/>
        <v>1430</v>
      </c>
      <c r="D139">
        <f>'GOL07'!H88</f>
        <v>3135.8150000000001</v>
      </c>
      <c r="E139" s="25">
        <f t="shared" si="34"/>
        <v>1413.5829884119933</v>
      </c>
      <c r="F139" s="26">
        <f t="shared" si="27"/>
        <v>56.600000000000144</v>
      </c>
      <c r="G139" s="21">
        <f t="shared" si="30"/>
        <v>1413.5829884119933</v>
      </c>
      <c r="H139" s="22">
        <f t="shared" si="30"/>
        <v>56.600000000000144</v>
      </c>
      <c r="I139" s="13">
        <f t="shared" si="28"/>
        <v>430</v>
      </c>
      <c r="J139" s="17">
        <f t="shared" si="31"/>
        <v>3135.8150000000001</v>
      </c>
      <c r="K139" s="37">
        <f t="shared" si="32"/>
        <v>413.58298841199326</v>
      </c>
      <c r="L139">
        <f t="shared" si="33"/>
        <v>3135.8150000000001</v>
      </c>
    </row>
    <row r="140" spans="1:12" x14ac:dyDescent="0.35">
      <c r="A140" s="17" t="s">
        <v>1132</v>
      </c>
      <c r="C140" s="18">
        <f t="shared" si="29"/>
        <v>1435</v>
      </c>
      <c r="D140">
        <f>'GOL07'!H89</f>
        <v>3134.556</v>
      </c>
      <c r="E140" s="19">
        <f t="shared" si="34"/>
        <v>1418.4218848770977</v>
      </c>
      <c r="F140" s="20">
        <f t="shared" si="27"/>
        <v>57.859000000000158</v>
      </c>
      <c r="G140" s="21">
        <f t="shared" si="30"/>
        <v>1418.4218848770977</v>
      </c>
      <c r="H140" s="22">
        <f t="shared" si="30"/>
        <v>57.859000000000158</v>
      </c>
      <c r="I140" s="17">
        <f t="shared" si="28"/>
        <v>435</v>
      </c>
      <c r="J140" s="17">
        <f t="shared" si="31"/>
        <v>3134.556</v>
      </c>
      <c r="K140" s="37">
        <f t="shared" si="32"/>
        <v>418.42188487709768</v>
      </c>
      <c r="L140">
        <f t="shared" si="33"/>
        <v>3134.556</v>
      </c>
    </row>
    <row r="141" spans="1:12" x14ac:dyDescent="0.35">
      <c r="A141" s="17" t="s">
        <v>1133</v>
      </c>
      <c r="C141" s="18">
        <f t="shared" si="29"/>
        <v>1440</v>
      </c>
      <c r="D141">
        <f>'GOL07'!H90</f>
        <v>3133.721</v>
      </c>
      <c r="E141" s="25">
        <f t="shared" si="34"/>
        <v>1423.3516693551453</v>
      </c>
      <c r="F141" s="26">
        <f t="shared" si="27"/>
        <v>58.694000000000194</v>
      </c>
      <c r="G141" s="21">
        <f t="shared" si="30"/>
        <v>1423.3516693551453</v>
      </c>
      <c r="H141" s="22">
        <f t="shared" si="30"/>
        <v>58.694000000000194</v>
      </c>
      <c r="I141" s="13">
        <f t="shared" si="28"/>
        <v>440</v>
      </c>
      <c r="J141" s="17">
        <f t="shared" si="31"/>
        <v>3133.721</v>
      </c>
      <c r="K141" s="37">
        <f t="shared" si="32"/>
        <v>423.3516693551453</v>
      </c>
      <c r="L141">
        <f t="shared" si="33"/>
        <v>3133.721</v>
      </c>
    </row>
    <row r="142" spans="1:12" x14ac:dyDescent="0.35">
      <c r="A142" s="17" t="s">
        <v>1134</v>
      </c>
      <c r="C142" s="18">
        <f t="shared" si="29"/>
        <v>1445</v>
      </c>
      <c r="D142">
        <f>'GOL07'!H91</f>
        <v>3133.2359999999999</v>
      </c>
      <c r="E142" s="19">
        <f t="shared" si="34"/>
        <v>1428.3280912625</v>
      </c>
      <c r="F142" s="20">
        <f t="shared" ref="F142:F172" si="35">ABS(D142-MAX(D:D))+0.01</f>
        <v>59.179000000000322</v>
      </c>
      <c r="G142" s="21">
        <f t="shared" si="30"/>
        <v>1428.3280912625</v>
      </c>
      <c r="H142" s="22">
        <f t="shared" si="30"/>
        <v>59.179000000000322</v>
      </c>
      <c r="I142" s="17">
        <f t="shared" si="28"/>
        <v>445</v>
      </c>
      <c r="J142" s="17">
        <f t="shared" si="31"/>
        <v>3133.2359999999999</v>
      </c>
      <c r="K142" s="37">
        <f t="shared" si="32"/>
        <v>428.32809126250004</v>
      </c>
      <c r="L142">
        <f t="shared" si="33"/>
        <v>3133.2359999999999</v>
      </c>
    </row>
    <row r="143" spans="1:12" x14ac:dyDescent="0.35">
      <c r="A143" s="17" t="s">
        <v>1135</v>
      </c>
      <c r="C143" s="18">
        <f t="shared" si="29"/>
        <v>1450</v>
      </c>
      <c r="D143">
        <f>'GOL07'!H92</f>
        <v>3132.5010000000002</v>
      </c>
      <c r="E143" s="25">
        <f t="shared" si="34"/>
        <v>1433.2737737229902</v>
      </c>
      <c r="F143" s="26">
        <f t="shared" si="35"/>
        <v>59.913999999999994</v>
      </c>
      <c r="G143" s="21">
        <f t="shared" si="30"/>
        <v>1433.2737737229902</v>
      </c>
      <c r="H143" s="22">
        <f t="shared" si="30"/>
        <v>59.913999999999994</v>
      </c>
      <c r="I143" s="13">
        <f t="shared" si="28"/>
        <v>450</v>
      </c>
      <c r="J143" s="17">
        <f t="shared" si="31"/>
        <v>3132.5010000000002</v>
      </c>
      <c r="K143" s="37">
        <f t="shared" si="32"/>
        <v>433.2737737229902</v>
      </c>
      <c r="L143">
        <f t="shared" si="33"/>
        <v>3132.5010000000002</v>
      </c>
    </row>
    <row r="144" spans="1:12" x14ac:dyDescent="0.35">
      <c r="A144" s="17" t="s">
        <v>1136</v>
      </c>
      <c r="C144" s="18">
        <f t="shared" si="29"/>
        <v>1455</v>
      </c>
      <c r="D144">
        <f>'GOL07'!H93</f>
        <v>3131.6320000000001</v>
      </c>
      <c r="E144" s="19">
        <f t="shared" si="34"/>
        <v>1438.1976785758484</v>
      </c>
      <c r="F144" s="20">
        <f t="shared" si="35"/>
        <v>60.783000000000136</v>
      </c>
      <c r="G144" s="21">
        <f t="shared" si="30"/>
        <v>1438.1976785758484</v>
      </c>
      <c r="H144" s="22">
        <f t="shared" si="30"/>
        <v>60.783000000000136</v>
      </c>
      <c r="I144" s="17">
        <f t="shared" si="28"/>
        <v>455</v>
      </c>
      <c r="J144" s="17">
        <f t="shared" si="31"/>
        <v>3131.6320000000001</v>
      </c>
      <c r="K144" s="37">
        <f t="shared" si="32"/>
        <v>438.19767857584839</v>
      </c>
      <c r="L144">
        <f t="shared" si="33"/>
        <v>3131.6320000000001</v>
      </c>
    </row>
    <row r="145" spans="1:12" x14ac:dyDescent="0.35">
      <c r="A145" s="17" t="s">
        <v>1137</v>
      </c>
      <c r="C145" s="18">
        <f t="shared" si="29"/>
        <v>1460</v>
      </c>
      <c r="D145">
        <f>'GOL07'!H94</f>
        <v>3132.19</v>
      </c>
      <c r="E145" s="25">
        <f t="shared" si="34"/>
        <v>1443.1664446198477</v>
      </c>
      <c r="F145" s="26">
        <f t="shared" si="35"/>
        <v>60.225000000000144</v>
      </c>
      <c r="G145" s="21">
        <f t="shared" si="30"/>
        <v>1443.1664446198477</v>
      </c>
      <c r="H145" s="22">
        <f t="shared" si="30"/>
        <v>60.225000000000144</v>
      </c>
      <c r="I145" s="13">
        <f t="shared" si="28"/>
        <v>460</v>
      </c>
      <c r="J145" s="17">
        <f t="shared" si="31"/>
        <v>3132.19</v>
      </c>
      <c r="K145" s="37">
        <f t="shared" si="32"/>
        <v>443.16644461984765</v>
      </c>
      <c r="L145">
        <f t="shared" si="33"/>
        <v>3132.19</v>
      </c>
    </row>
    <row r="146" spans="1:12" x14ac:dyDescent="0.35">
      <c r="A146" s="17" t="s">
        <v>1138</v>
      </c>
      <c r="C146" s="18">
        <f t="shared" si="29"/>
        <v>1465</v>
      </c>
      <c r="D146">
        <f>'GOL07'!H95</f>
        <v>3130.837</v>
      </c>
      <c r="E146" s="19">
        <f t="shared" si="34"/>
        <v>1447.9799039787704</v>
      </c>
      <c r="F146" s="20">
        <f t="shared" si="35"/>
        <v>61.578000000000209</v>
      </c>
      <c r="G146" s="21">
        <f t="shared" si="30"/>
        <v>1447.9799039787704</v>
      </c>
      <c r="H146" s="22">
        <f t="shared" si="30"/>
        <v>61.578000000000209</v>
      </c>
      <c r="I146" s="17">
        <f t="shared" si="28"/>
        <v>465</v>
      </c>
      <c r="J146" s="17">
        <f t="shared" si="31"/>
        <v>3130.837</v>
      </c>
      <c r="K146" s="37">
        <f t="shared" si="32"/>
        <v>447.97990397877038</v>
      </c>
      <c r="L146">
        <f t="shared" si="33"/>
        <v>3130.837</v>
      </c>
    </row>
    <row r="147" spans="1:12" x14ac:dyDescent="0.35">
      <c r="A147" s="17" t="s">
        <v>1139</v>
      </c>
      <c r="C147" s="18">
        <f t="shared" si="29"/>
        <v>1470</v>
      </c>
      <c r="D147">
        <f>'GOL07'!H96</f>
        <v>3129.13</v>
      </c>
      <c r="E147" s="25">
        <f t="shared" si="34"/>
        <v>1452.6794944928472</v>
      </c>
      <c r="F147" s="26">
        <f t="shared" si="35"/>
        <v>63.285000000000089</v>
      </c>
      <c r="G147" s="21">
        <f t="shared" si="30"/>
        <v>1452.6794944928472</v>
      </c>
      <c r="H147" s="22">
        <f t="shared" si="30"/>
        <v>63.285000000000089</v>
      </c>
      <c r="I147" s="13">
        <f t="shared" si="28"/>
        <v>470</v>
      </c>
      <c r="J147" s="17">
        <f t="shared" si="31"/>
        <v>3129.13</v>
      </c>
      <c r="K147" s="37">
        <f t="shared" si="32"/>
        <v>452.6794944928472</v>
      </c>
      <c r="L147">
        <f t="shared" si="33"/>
        <v>3129.13</v>
      </c>
    </row>
    <row r="148" spans="1:12" x14ac:dyDescent="0.35">
      <c r="A148" s="17" t="s">
        <v>1140</v>
      </c>
      <c r="C148" s="18">
        <f t="shared" si="29"/>
        <v>1475</v>
      </c>
      <c r="D148">
        <f>'GOL07'!H97</f>
        <v>3129.8589999999999</v>
      </c>
      <c r="E148" s="19">
        <f t="shared" si="34"/>
        <v>1457.6260649209316</v>
      </c>
      <c r="F148" s="20">
        <f t="shared" si="35"/>
        <v>62.556000000000274</v>
      </c>
      <c r="G148" s="21">
        <f t="shared" si="30"/>
        <v>1457.6260649209316</v>
      </c>
      <c r="H148" s="22">
        <f t="shared" si="30"/>
        <v>62.556000000000274</v>
      </c>
      <c r="I148" s="17">
        <f t="shared" si="28"/>
        <v>475</v>
      </c>
      <c r="J148" s="17">
        <f t="shared" si="31"/>
        <v>3129.8589999999999</v>
      </c>
      <c r="K148" s="37">
        <f t="shared" si="32"/>
        <v>457.62606492093164</v>
      </c>
      <c r="L148">
        <f t="shared" si="33"/>
        <v>3129.8589999999999</v>
      </c>
    </row>
    <row r="149" spans="1:12" x14ac:dyDescent="0.35">
      <c r="A149" s="17" t="s">
        <v>1141</v>
      </c>
      <c r="C149" s="18">
        <f t="shared" si="29"/>
        <v>1480</v>
      </c>
      <c r="D149">
        <f>'GOL07'!H98</f>
        <v>3127.8960000000002</v>
      </c>
      <c r="E149" s="25">
        <f t="shared" si="34"/>
        <v>1462.2246115391579</v>
      </c>
      <c r="F149" s="26">
        <f t="shared" si="35"/>
        <v>64.51900000000002</v>
      </c>
      <c r="G149" s="21">
        <f t="shared" si="30"/>
        <v>1462.2246115391579</v>
      </c>
      <c r="H149" s="22">
        <f t="shared" si="30"/>
        <v>64.51900000000002</v>
      </c>
      <c r="I149" s="13">
        <f t="shared" si="28"/>
        <v>480</v>
      </c>
      <c r="J149" s="17">
        <f t="shared" si="31"/>
        <v>3127.8960000000002</v>
      </c>
      <c r="K149" s="37">
        <f t="shared" si="32"/>
        <v>462.22461153915788</v>
      </c>
      <c r="L149">
        <f t="shared" si="33"/>
        <v>3127.8960000000002</v>
      </c>
    </row>
    <row r="150" spans="1:12" x14ac:dyDescent="0.35">
      <c r="A150" s="17" t="s">
        <v>1142</v>
      </c>
      <c r="C150" s="18">
        <f t="shared" si="29"/>
        <v>1485</v>
      </c>
      <c r="D150">
        <f>'GOL07'!H99</f>
        <v>3127.799</v>
      </c>
      <c r="E150" s="19">
        <f t="shared" si="34"/>
        <v>1467.223670550612</v>
      </c>
      <c r="F150" s="20">
        <f t="shared" si="35"/>
        <v>64.616000000000227</v>
      </c>
      <c r="G150" s="21">
        <f t="shared" si="30"/>
        <v>1467.223670550612</v>
      </c>
      <c r="H150" s="22">
        <f t="shared" si="30"/>
        <v>64.616000000000227</v>
      </c>
      <c r="I150" s="17">
        <f t="shared" si="28"/>
        <v>485</v>
      </c>
      <c r="J150" s="17">
        <f t="shared" si="31"/>
        <v>3127.799</v>
      </c>
      <c r="K150" s="37">
        <f t="shared" si="32"/>
        <v>467.22367055061204</v>
      </c>
      <c r="L150">
        <f t="shared" si="33"/>
        <v>3127.799</v>
      </c>
    </row>
    <row r="151" spans="1:12" x14ac:dyDescent="0.35">
      <c r="A151" s="17" t="s">
        <v>1143</v>
      </c>
      <c r="C151" s="18">
        <f t="shared" si="29"/>
        <v>1490</v>
      </c>
      <c r="D151">
        <f>'GOL07'!H100</f>
        <v>3126.4609999999998</v>
      </c>
      <c r="E151" s="25">
        <f t="shared" si="34"/>
        <v>1472.0413210153094</v>
      </c>
      <c r="F151" s="26">
        <f t="shared" si="35"/>
        <v>65.95400000000042</v>
      </c>
      <c r="G151" s="21">
        <f t="shared" si="30"/>
        <v>1472.0413210153094</v>
      </c>
      <c r="H151" s="22">
        <f t="shared" si="30"/>
        <v>65.95400000000042</v>
      </c>
      <c r="I151" s="13">
        <f t="shared" si="28"/>
        <v>490</v>
      </c>
      <c r="J151" s="17">
        <f t="shared" si="31"/>
        <v>3126.4609999999998</v>
      </c>
      <c r="K151" s="37">
        <f t="shared" si="32"/>
        <v>472.04132101530945</v>
      </c>
      <c r="L151">
        <f t="shared" si="33"/>
        <v>3126.4609999999998</v>
      </c>
    </row>
    <row r="152" spans="1:12" x14ac:dyDescent="0.35">
      <c r="A152" s="17" t="s">
        <v>1144</v>
      </c>
      <c r="C152" s="18">
        <f t="shared" si="29"/>
        <v>1495</v>
      </c>
      <c r="D152">
        <f>'GOL07'!H101</f>
        <v>3125.846</v>
      </c>
      <c r="E152" s="19">
        <f t="shared" si="34"/>
        <v>1477.0033543686839</v>
      </c>
      <c r="F152" s="20">
        <f t="shared" si="35"/>
        <v>66.569000000000202</v>
      </c>
      <c r="G152" s="21">
        <f t="shared" si="30"/>
        <v>1477.0033543686839</v>
      </c>
      <c r="H152" s="22">
        <f t="shared" si="30"/>
        <v>66.569000000000202</v>
      </c>
      <c r="I152" s="17">
        <f t="shared" si="28"/>
        <v>495</v>
      </c>
      <c r="J152" s="17">
        <f t="shared" si="31"/>
        <v>3125.846</v>
      </c>
      <c r="K152" s="37">
        <f t="shared" si="32"/>
        <v>477.00335436868386</v>
      </c>
      <c r="L152">
        <f t="shared" si="33"/>
        <v>3125.846</v>
      </c>
    </row>
    <row r="153" spans="1:12" x14ac:dyDescent="0.35">
      <c r="A153" s="17" t="s">
        <v>1145</v>
      </c>
      <c r="C153" s="18">
        <f t="shared" si="29"/>
        <v>1500</v>
      </c>
      <c r="D153">
        <f>'GOL07'!H102</f>
        <v>3126.2910000000002</v>
      </c>
      <c r="E153" s="25">
        <f t="shared" si="34"/>
        <v>1481.9835124987035</v>
      </c>
      <c r="F153" s="26">
        <f t="shared" si="35"/>
        <v>66.124000000000038</v>
      </c>
      <c r="G153" s="21">
        <f t="shared" si="30"/>
        <v>1481.9835124987035</v>
      </c>
      <c r="H153" s="22">
        <f t="shared" si="30"/>
        <v>66.124000000000038</v>
      </c>
      <c r="I153" s="13">
        <f t="shared" si="28"/>
        <v>500</v>
      </c>
      <c r="J153" s="17">
        <f t="shared" si="31"/>
        <v>3126.2910000000002</v>
      </c>
      <c r="K153" s="37">
        <f t="shared" si="32"/>
        <v>481.98351249870348</v>
      </c>
      <c r="L153">
        <f t="shared" si="33"/>
        <v>3126.2910000000002</v>
      </c>
    </row>
    <row r="154" spans="1:12" x14ac:dyDescent="0.35">
      <c r="A154" s="17" t="s">
        <v>1146</v>
      </c>
      <c r="C154" s="18">
        <f t="shared" si="29"/>
        <v>1505</v>
      </c>
      <c r="D154">
        <f>'GOL07'!H103</f>
        <v>3126.752</v>
      </c>
      <c r="E154" s="19">
        <f t="shared" si="34"/>
        <v>1486.962215040531</v>
      </c>
      <c r="F154" s="20">
        <f t="shared" si="35"/>
        <v>65.663000000000252</v>
      </c>
      <c r="G154" s="21">
        <f t="shared" si="30"/>
        <v>1486.962215040531</v>
      </c>
      <c r="H154" s="22">
        <f t="shared" si="30"/>
        <v>65.663000000000252</v>
      </c>
      <c r="I154" s="17">
        <f t="shared" si="28"/>
        <v>505</v>
      </c>
      <c r="J154" s="17">
        <f t="shared" si="31"/>
        <v>3126.752</v>
      </c>
      <c r="K154" s="37">
        <f t="shared" si="32"/>
        <v>486.96221504053096</v>
      </c>
      <c r="L154">
        <f t="shared" si="33"/>
        <v>3126.752</v>
      </c>
    </row>
    <row r="155" spans="1:12" x14ac:dyDescent="0.35">
      <c r="A155" s="17" t="s">
        <v>1147</v>
      </c>
      <c r="C155" s="18">
        <f t="shared" si="29"/>
        <v>1510</v>
      </c>
      <c r="D155">
        <f>'GOL07'!H104</f>
        <v>3126.1869999999999</v>
      </c>
      <c r="E155" s="25">
        <f t="shared" si="34"/>
        <v>1491.9301899800812</v>
      </c>
      <c r="F155" s="26">
        <f t="shared" si="35"/>
        <v>66.228000000000307</v>
      </c>
      <c r="G155" s="21">
        <f t="shared" si="30"/>
        <v>1491.9301899800812</v>
      </c>
      <c r="H155" s="22">
        <f t="shared" si="30"/>
        <v>66.228000000000307</v>
      </c>
      <c r="I155" s="13">
        <f t="shared" si="28"/>
        <v>510</v>
      </c>
      <c r="J155" s="17">
        <f t="shared" si="31"/>
        <v>3126.1869999999999</v>
      </c>
      <c r="K155" s="37">
        <f t="shared" si="32"/>
        <v>491.9301899800812</v>
      </c>
      <c r="L155">
        <f t="shared" si="33"/>
        <v>3126.1869999999999</v>
      </c>
    </row>
    <row r="156" spans="1:12" x14ac:dyDescent="0.35">
      <c r="A156" s="17" t="s">
        <v>1148</v>
      </c>
      <c r="C156" s="18">
        <f t="shared" si="29"/>
        <v>1515</v>
      </c>
      <c r="D156">
        <f>'GOL07'!H105</f>
        <v>3124.5770000000002</v>
      </c>
      <c r="E156" s="19">
        <f t="shared" si="34"/>
        <v>1496.663888322815</v>
      </c>
      <c r="F156" s="20">
        <f t="shared" si="35"/>
        <v>67.83799999999998</v>
      </c>
      <c r="G156" s="21">
        <f t="shared" si="30"/>
        <v>1496.663888322815</v>
      </c>
      <c r="H156" s="22">
        <f t="shared" si="30"/>
        <v>67.83799999999998</v>
      </c>
      <c r="I156" s="17">
        <f t="shared" si="28"/>
        <v>515</v>
      </c>
      <c r="J156" s="17">
        <f t="shared" si="31"/>
        <v>3124.5770000000002</v>
      </c>
      <c r="K156" s="37">
        <f t="shared" si="32"/>
        <v>496.66388832281496</v>
      </c>
      <c r="L156">
        <f t="shared" si="33"/>
        <v>3124.5770000000002</v>
      </c>
    </row>
    <row r="157" spans="1:12" x14ac:dyDescent="0.35">
      <c r="A157" s="17" t="s">
        <v>1149</v>
      </c>
      <c r="C157" s="18">
        <f t="shared" si="29"/>
        <v>1520</v>
      </c>
      <c r="D157">
        <f>'GOL07'!H106</f>
        <v>3122.7640000000001</v>
      </c>
      <c r="E157" s="25">
        <f t="shared" si="34"/>
        <v>1501.3236126708853</v>
      </c>
      <c r="F157" s="26">
        <f t="shared" si="35"/>
        <v>69.651000000000082</v>
      </c>
      <c r="G157" s="21">
        <f t="shared" si="30"/>
        <v>1501.3236126708853</v>
      </c>
      <c r="H157" s="22">
        <f t="shared" si="30"/>
        <v>69.651000000000082</v>
      </c>
      <c r="I157" s="13">
        <f t="shared" si="28"/>
        <v>520</v>
      </c>
      <c r="J157" s="17">
        <f t="shared" si="31"/>
        <v>3122.7640000000001</v>
      </c>
      <c r="K157" s="37">
        <f t="shared" si="32"/>
        <v>501.32361267088527</v>
      </c>
      <c r="L157">
        <f t="shared" si="33"/>
        <v>3122.7640000000001</v>
      </c>
    </row>
    <row r="158" spans="1:12" x14ac:dyDescent="0.35">
      <c r="A158" s="17" t="s">
        <v>1150</v>
      </c>
      <c r="C158" s="18">
        <f t="shared" si="29"/>
        <v>1525</v>
      </c>
      <c r="D158">
        <f>'GOL07'!H107</f>
        <v>3120.8420000000001</v>
      </c>
      <c r="E158" s="19">
        <f t="shared" si="34"/>
        <v>1505.9394458567792</v>
      </c>
      <c r="F158" s="20">
        <f t="shared" si="35"/>
        <v>71.573000000000107</v>
      </c>
      <c r="G158" s="21">
        <f t="shared" si="30"/>
        <v>1505.9394458567792</v>
      </c>
      <c r="H158" s="22">
        <f t="shared" si="30"/>
        <v>71.573000000000107</v>
      </c>
      <c r="I158" s="17">
        <f t="shared" si="28"/>
        <v>525</v>
      </c>
      <c r="J158" s="17">
        <f t="shared" si="31"/>
        <v>3120.8420000000001</v>
      </c>
      <c r="K158" s="37">
        <f t="shared" si="32"/>
        <v>505.93944585677923</v>
      </c>
      <c r="L158">
        <f t="shared" si="33"/>
        <v>3120.8420000000001</v>
      </c>
    </row>
    <row r="159" spans="1:12" x14ac:dyDescent="0.35">
      <c r="A159" s="17" t="s">
        <v>1151</v>
      </c>
      <c r="C159" s="18">
        <f t="shared" si="29"/>
        <v>1530</v>
      </c>
      <c r="D159">
        <f>'GOL07'!H108</f>
        <v>3122.116</v>
      </c>
      <c r="E159" s="25">
        <f t="shared" si="34"/>
        <v>1510.7744147294816</v>
      </c>
      <c r="F159" s="26">
        <f t="shared" si="35"/>
        <v>70.29900000000022</v>
      </c>
      <c r="G159" s="21">
        <f t="shared" si="30"/>
        <v>1510.7744147294816</v>
      </c>
      <c r="H159" s="22">
        <f t="shared" si="30"/>
        <v>70.29900000000022</v>
      </c>
      <c r="I159" s="13">
        <f t="shared" si="28"/>
        <v>530</v>
      </c>
      <c r="J159" s="17">
        <f t="shared" si="31"/>
        <v>3122.116</v>
      </c>
      <c r="K159" s="37">
        <f t="shared" si="32"/>
        <v>510.77441472948158</v>
      </c>
      <c r="L159">
        <f t="shared" si="33"/>
        <v>3122.116</v>
      </c>
    </row>
    <row r="160" spans="1:12" x14ac:dyDescent="0.35">
      <c r="A160" s="17" t="s">
        <v>1152</v>
      </c>
      <c r="C160" s="18">
        <f t="shared" si="29"/>
        <v>1535</v>
      </c>
      <c r="D160">
        <f>'GOL07'!H109</f>
        <v>3120.3510000000001</v>
      </c>
      <c r="E160" s="19">
        <f t="shared" si="34"/>
        <v>1515.4525313376905</v>
      </c>
      <c r="F160" s="20">
        <f t="shared" si="35"/>
        <v>72.064000000000092</v>
      </c>
      <c r="G160" s="21">
        <f t="shared" si="30"/>
        <v>1515.4525313376905</v>
      </c>
      <c r="H160" s="22">
        <f t="shared" si="30"/>
        <v>72.064000000000092</v>
      </c>
      <c r="I160" s="17">
        <f t="shared" si="28"/>
        <v>535</v>
      </c>
      <c r="J160" s="17">
        <f t="shared" si="31"/>
        <v>3120.3510000000001</v>
      </c>
      <c r="K160" s="37">
        <f t="shared" si="32"/>
        <v>515.45253133769052</v>
      </c>
      <c r="L160">
        <f t="shared" si="33"/>
        <v>3120.3510000000001</v>
      </c>
    </row>
    <row r="161" spans="1:12" x14ac:dyDescent="0.35">
      <c r="A161" s="17" t="s">
        <v>1153</v>
      </c>
      <c r="C161" s="18">
        <f t="shared" si="29"/>
        <v>1540</v>
      </c>
      <c r="D161">
        <f>'GOL07'!H110</f>
        <v>3118.5369999999998</v>
      </c>
      <c r="E161" s="25">
        <f t="shared" si="34"/>
        <v>1520.1118664833953</v>
      </c>
      <c r="F161" s="26">
        <f t="shared" si="35"/>
        <v>73.878000000000398</v>
      </c>
      <c r="G161" s="21">
        <f t="shared" si="30"/>
        <v>1520.1118664833953</v>
      </c>
      <c r="H161" s="22">
        <f t="shared" si="30"/>
        <v>73.878000000000398</v>
      </c>
      <c r="I161" s="13">
        <f t="shared" si="28"/>
        <v>540</v>
      </c>
      <c r="J161" s="17">
        <f t="shared" si="31"/>
        <v>3118.5369999999998</v>
      </c>
      <c r="K161" s="37">
        <f t="shared" si="32"/>
        <v>520.11186648339526</v>
      </c>
      <c r="L161">
        <f t="shared" si="33"/>
        <v>3118.5369999999998</v>
      </c>
    </row>
    <row r="162" spans="1:12" x14ac:dyDescent="0.35">
      <c r="A162" s="17" t="s">
        <v>1154</v>
      </c>
      <c r="C162" s="18">
        <f t="shared" si="29"/>
        <v>1545</v>
      </c>
      <c r="D162">
        <f>'GOL07'!H111</f>
        <v>3118.402</v>
      </c>
      <c r="E162" s="19">
        <f t="shared" si="34"/>
        <v>1525.1100436511235</v>
      </c>
      <c r="F162" s="20">
        <f t="shared" si="35"/>
        <v>74.013000000000162</v>
      </c>
      <c r="G162" s="21">
        <f t="shared" si="30"/>
        <v>1525.1100436511235</v>
      </c>
      <c r="H162" s="22">
        <f t="shared" si="30"/>
        <v>74.013000000000162</v>
      </c>
      <c r="I162" s="17">
        <f t="shared" si="28"/>
        <v>545</v>
      </c>
      <c r="J162" s="17">
        <f t="shared" si="31"/>
        <v>3118.402</v>
      </c>
      <c r="K162" s="37">
        <f t="shared" si="32"/>
        <v>525.11004365112353</v>
      </c>
      <c r="L162">
        <f t="shared" si="33"/>
        <v>3118.402</v>
      </c>
    </row>
    <row r="163" spans="1:12" x14ac:dyDescent="0.35">
      <c r="A163" s="17" t="s">
        <v>1155</v>
      </c>
      <c r="C163" s="18">
        <f t="shared" si="29"/>
        <v>1550</v>
      </c>
      <c r="D163">
        <f>'GOL07'!H112</f>
        <v>3116.732</v>
      </c>
      <c r="E163" s="25">
        <f t="shared" si="34"/>
        <v>1529.822909021575</v>
      </c>
      <c r="F163" s="26">
        <f t="shared" si="35"/>
        <v>75.683000000000234</v>
      </c>
      <c r="G163" s="21">
        <f t="shared" si="30"/>
        <v>1529.822909021575</v>
      </c>
      <c r="H163" s="22">
        <f t="shared" si="30"/>
        <v>75.683000000000234</v>
      </c>
      <c r="I163" s="13">
        <f t="shared" si="28"/>
        <v>550</v>
      </c>
      <c r="J163" s="17">
        <f t="shared" si="31"/>
        <v>3116.732</v>
      </c>
      <c r="K163" s="37">
        <f t="shared" si="32"/>
        <v>529.82290902157501</v>
      </c>
      <c r="L163">
        <f t="shared" si="33"/>
        <v>3116.732</v>
      </c>
    </row>
    <row r="164" spans="1:12" x14ac:dyDescent="0.35">
      <c r="A164" s="17" t="s">
        <v>1156</v>
      </c>
      <c r="C164" s="18">
        <f t="shared" si="29"/>
        <v>1555</v>
      </c>
      <c r="D164">
        <f>'GOL07'!H113</f>
        <v>3115.2779999999998</v>
      </c>
      <c r="E164" s="19">
        <f t="shared" si="34"/>
        <v>1534.6068283352758</v>
      </c>
      <c r="F164" s="20">
        <f t="shared" si="35"/>
        <v>77.137000000000413</v>
      </c>
      <c r="G164" s="21">
        <f t="shared" si="30"/>
        <v>1534.6068283352758</v>
      </c>
      <c r="H164" s="22">
        <f t="shared" si="30"/>
        <v>77.137000000000413</v>
      </c>
      <c r="I164" s="17">
        <f t="shared" si="28"/>
        <v>555</v>
      </c>
      <c r="J164" s="17">
        <f t="shared" si="31"/>
        <v>3115.2779999999998</v>
      </c>
      <c r="K164" s="37">
        <f t="shared" si="32"/>
        <v>534.60682833527585</v>
      </c>
      <c r="L164">
        <f t="shared" si="33"/>
        <v>3115.2779999999998</v>
      </c>
    </row>
    <row r="165" spans="1:12" x14ac:dyDescent="0.35">
      <c r="A165" s="17" t="s">
        <v>1157</v>
      </c>
      <c r="C165" s="18">
        <f t="shared" si="29"/>
        <v>1560</v>
      </c>
      <c r="D165">
        <f>'GOL07'!H114</f>
        <v>3114.0610000000001</v>
      </c>
      <c r="E165" s="25">
        <f t="shared" si="34"/>
        <v>1539.4564583211616</v>
      </c>
      <c r="F165" s="26">
        <f t="shared" si="35"/>
        <v>78.354000000000056</v>
      </c>
      <c r="G165" s="21">
        <f t="shared" si="30"/>
        <v>1539.4564583211616</v>
      </c>
      <c r="H165" s="22">
        <f t="shared" si="30"/>
        <v>78.354000000000056</v>
      </c>
      <c r="I165" s="13">
        <f t="shared" si="28"/>
        <v>560</v>
      </c>
      <c r="J165" s="17">
        <f t="shared" si="31"/>
        <v>3114.0610000000001</v>
      </c>
      <c r="K165" s="37">
        <f t="shared" si="32"/>
        <v>539.45645832116156</v>
      </c>
      <c r="L165">
        <f t="shared" si="33"/>
        <v>3114.0610000000001</v>
      </c>
    </row>
    <row r="166" spans="1:12" x14ac:dyDescent="0.35">
      <c r="A166" s="17" t="s">
        <v>1158</v>
      </c>
      <c r="C166" s="18">
        <f t="shared" si="29"/>
        <v>1565</v>
      </c>
      <c r="D166">
        <f>'GOL07'!H115</f>
        <v>3114.0189999999998</v>
      </c>
      <c r="E166" s="19">
        <f t="shared" si="34"/>
        <v>1544.4562819180499</v>
      </c>
      <c r="F166" s="20">
        <f t="shared" si="35"/>
        <v>78.396000000000427</v>
      </c>
      <c r="G166" s="21">
        <f t="shared" si="30"/>
        <v>1544.4562819180499</v>
      </c>
      <c r="H166" s="22">
        <f t="shared" si="30"/>
        <v>78.396000000000427</v>
      </c>
      <c r="I166" s="17">
        <f t="shared" si="28"/>
        <v>565</v>
      </c>
      <c r="J166" s="17">
        <f t="shared" si="31"/>
        <v>3114.0189999999998</v>
      </c>
      <c r="K166" s="37">
        <f t="shared" si="32"/>
        <v>544.45628191804985</v>
      </c>
      <c r="L166">
        <f t="shared" si="33"/>
        <v>3114.0189999999998</v>
      </c>
    </row>
    <row r="167" spans="1:12" x14ac:dyDescent="0.35">
      <c r="A167" s="17" t="s">
        <v>1159</v>
      </c>
      <c r="C167" s="18">
        <f t="shared" si="29"/>
        <v>1570</v>
      </c>
      <c r="D167">
        <f>'GOL07'!H116</f>
        <v>3113.4</v>
      </c>
      <c r="E167" s="25">
        <f t="shared" si="34"/>
        <v>1549.4178178697487</v>
      </c>
      <c r="F167" s="26">
        <f t="shared" si="35"/>
        <v>79.015000000000114</v>
      </c>
      <c r="G167" s="21">
        <f t="shared" si="30"/>
        <v>1549.4178178697487</v>
      </c>
      <c r="H167" s="22">
        <f t="shared" si="30"/>
        <v>79.015000000000114</v>
      </c>
      <c r="I167" s="13">
        <f t="shared" si="28"/>
        <v>570</v>
      </c>
      <c r="J167" s="17">
        <f t="shared" si="31"/>
        <v>3113.4</v>
      </c>
      <c r="K167" s="37">
        <f t="shared" si="32"/>
        <v>549.41781786974866</v>
      </c>
      <c r="L167">
        <f t="shared" si="33"/>
        <v>3113.4</v>
      </c>
    </row>
    <row r="168" spans="1:12" x14ac:dyDescent="0.35">
      <c r="A168" s="17" t="s">
        <v>1160</v>
      </c>
      <c r="C168" s="18">
        <f t="shared" si="29"/>
        <v>1575</v>
      </c>
      <c r="D168">
        <f>'GOL07'!H117</f>
        <v>3112.0549999999998</v>
      </c>
      <c r="E168" s="19">
        <f t="shared" si="34"/>
        <v>1554.2335187533167</v>
      </c>
      <c r="F168" s="20">
        <f t="shared" si="35"/>
        <v>80.360000000000369</v>
      </c>
      <c r="G168" s="21">
        <f t="shared" si="30"/>
        <v>1554.2335187533167</v>
      </c>
      <c r="H168" s="22">
        <f t="shared" si="30"/>
        <v>80.360000000000369</v>
      </c>
      <c r="I168" s="17">
        <f t="shared" si="28"/>
        <v>575</v>
      </c>
      <c r="J168" s="17">
        <f t="shared" si="31"/>
        <v>3112.0549999999998</v>
      </c>
      <c r="K168" s="37">
        <f t="shared" si="32"/>
        <v>554.23351875331673</v>
      </c>
      <c r="L168">
        <f t="shared" si="33"/>
        <v>3112.0549999999998</v>
      </c>
    </row>
    <row r="169" spans="1:12" x14ac:dyDescent="0.35">
      <c r="A169" s="17" t="s">
        <v>1161</v>
      </c>
      <c r="C169" s="18">
        <f t="shared" si="29"/>
        <v>1580</v>
      </c>
      <c r="D169">
        <f>'GOL07'!H118</f>
        <v>3110.9290000000001</v>
      </c>
      <c r="E169" s="25">
        <f t="shared" si="34"/>
        <v>1559.1050815415808</v>
      </c>
      <c r="F169" s="26">
        <f t="shared" si="35"/>
        <v>81.486000000000118</v>
      </c>
      <c r="G169" s="21">
        <f t="shared" si="30"/>
        <v>1559.1050815415808</v>
      </c>
      <c r="H169" s="22">
        <f t="shared" si="30"/>
        <v>81.486000000000118</v>
      </c>
      <c r="I169" s="13">
        <f t="shared" si="28"/>
        <v>580</v>
      </c>
      <c r="J169" s="17">
        <f t="shared" si="31"/>
        <v>3110.9290000000001</v>
      </c>
      <c r="K169" s="37">
        <f t="shared" si="32"/>
        <v>559.10508154158083</v>
      </c>
      <c r="L169">
        <f t="shared" si="33"/>
        <v>3110.9290000000001</v>
      </c>
    </row>
    <row r="170" spans="1:12" x14ac:dyDescent="0.35">
      <c r="A170" s="17" t="s">
        <v>1162</v>
      </c>
      <c r="C170" s="18">
        <f t="shared" si="29"/>
        <v>1585</v>
      </c>
      <c r="D170">
        <f>'GOL07'!H119</f>
        <v>3109.9430000000002</v>
      </c>
      <c r="E170" s="19">
        <f t="shared" si="34"/>
        <v>1564.0068979396112</v>
      </c>
      <c r="F170" s="20">
        <f t="shared" si="35"/>
        <v>82.471999999999994</v>
      </c>
      <c r="G170" s="21">
        <f t="shared" si="30"/>
        <v>1564.0068979396112</v>
      </c>
      <c r="H170" s="22">
        <f t="shared" si="30"/>
        <v>82.471999999999994</v>
      </c>
      <c r="I170" s="17">
        <f t="shared" si="28"/>
        <v>585</v>
      </c>
      <c r="J170" s="17">
        <f t="shared" si="31"/>
        <v>3109.9430000000002</v>
      </c>
      <c r="K170" s="37">
        <f t="shared" si="32"/>
        <v>564.00689793961124</v>
      </c>
      <c r="L170">
        <f t="shared" si="33"/>
        <v>3109.9430000000002</v>
      </c>
    </row>
    <row r="171" spans="1:12" x14ac:dyDescent="0.35">
      <c r="A171" s="17" t="s">
        <v>1163</v>
      </c>
      <c r="C171" s="18">
        <f t="shared" si="29"/>
        <v>1590</v>
      </c>
      <c r="D171">
        <f>'GOL07'!H120</f>
        <v>3108.194</v>
      </c>
      <c r="E171" s="25">
        <f t="shared" si="34"/>
        <v>1568.6910199491238</v>
      </c>
      <c r="F171" s="26">
        <f t="shared" si="35"/>
        <v>84.221000000000245</v>
      </c>
      <c r="G171" s="21">
        <f t="shared" si="30"/>
        <v>1568.6910199491238</v>
      </c>
      <c r="H171" s="22">
        <f t="shared" si="30"/>
        <v>84.221000000000245</v>
      </c>
      <c r="I171" s="13">
        <f t="shared" si="28"/>
        <v>590</v>
      </c>
      <c r="J171" s="17">
        <f t="shared" si="31"/>
        <v>3108.194</v>
      </c>
      <c r="K171" s="37">
        <f t="shared" si="32"/>
        <v>568.69101994912376</v>
      </c>
      <c r="L171">
        <f t="shared" si="33"/>
        <v>3108.194</v>
      </c>
    </row>
    <row r="172" spans="1:12" x14ac:dyDescent="0.35">
      <c r="A172" s="17" t="s">
        <v>1164</v>
      </c>
      <c r="C172" s="18">
        <f t="shared" si="29"/>
        <v>1595</v>
      </c>
      <c r="D172">
        <f>'GOL07'!H121</f>
        <v>3107.404</v>
      </c>
      <c r="E172" s="19">
        <f t="shared" si="34"/>
        <v>1573.6282155093584</v>
      </c>
      <c r="F172" s="20">
        <f t="shared" si="35"/>
        <v>85.011000000000209</v>
      </c>
      <c r="G172" s="21">
        <f t="shared" si="30"/>
        <v>1573.6282155093584</v>
      </c>
      <c r="H172" s="22">
        <f t="shared" si="30"/>
        <v>85.011000000000209</v>
      </c>
      <c r="I172" s="17">
        <f t="shared" si="28"/>
        <v>595</v>
      </c>
      <c r="J172" s="17">
        <f t="shared" si="31"/>
        <v>3107.404</v>
      </c>
      <c r="K172" s="37">
        <f t="shared" si="32"/>
        <v>573.62821550935837</v>
      </c>
      <c r="L172">
        <f t="shared" si="33"/>
        <v>3107.404</v>
      </c>
    </row>
  </sheetData>
  <mergeCells count="9">
    <mergeCell ref="E52:F52"/>
    <mergeCell ref="G52:H52"/>
    <mergeCell ref="I52:J52"/>
    <mergeCell ref="R1:S1"/>
    <mergeCell ref="E1:F1"/>
    <mergeCell ref="G1:H1"/>
    <mergeCell ref="I1:J1"/>
    <mergeCell ref="N1:O1"/>
    <mergeCell ref="P1:Q1"/>
  </mergeCells>
  <phoneticPr fontId="37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</vt:lpstr>
      <vt:lpstr>GOL01</vt:lpstr>
      <vt:lpstr>GOL01_RST</vt:lpstr>
      <vt:lpstr>GOL05</vt:lpstr>
      <vt:lpstr>GOL06</vt:lpstr>
      <vt:lpstr>GOL07</vt:lpstr>
      <vt:lpstr>GOL07_RST_c</vt:lpstr>
      <vt:lpstr>GOL08</vt:lpstr>
      <vt:lpstr>Topo</vt:lpstr>
      <vt:lpstr>GOL07_RST_ab_correct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HILBICH Christin</dc:creator>
  <cp:lastModifiedBy>MATHYS Tamara</cp:lastModifiedBy>
  <dcterms:created xsi:type="dcterms:W3CDTF">2022-08-13T09:29:08Z</dcterms:created>
  <dcterms:modified xsi:type="dcterms:W3CDTF">2023-11-30T14:02:40Z</dcterms:modified>
</cp:coreProperties>
</file>